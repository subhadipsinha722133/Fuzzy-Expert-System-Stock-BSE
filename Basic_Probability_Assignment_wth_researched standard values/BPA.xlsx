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PA_PM" sheetId="1" r:id="rId5"/>
    <sheet state="visible" name="BPA_EPS" sheetId="2" r:id="rId6"/>
    <sheet state="visible" name="BPA_DPR" sheetId="3" r:id="rId7"/>
    <sheet state="visible" name="BPA_DE" sheetId="4" r:id="rId8"/>
    <sheet state="visible" name="FACTOR_CLASSIFICATION" sheetId="5" r:id="rId9"/>
    <sheet state="visible" name="S_R_CALCULATION" sheetId="6" r:id="rId10"/>
  </sheets>
  <definedNames/>
  <calcPr/>
</workbook>
</file>

<file path=xl/sharedStrings.xml><?xml version="1.0" encoding="utf-8"?>
<sst xmlns="http://schemas.openxmlformats.org/spreadsheetml/2006/main" count="145" uniqueCount="56">
  <si>
    <t>Category</t>
  </si>
  <si>
    <t>Count_H</t>
  </si>
  <si>
    <t>Count_A</t>
  </si>
  <si>
    <t>Count_P</t>
  </si>
  <si>
    <t>Total</t>
  </si>
  <si>
    <t>m(H)</t>
  </si>
  <si>
    <t>m(A)</t>
  </si>
  <si>
    <t>m(P)</t>
  </si>
  <si>
    <t>Low</t>
  </si>
  <si>
    <t>Standard</t>
  </si>
  <si>
    <t>High</t>
  </si>
  <si>
    <t>Stock</t>
  </si>
  <si>
    <t>PM (2023)</t>
  </si>
  <si>
    <t>PM_Label</t>
  </si>
  <si>
    <t>EPS (2023)</t>
  </si>
  <si>
    <t>EPS_Label</t>
  </si>
  <si>
    <t>PR (2023)</t>
  </si>
  <si>
    <t>PR_Label</t>
  </si>
  <si>
    <t>DE (2023)</t>
  </si>
  <si>
    <t>DE_Label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</si>
  <si>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</si>
  <si>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</si>
  <si>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</si>
  <si>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</si>
  <si>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</si>
  <si>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</si>
  <si>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</si>
  <si>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</si>
  <si>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</si>
  <si>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</si>
  <si>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</si>
  <si>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</si>
  <si>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</si>
  <si>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</si>
  <si>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</si>
  <si>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</si>
  <si>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</si>
  <si>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</si>
  <si>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</si>
  <si>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</si>
  <si>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</si>
  <si>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</si>
  <si>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</si>
  <si>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</si>
  <si>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</si>
  <si>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</si>
  <si>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</si>
  <si>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</si>
  <si>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</si>
  <si>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Stock Name</t>
  </si>
  <si>
    <t>mean return</t>
  </si>
  <si>
    <t>semivariance</t>
  </si>
  <si>
    <t>S/R ratio</t>
  </si>
  <si>
    <t>Performance</t>
  </si>
  <si>
    <t>Poor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</si>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</sst>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181A1B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vertical="top"/>
    </xf>
    <xf borderId="0" fillId="0" fontId="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f t="array" ref="B2">COUNTIFS(FACTOR_CLASSIFICATION!C2:C30, "Low",
          VLOOKUP(FACTOR_CLASSIFICATION!A2:A30,
          S_R_CALCULATION!A2:E30, 5, FALSE), "High")</f>
        <v>5</v>
      </c>
      <c r="C2" s="3">
        <f t="array" ref="C2">COUNTIFS(FACTOR_CLASSIFICATION!C2:C30, "Low",
          VLOOKUP(FACTOR_CLASSIFICATION!A2:A30,
          S_R_CALCULATION!A2:E30, 5, FALSE), "Average")</f>
        <v>4</v>
      </c>
      <c r="D2" s="3">
        <f t="array" ref="D2">COUNTIFS(FACTOR_CLASSIFICATION!C2:C30, "Low",
          VLOOKUP(FACTOR_CLASSIFICATION!A2:A30,
          S_R_CALCULATION!A2:E30, 5, FALSE), "Poor")</f>
        <v>3</v>
      </c>
      <c r="E2" s="3">
        <f t="shared" ref="E2:E4" si="1">SUM(B2:D2)</f>
        <v>12</v>
      </c>
      <c r="F2" s="3">
        <f t="shared" ref="F2:F4" si="2">B2/E2</f>
        <v>0.4166666667</v>
      </c>
      <c r="G2" s="3">
        <f t="shared" ref="G2:G4" si="3">C2/E2</f>
        <v>0.3333333333</v>
      </c>
      <c r="H2" s="3">
        <f t="shared" ref="H2:H4" si="4">D2/E2</f>
        <v>0.25</v>
      </c>
    </row>
    <row r="3">
      <c r="A3" s="2" t="s">
        <v>9</v>
      </c>
      <c r="B3" s="3">
        <f t="array" ref="B3">COUNTIFS(FACTOR_CLASSIFICATION!C2:C30, "Standard",
          VLOOKUP(FACTOR_CLASSIFICATION!A2:A30,
          S_R_CALCULATION!A2:E30, 5, FALSE), "High")</f>
        <v>0</v>
      </c>
      <c r="C3" s="3">
        <f t="array" ref="C3">COUNTIFS(FACTOR_CLASSIFICATION!C2:C30, "Standard",
          VLOOKUP(FACTOR_CLASSIFICATION!A2:A30,
          S_R_CALCULATION!A2:E30, 5, FALSE), "Average")</f>
        <v>2</v>
      </c>
      <c r="D3" s="3">
        <f t="array" ref="D3">COUNTIFS(FACTOR_CLASSIFICATION!C2:C30, "Standard",
          VLOOKUP(FACTOR_CLASSIFICATION!A2:A30,
          S_R_CALCULATION!A2:E30, 5, FALSE), "Poor")</f>
        <v>2</v>
      </c>
      <c r="E3" s="3">
        <f t="shared" si="1"/>
        <v>4</v>
      </c>
      <c r="F3" s="3">
        <f t="shared" si="2"/>
        <v>0</v>
      </c>
      <c r="G3" s="3">
        <f t="shared" si="3"/>
        <v>0.5</v>
      </c>
      <c r="H3" s="3">
        <f t="shared" si="4"/>
        <v>0.5</v>
      </c>
    </row>
    <row r="4">
      <c r="A4" s="2" t="s">
        <v>10</v>
      </c>
      <c r="B4" s="3">
        <f t="array" ref="B4">COUNTIFS(FACTOR_CLASSIFICATION!C2:C30, "High",
          VLOOKUP(FACTOR_CLASSIFICATION!A2:A30,
          S_R_CALCULATION!A2:E30, 5, FALSE), "High")</f>
        <v>5</v>
      </c>
      <c r="C4" s="3">
        <f t="array" ref="C4">COUNTIFS(FACTOR_CLASSIFICATION!C2:C30, "High",
          VLOOKUP(FACTOR_CLASSIFICATION!A2:A30,
          S_R_CALCULATION!A2:E30, 5, FALSE), "Average")</f>
        <v>3</v>
      </c>
      <c r="D4" s="3">
        <f t="array" ref="D4">COUNTIFS(FACTOR_CLASSIFICATION!C2:C30, "High",
          VLOOKUP(FACTOR_CLASSIFICATION!A2:A30,
          S_R_CALCULATION!A2:E30, 5, FALSE), "Poor")</f>
        <v>5</v>
      </c>
      <c r="E4" s="3">
        <f t="shared" si="1"/>
        <v>13</v>
      </c>
      <c r="F4" s="3">
        <f t="shared" si="2"/>
        <v>0.3846153846</v>
      </c>
      <c r="G4" s="3">
        <f t="shared" si="3"/>
        <v>0.2307692308</v>
      </c>
      <c r="H4" s="3">
        <f t="shared" si="4"/>
        <v>0.3846153846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2" t="s">
        <v>8</v>
      </c>
      <c r="B2" s="3">
        <f t="array" ref="B2">COUNTIFS(FACTOR_CLASSIFICATION!E2:E30,"Low",
VLOOKUP(FACTOR_CLASSIFICATION!A2:A30,S_R_CALCULATION!A2:E30,5,FALSE),"High")</f>
        <v>5</v>
      </c>
      <c r="C2" s="3">
        <f t="array" ref="C2">COUNTIFS(FACTOR_CLASSIFICATION!E2:E30,"Low",
VLOOKUP(FACTOR_CLASSIFICATION!A2:A30,S_R_CALCULATION!A2:E30,5,FALSE),"Average")</f>
        <v>4</v>
      </c>
      <c r="D2" s="3">
        <f t="array" ref="D2">COUNTIFS(FACTOR_CLASSIFICATION!E2:E30,"Low",
VLOOKUP(FACTOR_CLASSIFICATION!A2:A30,S_R_CALCULATION!A2:E30,5,FALSE),"Poor")</f>
        <v>7</v>
      </c>
      <c r="E2" s="3">
        <f t="shared" ref="E2:E4" si="1">SUM(B2:D2)</f>
        <v>16</v>
      </c>
      <c r="F2" s="3">
        <f t="shared" ref="F2:F4" si="2">B2/E2</f>
        <v>0.3125</v>
      </c>
      <c r="G2" s="3">
        <f t="shared" ref="G2:G4" si="3">C2/E2</f>
        <v>0.25</v>
      </c>
      <c r="H2" s="3">
        <f t="shared" ref="H2:H4" si="4">D2/E2</f>
        <v>0.4375</v>
      </c>
    </row>
    <row r="3">
      <c r="A3" s="2" t="s">
        <v>9</v>
      </c>
      <c r="B3" s="3">
        <f t="array" ref="B3">COUNTIFS(FACTOR_CLASSIFICATION!E2:E30,"Standard",
VLOOKUP(FACTOR_CLASSIFICATION!A2:A30,S_R_CALCULATION!A2:E30,5,FALSE),"High")</f>
        <v>0</v>
      </c>
      <c r="C3" s="3">
        <f t="array" ref="C3">COUNTIFS(FACTOR_CLASSIFICATION!E2:E30,"Standard",
VLOOKUP(FACTOR_CLASSIFICATION!A2:A30,S_R_CALCULATION!A2:E30,5,FALSE),"Average")</f>
        <v>2</v>
      </c>
      <c r="D3" s="3">
        <f t="array" ref="D3">COUNTIFS(FACTOR_CLASSIFICATION!E2:E30,"Standard",
VLOOKUP(FACTOR_CLASSIFICATION!A2:A30,S_R_CALCULATION!A2:E30,5,FALSE),"Poor")</f>
        <v>1</v>
      </c>
      <c r="E3" s="3">
        <f t="shared" si="1"/>
        <v>3</v>
      </c>
      <c r="F3" s="3">
        <f t="shared" si="2"/>
        <v>0</v>
      </c>
      <c r="G3" s="3">
        <f t="shared" si="3"/>
        <v>0.6666666667</v>
      </c>
      <c r="H3" s="3">
        <f t="shared" si="4"/>
        <v>0.3333333333</v>
      </c>
    </row>
    <row r="4">
      <c r="A4" s="2" t="s">
        <v>10</v>
      </c>
      <c r="B4" s="3">
        <f t="array" ref="B4">COUNTIFS(FACTOR_CLASSIFICATION!E2:E30,"High",
VLOOKUP(FACTOR_CLASSIFICATION!A2:A30,S_R_CALCULATION!A2:E30,5,FALSE),"High")</f>
        <v>5</v>
      </c>
      <c r="C4" s="3">
        <f t="array" ref="C4">COUNTIFS(FACTOR_CLASSIFICATION!E2:E30,"High",
VLOOKUP(FACTOR_CLASSIFICATION!A2:A30,S_R_CALCULATION!A2:E30,5,FALSE),"Average")</f>
        <v>3</v>
      </c>
      <c r="D4" s="3">
        <f t="array" ref="D4">COUNTIFS(FACTOR_CLASSIFICATION!E2:E30,"High",
VLOOKUP(FACTOR_CLASSIFICATION!A2:A30,S_R_CALCULATION!A2:E30,5,FALSE),"Poor")</f>
        <v>2</v>
      </c>
      <c r="E4" s="3">
        <f t="shared" si="1"/>
        <v>10</v>
      </c>
      <c r="F4" s="3">
        <f t="shared" si="2"/>
        <v>0.5</v>
      </c>
      <c r="G4" s="3">
        <f t="shared" si="3"/>
        <v>0.3</v>
      </c>
      <c r="H4" s="3">
        <f t="shared" si="4"/>
        <v>0.2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2" t="s">
        <v>8</v>
      </c>
      <c r="B2" s="3">
        <f t="array" ref="B2">COUNTIFS(FACTOR_CLASSIFICATION!G2:G30,"Low",
VLOOKUP(FACTOR_CLASSIFICATION!A2:A30,S_R_CALCULATION!A2:E30,5,FALSE),"High")</f>
        <v>7</v>
      </c>
      <c r="C2" s="3">
        <f t="array" ref="C2">COUNTIFS(FACTOR_CLASSIFICATION!G2:G30,"Low",
VLOOKUP(FACTOR_CLASSIFICATION!A2:A30,S_R_CALCULATION!A2:E30,5,FALSE),"Average")</f>
        <v>6</v>
      </c>
      <c r="D2" s="3">
        <f t="array" ref="D2">COUNTIFS(FACTOR_CLASSIFICATION!G2:G30,"Low",
VLOOKUP(FACTOR_CLASSIFICATION!A2:A30,S_R_CALCULATION!A2:E30,5,FALSE),"Poor")</f>
        <v>7</v>
      </c>
      <c r="E2" s="3">
        <f t="shared" ref="E2:E4" si="1">SUM(B2:D2)</f>
        <v>20</v>
      </c>
      <c r="F2" s="3">
        <f t="shared" ref="F2:F4" si="2">B2/E2</f>
        <v>0.35</v>
      </c>
      <c r="G2" s="3">
        <f t="shared" ref="G2:G4" si="3">C2/E2</f>
        <v>0.3</v>
      </c>
      <c r="H2" s="3">
        <f t="shared" ref="H2:H4" si="4">D2/E2</f>
        <v>0.35</v>
      </c>
    </row>
    <row r="3">
      <c r="A3" s="2" t="s">
        <v>9</v>
      </c>
      <c r="B3" s="3">
        <f t="array" ref="B3">COUNTIFS(FACTOR_CLASSIFICATION!G2:G30,"Standard",
VLOOKUP(FACTOR_CLASSIFICATION!A2:A30,S_R_CALCULATION!A2:E30,5,FALSE),"High")</f>
        <v>1</v>
      </c>
      <c r="C3" s="3">
        <f t="array" ref="C3">COUNTIFS(FACTOR_CLASSIFICATION!G2:G30,"Standard",
VLOOKUP(FACTOR_CLASSIFICATION!A2:A30,S_R_CALCULATION!A2:E30,5,FALSE),"Average")</f>
        <v>0</v>
      </c>
      <c r="D3" s="3">
        <f t="array" ref="D3">COUNTIFS(FACTOR_CLASSIFICATION!G2:G30,"Standard",
VLOOKUP(FACTOR_CLASSIFICATION!A2:A30,S_R_CALCULATION!A2:E30,5,FALSE),"Poor")</f>
        <v>3</v>
      </c>
      <c r="E3" s="3">
        <f t="shared" si="1"/>
        <v>4</v>
      </c>
      <c r="F3" s="3">
        <f t="shared" si="2"/>
        <v>0.25</v>
      </c>
      <c r="G3" s="3">
        <f t="shared" si="3"/>
        <v>0</v>
      </c>
      <c r="H3" s="3">
        <f t="shared" si="4"/>
        <v>0.75</v>
      </c>
    </row>
    <row r="4">
      <c r="A4" s="2" t="s">
        <v>10</v>
      </c>
      <c r="B4" s="3">
        <f t="array" ref="B4">COUNTIFS(FACTOR_CLASSIFICATION!G2:G30,"High",
VLOOKUP(FACTOR_CLASSIFICATION!A2:A30,S_R_CALCULATION!A2:E30,5,FALSE),"High")</f>
        <v>2</v>
      </c>
      <c r="C4" s="3">
        <f t="array" ref="C4">COUNTIFS(FACTOR_CLASSIFICATION!G2:G30,"High",
VLOOKUP(FACTOR_CLASSIFICATION!A2:A30,S_R_CALCULATION!A2:E30,5,FALSE),"Average")</f>
        <v>3</v>
      </c>
      <c r="D4" s="3">
        <f t="array" ref="D4">COUNTIFS(FACTOR_CLASSIFICATION!G2:G30,"High",
VLOOKUP(FACTOR_CLASSIFICATION!A2:A30,S_R_CALCULATION!A2:E30,5,FALSE),"Poor")</f>
        <v>0</v>
      </c>
      <c r="E4" s="3">
        <f t="shared" si="1"/>
        <v>5</v>
      </c>
      <c r="F4" s="3">
        <f t="shared" si="2"/>
        <v>0.4</v>
      </c>
      <c r="G4" s="3">
        <f t="shared" si="3"/>
        <v>0.6</v>
      </c>
      <c r="H4" s="3">
        <f t="shared" si="4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2" t="s">
        <v>8</v>
      </c>
      <c r="B2" s="3">
        <f t="array" ref="B2">COUNTIFS(FACTOR_CLASSIFICATION!I2:I30,"Low",
VLOOKUP(FACTOR_CLASSIFICATION!A2:A30,S_R_CALCULATION!A2:E30,5,FALSE),"High")</f>
        <v>6</v>
      </c>
      <c r="C2" s="3">
        <f t="array" ref="C2">COUNTIFS(FACTOR_CLASSIFICATION!I2:I30,"Low",
VLOOKUP(FACTOR_CLASSIFICATION!A2:A30,S_R_CALCULATION!A2:E30,5,FALSE),"Average")</f>
        <v>4</v>
      </c>
      <c r="D2" s="3">
        <f t="array" ref="D2">COUNTIFS(FACTOR_CLASSIFICATION!I2:I30,"Low",
VLOOKUP(FACTOR_CLASSIFICATION!A2:A30,S_R_CALCULATION!A2:E30,5,FALSE),"Poor")</f>
        <v>3</v>
      </c>
      <c r="E2" s="3">
        <f t="shared" ref="E2:E4" si="1">SUM(B2:D2)</f>
        <v>13</v>
      </c>
      <c r="F2" s="3">
        <f t="shared" ref="F2:F4" si="2">B2/E2</f>
        <v>0.4615384615</v>
      </c>
      <c r="G2" s="3">
        <f t="shared" ref="G2:G4" si="3">C2/E2</f>
        <v>0.3076923077</v>
      </c>
      <c r="H2" s="3">
        <f t="shared" ref="H2:H4" si="4">D2/E2</f>
        <v>0.2307692308</v>
      </c>
    </row>
    <row r="3">
      <c r="A3" s="2" t="s">
        <v>9</v>
      </c>
      <c r="B3" s="3">
        <f t="array" ref="B3">COUNTIFS(FACTOR_CLASSIFICATION!I2:I30,"Standard",
VLOOKUP(FACTOR_CLASSIFICATION!A2:A30,S_R_CALCULATION!A2:E30,5,FALSE),"High")</f>
        <v>3</v>
      </c>
      <c r="C3" s="3">
        <f t="array" ref="C3">COUNTIFS(FACTOR_CLASSIFICATION!I2:I30,"Standard",
VLOOKUP(FACTOR_CLASSIFICATION!A2:A30,S_R_CALCULATION!A2:E30,5,FALSE),"Average")</f>
        <v>2</v>
      </c>
      <c r="D3" s="3">
        <f t="array" ref="D3">COUNTIFS(FACTOR_CLASSIFICATION!I2:I30,"Standard",
VLOOKUP(FACTOR_CLASSIFICATION!A2:A30,S_R_CALCULATION!A2:E30,5,FALSE),"Poor")</f>
        <v>4</v>
      </c>
      <c r="E3" s="3">
        <f t="shared" si="1"/>
        <v>9</v>
      </c>
      <c r="F3" s="3">
        <f t="shared" si="2"/>
        <v>0.3333333333</v>
      </c>
      <c r="G3" s="3">
        <f t="shared" si="3"/>
        <v>0.2222222222</v>
      </c>
      <c r="H3" s="3">
        <f t="shared" si="4"/>
        <v>0.4444444444</v>
      </c>
    </row>
    <row r="4">
      <c r="A4" s="2" t="s">
        <v>10</v>
      </c>
      <c r="B4" s="3">
        <f t="array" ref="B4">COUNTIFS(FACTOR_CLASSIFICATION!I2:I30,"High",
VLOOKUP(FACTOR_CLASSIFICATION!A2:A30,S_R_CALCULATION!A2:E30,5,FALSE),"High")</f>
        <v>1</v>
      </c>
      <c r="C4" s="3">
        <f t="array" ref="C4">COUNTIFS(FACTOR_CLASSIFICATION!I2:I30,"High",
VLOOKUP(FACTOR_CLASSIFICATION!A2:A30,S_R_CALCULATION!A2:E30,5,FALSE),"Average")</f>
        <v>3</v>
      </c>
      <c r="D4" s="3">
        <f t="array" ref="D4">COUNTIFS(FACTOR_CLASSIFICATION!I2:I30,"High",
VLOOKUP(FACTOR_CLASSIFICATION!A2:A30,S_R_CALCULATION!A2:E30,5,FALSE),"Poor")</f>
        <v>3</v>
      </c>
      <c r="E4" s="3">
        <f t="shared" si="1"/>
        <v>7</v>
      </c>
      <c r="F4" s="3">
        <f t="shared" si="2"/>
        <v>0.1428571429</v>
      </c>
      <c r="G4" s="3">
        <f t="shared" si="3"/>
        <v>0.4285714286</v>
      </c>
      <c r="H4" s="3">
        <f t="shared" si="4"/>
        <v>0.4285714286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</row>
    <row r="2">
      <c r="A2" s="5" t="s">
        <v>20</v>
      </c>
      <c r="B2" s="6">
        <v>25.63</v>
      </c>
      <c r="C2" s="5" t="str">
        <f t="shared" ref="C2:C30" si="1">IF(B2 &lt; 10, "Low",
   IF(B2 &lt;= 15, "Standard", "High"))</f>
        <v>High</v>
      </c>
      <c r="D2" s="7">
        <v>24.58</v>
      </c>
      <c r="E2" s="5" t="str">
        <f t="shared" ref="E2:E30" si="2">IF(D2 &lt; 50, "Low", IF(D2 &lt;= 60, "Standard", "High"))</f>
        <v>Low</v>
      </c>
      <c r="F2" s="6">
        <v>19.88</v>
      </c>
      <c r="G2" s="5" t="str">
        <f t="shared" ref="G2:G30" si="3">IF(F2 &lt; 40, "Low", IF(F2 &lt;= 60, "Standard", "High"))</f>
        <v>Low</v>
      </c>
      <c r="H2" s="6">
        <v>0.7371640659767196</v>
      </c>
      <c r="I2" s="5" t="str">
        <f t="shared" ref="I2:I30" si="4">IF(H2 &lt; 0.5, "Low",
   IF(H2 &lt;= 1.5, "Standard", "High"))</f>
        <v>Standard</v>
      </c>
    </row>
    <row r="3">
      <c r="A3" s="5" t="s">
        <v>21</v>
      </c>
      <c r="B3" s="6">
        <v>11.89</v>
      </c>
      <c r="C3" s="5" t="str">
        <f t="shared" si="1"/>
        <v>Standard</v>
      </c>
      <c r="D3" s="7">
        <v>42.82</v>
      </c>
      <c r="E3" s="5" t="str">
        <f t="shared" si="2"/>
        <v>Low</v>
      </c>
      <c r="F3" s="6">
        <v>46.48</v>
      </c>
      <c r="G3" s="5" t="str">
        <f t="shared" si="3"/>
        <v>Standard</v>
      </c>
      <c r="H3" s="6">
        <v>0.058268908123975824</v>
      </c>
      <c r="I3" s="5" t="str">
        <f t="shared" si="4"/>
        <v>Low</v>
      </c>
    </row>
    <row r="4">
      <c r="A4" s="5" t="s">
        <v>22</v>
      </c>
      <c r="B4" s="6">
        <v>12.41</v>
      </c>
      <c r="C4" s="5" t="str">
        <f t="shared" si="1"/>
        <v>Standard</v>
      </c>
      <c r="D4" s="7">
        <v>35.04</v>
      </c>
      <c r="E4" s="5" t="str">
        <f t="shared" si="2"/>
        <v>Low</v>
      </c>
      <c r="F4" s="6">
        <v>3.25</v>
      </c>
      <c r="G4" s="5" t="str">
        <f t="shared" si="3"/>
        <v>Low</v>
      </c>
      <c r="H4" s="6">
        <v>2.340843805111136</v>
      </c>
      <c r="I4" s="5" t="str">
        <f t="shared" si="4"/>
        <v>High</v>
      </c>
    </row>
    <row r="5">
      <c r="A5" s="5" t="s">
        <v>23</v>
      </c>
      <c r="B5" s="6">
        <v>14.87</v>
      </c>
      <c r="C5" s="5" t="str">
        <f t="shared" si="1"/>
        <v>Standard</v>
      </c>
      <c r="D5" s="7">
        <v>4.6</v>
      </c>
      <c r="E5" s="5" t="str">
        <f t="shared" si="2"/>
        <v>Low</v>
      </c>
      <c r="F5" s="6">
        <v>0.99</v>
      </c>
      <c r="G5" s="5" t="str">
        <f t="shared" si="3"/>
        <v>Low</v>
      </c>
      <c r="H5" s="6">
        <v>1.715598108262491</v>
      </c>
      <c r="I5" s="5" t="str">
        <f t="shared" si="4"/>
        <v>High</v>
      </c>
    </row>
    <row r="6">
      <c r="A6" s="5" t="s">
        <v>24</v>
      </c>
      <c r="B6" s="6">
        <v>27.79</v>
      </c>
      <c r="C6" s="5" t="str">
        <f t="shared" si="1"/>
        <v>High</v>
      </c>
      <c r="D6" s="7">
        <v>187.43899999999996</v>
      </c>
      <c r="E6" s="5" t="str">
        <f t="shared" si="2"/>
        <v>High</v>
      </c>
      <c r="F6" s="6">
        <v>10.49</v>
      </c>
      <c r="G6" s="5" t="str">
        <f t="shared" si="3"/>
        <v>Low</v>
      </c>
      <c r="H6" s="6">
        <v>1.6074359097634274</v>
      </c>
      <c r="I6" s="5" t="str">
        <f t="shared" si="4"/>
        <v>High</v>
      </c>
    </row>
    <row r="7">
      <c r="A7" s="5" t="s">
        <v>25</v>
      </c>
      <c r="B7" s="6">
        <v>16.57</v>
      </c>
      <c r="C7" s="5" t="str">
        <f t="shared" si="1"/>
        <v>High</v>
      </c>
      <c r="D7" s="7">
        <v>4.09</v>
      </c>
      <c r="E7" s="5" t="str">
        <f t="shared" si="2"/>
        <v>Low</v>
      </c>
      <c r="F7" s="6">
        <v>41.63</v>
      </c>
      <c r="G7" s="5" t="str">
        <f t="shared" si="3"/>
        <v>Standard</v>
      </c>
      <c r="H7" s="6">
        <v>0.7419373447293773</v>
      </c>
      <c r="I7" s="5" t="str">
        <f t="shared" si="4"/>
        <v>Standard</v>
      </c>
    </row>
    <row r="8">
      <c r="A8" s="5" t="s">
        <v>26</v>
      </c>
      <c r="B8" s="8">
        <v>8.29</v>
      </c>
      <c r="C8" s="5" t="str">
        <f t="shared" si="1"/>
        <v>Low</v>
      </c>
      <c r="D8" s="7">
        <v>14.57</v>
      </c>
      <c r="E8" s="5" t="str">
        <f t="shared" si="2"/>
        <v>Low</v>
      </c>
      <c r="F8" s="8">
        <v>20.34</v>
      </c>
      <c r="G8" s="5" t="str">
        <f t="shared" si="3"/>
        <v>Low</v>
      </c>
      <c r="H8" s="6">
        <v>1.0367368849500223</v>
      </c>
      <c r="I8" s="5" t="str">
        <f t="shared" si="4"/>
        <v>Standard</v>
      </c>
    </row>
    <row r="9">
      <c r="A9" s="5" t="s">
        <v>27</v>
      </c>
      <c r="B9" s="6">
        <v>14.63</v>
      </c>
      <c r="C9" s="5" t="str">
        <f t="shared" si="1"/>
        <v>Standard</v>
      </c>
      <c r="D9" s="7">
        <v>54.79</v>
      </c>
      <c r="E9" s="5" t="str">
        <f t="shared" si="2"/>
        <v>Standard</v>
      </c>
      <c r="F9" s="6">
        <v>87.5</v>
      </c>
      <c r="G9" s="5" t="str">
        <f t="shared" si="3"/>
        <v>High</v>
      </c>
      <c r="H9" s="6">
        <v>0.02955880224154443</v>
      </c>
      <c r="I9" s="5" t="str">
        <f t="shared" si="4"/>
        <v>Low</v>
      </c>
    </row>
    <row r="10">
      <c r="A10" s="5" t="s">
        <v>28</v>
      </c>
      <c r="B10" s="6">
        <v>27.29</v>
      </c>
      <c r="C10" s="5" t="str">
        <f t="shared" si="1"/>
        <v>High</v>
      </c>
      <c r="D10" s="7">
        <v>82.27</v>
      </c>
      <c r="E10" s="5" t="str">
        <f t="shared" si="2"/>
        <v>High</v>
      </c>
      <c r="F10" s="6">
        <v>24.07</v>
      </c>
      <c r="G10" s="5" t="str">
        <f t="shared" si="3"/>
        <v>Low</v>
      </c>
      <c r="H10" s="6">
        <v>2.174751721484161</v>
      </c>
      <c r="I10" s="5" t="str">
        <f t="shared" si="4"/>
        <v>High</v>
      </c>
    </row>
    <row r="11">
      <c r="A11" s="5" t="s">
        <v>29</v>
      </c>
      <c r="B11" s="6">
        <v>16.74</v>
      </c>
      <c r="C11" s="5" t="str">
        <f t="shared" si="1"/>
        <v>High</v>
      </c>
      <c r="D11" s="7">
        <v>43.07</v>
      </c>
      <c r="E11" s="5" t="str">
        <f t="shared" si="2"/>
        <v>Low</v>
      </c>
      <c r="F11" s="6">
        <v>83.58</v>
      </c>
      <c r="G11" s="5" t="str">
        <f t="shared" si="3"/>
        <v>High</v>
      </c>
      <c r="H11" s="6">
        <v>0.43178241642553783</v>
      </c>
      <c r="I11" s="5" t="str">
        <f t="shared" si="4"/>
        <v>Low</v>
      </c>
    </row>
    <row r="12">
      <c r="A12" s="5" t="s">
        <v>30</v>
      </c>
      <c r="B12" s="6">
        <v>28.46</v>
      </c>
      <c r="C12" s="5" t="str">
        <f t="shared" si="1"/>
        <v>High</v>
      </c>
      <c r="D12" s="7">
        <v>47.84</v>
      </c>
      <c r="E12" s="5" t="str">
        <f t="shared" si="2"/>
        <v>Low</v>
      </c>
      <c r="F12" s="6">
        <v>16.4</v>
      </c>
      <c r="G12" s="5" t="str">
        <f t="shared" si="3"/>
        <v>Low</v>
      </c>
      <c r="H12" s="6">
        <v>2.1598687907924505</v>
      </c>
      <c r="I12" s="5" t="str">
        <f t="shared" si="4"/>
        <v>High</v>
      </c>
    </row>
    <row r="13">
      <c r="A13" s="5" t="s">
        <v>31</v>
      </c>
      <c r="B13" s="6">
        <v>16.42</v>
      </c>
      <c r="C13" s="5" t="str">
        <f t="shared" si="1"/>
        <v>High</v>
      </c>
      <c r="D13" s="7">
        <v>57.54</v>
      </c>
      <c r="E13" s="5" t="str">
        <f t="shared" si="2"/>
        <v>Standard</v>
      </c>
      <c r="F13" s="6">
        <v>56.57</v>
      </c>
      <c r="G13" s="5" t="str">
        <f t="shared" si="3"/>
        <v>Standard</v>
      </c>
      <c r="H13" s="6">
        <v>0.45107561936021656</v>
      </c>
      <c r="I13" s="5" t="str">
        <f t="shared" si="4"/>
        <v>Low</v>
      </c>
    </row>
    <row r="14">
      <c r="A14" s="5" t="s">
        <v>32</v>
      </c>
      <c r="B14" s="6">
        <v>27.38</v>
      </c>
      <c r="C14" s="5" t="str">
        <f t="shared" si="1"/>
        <v>High</v>
      </c>
      <c r="D14" s="7">
        <v>15.46</v>
      </c>
      <c r="E14" s="5" t="str">
        <f t="shared" si="2"/>
        <v>Low</v>
      </c>
      <c r="F14" s="6">
        <v>38.81</v>
      </c>
      <c r="G14" s="5" t="str">
        <f t="shared" si="3"/>
        <v>Low</v>
      </c>
      <c r="H14" s="6">
        <v>0.20701416938432612</v>
      </c>
      <c r="I14" s="5" t="str">
        <f t="shared" si="4"/>
        <v>Low</v>
      </c>
    </row>
    <row r="15">
      <c r="A15" s="5" t="s">
        <v>33</v>
      </c>
      <c r="B15" s="6">
        <v>31.9425</v>
      </c>
      <c r="C15" s="5" t="str">
        <f t="shared" si="1"/>
        <v>High</v>
      </c>
      <c r="D15" s="7">
        <v>74.94</v>
      </c>
      <c r="E15" s="5" t="str">
        <f t="shared" si="2"/>
        <v>High</v>
      </c>
      <c r="F15" s="6">
        <v>14.32</v>
      </c>
      <c r="G15" s="5" t="str">
        <f t="shared" si="3"/>
        <v>Low</v>
      </c>
      <c r="H15" s="6">
        <v>1.7119945007591924</v>
      </c>
      <c r="I15" s="5" t="str">
        <f t="shared" si="4"/>
        <v>High</v>
      </c>
    </row>
    <row r="16">
      <c r="A16" s="5" t="s">
        <v>34</v>
      </c>
      <c r="B16" s="6">
        <v>6.88</v>
      </c>
      <c r="C16" s="5" t="str">
        <f t="shared" si="1"/>
        <v>Low</v>
      </c>
      <c r="D16" s="7">
        <v>74.45</v>
      </c>
      <c r="E16" s="5" t="str">
        <f t="shared" si="2"/>
        <v>High</v>
      </c>
      <c r="F16" s="6">
        <v>29.52</v>
      </c>
      <c r="G16" s="5" t="str">
        <f t="shared" si="3"/>
        <v>Low</v>
      </c>
      <c r="H16" s="6">
        <v>0.8458682675776092</v>
      </c>
      <c r="I16" s="5" t="str">
        <f t="shared" si="4"/>
        <v>Standard</v>
      </c>
    </row>
    <row r="17">
      <c r="A17" s="5" t="s">
        <v>35</v>
      </c>
      <c r="B17" s="6">
        <v>8.13</v>
      </c>
      <c r="C17" s="5" t="str">
        <f t="shared" si="1"/>
        <v>Low</v>
      </c>
      <c r="D17" s="7">
        <v>91.96</v>
      </c>
      <c r="E17" s="5" t="str">
        <f t="shared" si="2"/>
        <v>High</v>
      </c>
      <c r="F17" s="6">
        <v>12.49</v>
      </c>
      <c r="G17" s="5" t="str">
        <f t="shared" si="3"/>
        <v>Low</v>
      </c>
      <c r="H17" s="6">
        <v>0.9439058989071285</v>
      </c>
      <c r="I17" s="5" t="str">
        <f t="shared" si="4"/>
        <v>Standard</v>
      </c>
    </row>
    <row r="18">
      <c r="A18" s="5" t="s">
        <v>36</v>
      </c>
      <c r="B18" s="6">
        <v>6.83</v>
      </c>
      <c r="C18" s="5" t="str">
        <f t="shared" si="1"/>
        <v>Low</v>
      </c>
      <c r="D18" s="7">
        <v>187.43899999999996</v>
      </c>
      <c r="E18" s="5" t="str">
        <f t="shared" si="2"/>
        <v>High</v>
      </c>
      <c r="F18" s="6">
        <v>22.07</v>
      </c>
      <c r="G18" s="5" t="str">
        <f t="shared" si="3"/>
        <v>Low</v>
      </c>
      <c r="H18" s="6">
        <v>0.30748469974796055</v>
      </c>
      <c r="I18" s="5" t="str">
        <f t="shared" si="4"/>
        <v>Low</v>
      </c>
    </row>
    <row r="19">
      <c r="A19" s="5" t="s">
        <v>37</v>
      </c>
      <c r="B19" s="6">
        <v>9.27</v>
      </c>
      <c r="C19" s="5" t="str">
        <f t="shared" si="1"/>
        <v>Low</v>
      </c>
      <c r="D19" s="7">
        <v>17.87</v>
      </c>
      <c r="E19" s="5" t="str">
        <f t="shared" si="2"/>
        <v>Low</v>
      </c>
      <c r="F19" s="6">
        <v>24.36</v>
      </c>
      <c r="G19" s="5" t="str">
        <f t="shared" si="3"/>
        <v>Low</v>
      </c>
      <c r="H19" s="6">
        <v>0.8458682675776092</v>
      </c>
      <c r="I19" s="5" t="str">
        <f t="shared" si="4"/>
        <v>Standard</v>
      </c>
    </row>
    <row r="20">
      <c r="A20" s="5" t="s">
        <v>38</v>
      </c>
      <c r="B20" s="6">
        <v>31.9425</v>
      </c>
      <c r="C20" s="5" t="str">
        <f t="shared" si="1"/>
        <v>High</v>
      </c>
      <c r="D20" s="7">
        <v>22.1</v>
      </c>
      <c r="E20" s="5" t="str">
        <f t="shared" si="2"/>
        <v>Low</v>
      </c>
      <c r="F20" s="6">
        <v>45.24</v>
      </c>
      <c r="G20" s="5" t="str">
        <f t="shared" si="3"/>
        <v>Standard</v>
      </c>
      <c r="H20" s="6">
        <v>0.9242589015233319</v>
      </c>
      <c r="I20" s="5" t="str">
        <f t="shared" si="4"/>
        <v>Standard</v>
      </c>
    </row>
    <row r="21">
      <c r="A21" s="5" t="s">
        <v>39</v>
      </c>
      <c r="B21" s="6">
        <v>8.43</v>
      </c>
      <c r="C21" s="5" t="str">
        <f t="shared" si="1"/>
        <v>Low</v>
      </c>
      <c r="D21" s="7">
        <v>98.59</v>
      </c>
      <c r="E21" s="5" t="str">
        <f t="shared" si="2"/>
        <v>High</v>
      </c>
      <c r="F21" s="6">
        <v>7.62</v>
      </c>
      <c r="G21" s="5" t="str">
        <f t="shared" si="3"/>
        <v>Low</v>
      </c>
      <c r="H21" s="6">
        <v>0.36464311358790924</v>
      </c>
      <c r="I21" s="5" t="str">
        <f t="shared" si="4"/>
        <v>Low</v>
      </c>
    </row>
    <row r="22">
      <c r="A22" s="5" t="s">
        <v>40</v>
      </c>
      <c r="B22" s="6">
        <v>16.12</v>
      </c>
      <c r="C22" s="5" t="str">
        <f t="shared" si="1"/>
        <v>High</v>
      </c>
      <c r="D22" s="7">
        <v>62.35</v>
      </c>
      <c r="E22" s="5" t="str">
        <f t="shared" si="2"/>
        <v>High</v>
      </c>
      <c r="F22" s="6">
        <v>20.08</v>
      </c>
      <c r="G22" s="5" t="str">
        <f t="shared" si="3"/>
        <v>Low</v>
      </c>
      <c r="H22" s="6">
        <v>2.806386101823072</v>
      </c>
      <c r="I22" s="5" t="str">
        <f t="shared" si="4"/>
        <v>High</v>
      </c>
    </row>
    <row r="23">
      <c r="A23" s="5" t="s">
        <v>41</v>
      </c>
      <c r="B23" s="6">
        <v>19.5</v>
      </c>
      <c r="C23" s="5" t="str">
        <f t="shared" si="1"/>
        <v>High</v>
      </c>
      <c r="D23" s="7">
        <v>35.3</v>
      </c>
      <c r="E23" s="5" t="str">
        <f t="shared" si="2"/>
        <v>Low</v>
      </c>
      <c r="F23" s="6">
        <v>29.73</v>
      </c>
      <c r="G23" s="5" t="str">
        <f t="shared" si="3"/>
        <v>Low</v>
      </c>
      <c r="H23" s="6">
        <v>0.32930374714260047</v>
      </c>
      <c r="I23" s="5" t="str">
        <f t="shared" si="4"/>
        <v>Low</v>
      </c>
    </row>
    <row r="24">
      <c r="A24" s="5" t="s">
        <v>42</v>
      </c>
      <c r="B24" s="6">
        <v>0.68</v>
      </c>
      <c r="C24" s="5" t="str">
        <f t="shared" si="1"/>
        <v>Low</v>
      </c>
      <c r="D24" s="7">
        <v>6.29</v>
      </c>
      <c r="E24" s="5" t="str">
        <f t="shared" si="2"/>
        <v>Low</v>
      </c>
      <c r="F24" s="6">
        <v>0.0</v>
      </c>
      <c r="G24" s="5" t="str">
        <f t="shared" si="3"/>
        <v>Low</v>
      </c>
      <c r="H24" s="6">
        <v>1.1391037175057006</v>
      </c>
      <c r="I24" s="5" t="str">
        <f t="shared" si="4"/>
        <v>Standard</v>
      </c>
    </row>
    <row r="25">
      <c r="A25" s="5" t="s">
        <v>43</v>
      </c>
      <c r="B25" s="6">
        <v>3.14</v>
      </c>
      <c r="C25" s="5" t="str">
        <f t="shared" si="1"/>
        <v>Low</v>
      </c>
      <c r="D25" s="7">
        <v>7.17</v>
      </c>
      <c r="E25" s="5" t="str">
        <f t="shared" si="2"/>
        <v>Low</v>
      </c>
      <c r="F25" s="6">
        <v>71.08</v>
      </c>
      <c r="G25" s="5" t="str">
        <f t="shared" si="3"/>
        <v>High</v>
      </c>
      <c r="H25" s="6">
        <v>0.5653138090500605</v>
      </c>
      <c r="I25" s="5" t="str">
        <f t="shared" si="4"/>
        <v>Standard</v>
      </c>
    </row>
    <row r="26">
      <c r="A26" s="5" t="s">
        <v>44</v>
      </c>
      <c r="B26" s="6">
        <v>18.76</v>
      </c>
      <c r="C26" s="5" t="str">
        <f t="shared" si="1"/>
        <v>High</v>
      </c>
      <c r="D26" s="7">
        <v>115.19</v>
      </c>
      <c r="E26" s="5" t="str">
        <f t="shared" si="2"/>
        <v>High</v>
      </c>
      <c r="F26" s="6">
        <v>87.98099999999998</v>
      </c>
      <c r="G26" s="5" t="str">
        <f t="shared" si="3"/>
        <v>High</v>
      </c>
      <c r="H26" s="6">
        <v>0.46373401623214006</v>
      </c>
      <c r="I26" s="5" t="str">
        <f t="shared" si="4"/>
        <v>Low</v>
      </c>
    </row>
    <row r="27">
      <c r="A27" s="5" t="s">
        <v>45</v>
      </c>
      <c r="B27" s="6">
        <v>9.16</v>
      </c>
      <c r="C27" s="5" t="str">
        <f t="shared" si="1"/>
        <v>Low</v>
      </c>
      <c r="D27" s="7">
        <v>54.76</v>
      </c>
      <c r="E27" s="5" t="str">
        <f t="shared" si="2"/>
        <v>Standard</v>
      </c>
      <c r="F27" s="6">
        <v>87.98099999999998</v>
      </c>
      <c r="G27" s="5" t="str">
        <f t="shared" si="3"/>
        <v>High</v>
      </c>
      <c r="H27" s="6">
        <v>0.058268908123975824</v>
      </c>
      <c r="I27" s="5" t="str">
        <f t="shared" si="4"/>
        <v>Low</v>
      </c>
    </row>
    <row r="28">
      <c r="A28" s="5" t="s">
        <v>46</v>
      </c>
      <c r="B28" s="6">
        <v>8.06</v>
      </c>
      <c r="C28" s="5" t="str">
        <f t="shared" si="1"/>
        <v>Low</v>
      </c>
      <c r="D28" s="7">
        <v>36.61</v>
      </c>
      <c r="E28" s="5" t="str">
        <f t="shared" si="2"/>
        <v>Low</v>
      </c>
      <c r="F28" s="6">
        <v>20.49</v>
      </c>
      <c r="G28" s="5" t="str">
        <f t="shared" si="3"/>
        <v>Low</v>
      </c>
      <c r="H28" s="6">
        <v>0.4885800148186709</v>
      </c>
      <c r="I28" s="5" t="str">
        <f t="shared" si="4"/>
        <v>Low</v>
      </c>
    </row>
    <row r="29">
      <c r="A29" s="5" t="s">
        <v>47</v>
      </c>
      <c r="B29" s="6">
        <v>3.76</v>
      </c>
      <c r="C29" s="5" t="str">
        <f t="shared" si="1"/>
        <v>Low</v>
      </c>
      <c r="D29" s="7">
        <v>12.51</v>
      </c>
      <c r="E29" s="5" t="str">
        <f t="shared" si="2"/>
        <v>Low</v>
      </c>
      <c r="F29" s="6">
        <v>8.79</v>
      </c>
      <c r="G29" s="5" t="str">
        <f t="shared" si="3"/>
        <v>Low</v>
      </c>
      <c r="H29" s="6">
        <v>0.17395330712343798</v>
      </c>
      <c r="I29" s="5" t="str">
        <f t="shared" si="4"/>
        <v>Low</v>
      </c>
    </row>
    <row r="30">
      <c r="A30" s="5" t="s">
        <v>48</v>
      </c>
      <c r="B30" s="6">
        <v>8.01</v>
      </c>
      <c r="C30" s="5" t="str">
        <f t="shared" si="1"/>
        <v>Low</v>
      </c>
      <c r="D30" s="7">
        <v>175.54</v>
      </c>
      <c r="E30" s="5" t="str">
        <f t="shared" si="2"/>
        <v>High</v>
      </c>
      <c r="F30" s="6">
        <v>21.57</v>
      </c>
      <c r="G30" s="5" t="str">
        <f t="shared" si="3"/>
        <v>Low</v>
      </c>
      <c r="H30" s="6">
        <v>0.16551443847757333</v>
      </c>
      <c r="I30" s="5" t="str">
        <f t="shared" si="4"/>
        <v>Low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</row>
    <row r="2">
      <c r="A2" s="2" t="s">
        <v>20</v>
      </c>
      <c r="B2" s="2">
        <v>0.3158372611</v>
      </c>
      <c r="C2" s="2">
        <v>0.09728875946</v>
      </c>
      <c r="D2" s="2">
        <v>0.3080344577</v>
      </c>
      <c r="E2" s="2" t="s">
        <v>10</v>
      </c>
    </row>
    <row r="3">
      <c r="A3" s="2" t="s">
        <v>21</v>
      </c>
      <c r="B3" s="2">
        <v>0.1255299789</v>
      </c>
      <c r="C3" s="2">
        <v>0.09042789876</v>
      </c>
      <c r="D3" s="2">
        <v>0.7203689474</v>
      </c>
      <c r="E3" s="2" t="s">
        <v>54</v>
      </c>
    </row>
    <row r="4">
      <c r="A4" s="2" t="s">
        <v>22</v>
      </c>
      <c r="B4" s="2">
        <v>0.04255643333</v>
      </c>
      <c r="C4" s="2">
        <v>0.06736564586</v>
      </c>
      <c r="D4" s="2">
        <v>1.582972082</v>
      </c>
      <c r="E4" s="2" t="s">
        <v>54</v>
      </c>
    </row>
    <row r="5">
      <c r="A5" s="2" t="s">
        <v>23</v>
      </c>
      <c r="B5" s="2">
        <v>0.4869448367</v>
      </c>
      <c r="C5" s="2">
        <v>0.2518443158</v>
      </c>
      <c r="D5" s="2">
        <v>0.5171927019</v>
      </c>
      <c r="E5" s="2" t="s">
        <v>55</v>
      </c>
    </row>
    <row r="6">
      <c r="A6" s="2" t="s">
        <v>24</v>
      </c>
      <c r="B6" s="2">
        <v>0.5065697878</v>
      </c>
      <c r="C6" s="2">
        <v>0.1572646808</v>
      </c>
      <c r="D6" s="2">
        <v>0.310450178</v>
      </c>
      <c r="E6" s="2" t="s">
        <v>55</v>
      </c>
    </row>
    <row r="7">
      <c r="A7" s="2" t="s">
        <v>25</v>
      </c>
      <c r="B7" s="2">
        <v>0.1270171178</v>
      </c>
      <c r="C7" s="2">
        <v>0.1685551422</v>
      </c>
      <c r="D7" s="2">
        <v>1.32702698</v>
      </c>
      <c r="E7" s="2" t="s">
        <v>54</v>
      </c>
    </row>
    <row r="8">
      <c r="A8" s="2" t="s">
        <v>26</v>
      </c>
      <c r="B8" s="2">
        <v>0.1276087589</v>
      </c>
      <c r="C8" s="2">
        <v>0.01741586348</v>
      </c>
      <c r="D8" s="2">
        <v>0.13647859</v>
      </c>
      <c r="E8" s="2" t="s">
        <v>10</v>
      </c>
    </row>
    <row r="9">
      <c r="A9" s="2" t="s">
        <v>27</v>
      </c>
      <c r="B9" s="2">
        <v>0.1581888922</v>
      </c>
      <c r="C9" s="2">
        <v>0.0809607509</v>
      </c>
      <c r="D9" s="2">
        <v>0.511797951</v>
      </c>
      <c r="E9" s="2" t="s">
        <v>55</v>
      </c>
    </row>
    <row r="10">
      <c r="A10" s="2" t="s">
        <v>28</v>
      </c>
      <c r="B10" s="2">
        <v>0.1760652044</v>
      </c>
      <c r="C10" s="2">
        <v>0.06606177506</v>
      </c>
      <c r="D10" s="2">
        <v>0.3752119862</v>
      </c>
      <c r="E10" s="2" t="s">
        <v>55</v>
      </c>
    </row>
    <row r="11">
      <c r="A11" s="2" t="s">
        <v>29</v>
      </c>
      <c r="B11" s="2">
        <v>0.19740215</v>
      </c>
      <c r="C11" s="2">
        <v>0.02712200918</v>
      </c>
      <c r="D11" s="2">
        <v>0.1373947</v>
      </c>
      <c r="E11" s="2" t="s">
        <v>10</v>
      </c>
    </row>
    <row r="12">
      <c r="A12" s="2" t="s">
        <v>30</v>
      </c>
      <c r="B12" s="2">
        <v>0.07385946</v>
      </c>
      <c r="C12" s="2">
        <v>0.07226394047</v>
      </c>
      <c r="D12" s="2">
        <v>0.9783978989</v>
      </c>
      <c r="E12" s="2" t="s">
        <v>54</v>
      </c>
    </row>
    <row r="13">
      <c r="A13" s="2" t="s">
        <v>31</v>
      </c>
      <c r="B13" s="2">
        <v>0.03966215889</v>
      </c>
      <c r="C13" s="2">
        <v>0.04980593171</v>
      </c>
      <c r="D13" s="2">
        <v>1.255754429</v>
      </c>
      <c r="E13" s="2" t="s">
        <v>54</v>
      </c>
    </row>
    <row r="14">
      <c r="A14" s="2" t="s">
        <v>32</v>
      </c>
      <c r="B14" s="2">
        <v>-3.750588889E-4</v>
      </c>
      <c r="C14" s="2">
        <v>0.01757360503</v>
      </c>
      <c r="D14" s="2">
        <v>46.85558869</v>
      </c>
      <c r="E14" s="2" t="s">
        <v>54</v>
      </c>
    </row>
    <row r="15">
      <c r="A15" s="2" t="s">
        <v>33</v>
      </c>
      <c r="B15" s="2">
        <v>0.1646195144</v>
      </c>
      <c r="C15" s="2">
        <v>0.04694089416</v>
      </c>
      <c r="D15" s="2">
        <v>0.2851478108</v>
      </c>
      <c r="E15" s="2" t="s">
        <v>10</v>
      </c>
    </row>
    <row r="16">
      <c r="A16" s="2" t="s">
        <v>34</v>
      </c>
      <c r="B16" s="2">
        <v>0.08459407</v>
      </c>
      <c r="C16" s="2">
        <v>0.04194637039</v>
      </c>
      <c r="D16" s="2">
        <v>0.4958547377</v>
      </c>
      <c r="E16" s="2" t="s">
        <v>55</v>
      </c>
    </row>
    <row r="17">
      <c r="A17" s="2" t="s">
        <v>35</v>
      </c>
      <c r="B17" s="2">
        <v>0.1268456589</v>
      </c>
      <c r="C17" s="2">
        <v>0.07682934594</v>
      </c>
      <c r="D17" s="2">
        <v>0.6056915673</v>
      </c>
      <c r="E17" s="2" t="s">
        <v>54</v>
      </c>
    </row>
    <row r="18">
      <c r="A18" s="2" t="s">
        <v>36</v>
      </c>
      <c r="B18" s="2">
        <v>0.2900828122</v>
      </c>
      <c r="C18" s="2">
        <v>0.08972625425</v>
      </c>
      <c r="D18" s="2">
        <v>0.3093125496</v>
      </c>
      <c r="E18" s="2" t="s">
        <v>10</v>
      </c>
    </row>
    <row r="19">
      <c r="A19" s="2" t="s">
        <v>37</v>
      </c>
      <c r="B19" s="2">
        <v>0.02332659</v>
      </c>
      <c r="C19" s="2">
        <v>0.02231264618</v>
      </c>
      <c r="D19" s="2">
        <v>0.9565327029</v>
      </c>
      <c r="E19" s="2" t="s">
        <v>54</v>
      </c>
    </row>
    <row r="20">
      <c r="A20" s="2" t="s">
        <v>38</v>
      </c>
      <c r="B20" s="2">
        <v>0.1020874922</v>
      </c>
      <c r="C20" s="2">
        <v>0.01532175442</v>
      </c>
      <c r="D20" s="2">
        <v>0.150084541</v>
      </c>
      <c r="E20" s="2" t="s">
        <v>10</v>
      </c>
    </row>
    <row r="21">
      <c r="A21" s="2" t="s">
        <v>39</v>
      </c>
      <c r="B21" s="2">
        <v>0.1958966711</v>
      </c>
      <c r="C21" s="2">
        <v>0.05266806137</v>
      </c>
      <c r="D21" s="2">
        <v>0.2688563367</v>
      </c>
      <c r="E21" s="2" t="s">
        <v>10</v>
      </c>
    </row>
    <row r="22">
      <c r="A22" s="2" t="s">
        <v>40</v>
      </c>
      <c r="B22" s="2">
        <v>0.7776091056</v>
      </c>
      <c r="C22" s="2">
        <v>0.6920479584</v>
      </c>
      <c r="D22" s="2">
        <v>0.889968949</v>
      </c>
      <c r="E22" s="2" t="s">
        <v>54</v>
      </c>
    </row>
    <row r="23">
      <c r="A23" s="2" t="s">
        <v>41</v>
      </c>
      <c r="B23" s="2">
        <v>0.06881023333</v>
      </c>
      <c r="C23" s="2">
        <v>0.03753399392</v>
      </c>
      <c r="D23" s="2">
        <v>0.5454711037</v>
      </c>
      <c r="E23" s="2" t="s">
        <v>55</v>
      </c>
    </row>
    <row r="24">
      <c r="A24" s="2" t="s">
        <v>42</v>
      </c>
      <c r="B24" s="2">
        <v>0.3439603722</v>
      </c>
      <c r="C24" s="2">
        <v>0.2276761647</v>
      </c>
      <c r="D24" s="2">
        <v>0.6619255679</v>
      </c>
      <c r="E24" s="2" t="s">
        <v>54</v>
      </c>
    </row>
    <row r="25">
      <c r="A25" s="2" t="s">
        <v>43</v>
      </c>
      <c r="B25" s="2">
        <v>0.31305268</v>
      </c>
      <c r="C25" s="2">
        <v>0.1214978239</v>
      </c>
      <c r="D25" s="2">
        <v>0.3881066405</v>
      </c>
      <c r="E25" s="2" t="s">
        <v>55</v>
      </c>
    </row>
    <row r="26">
      <c r="A26" s="2" t="s">
        <v>44</v>
      </c>
      <c r="B26" s="2">
        <v>0.1344363189</v>
      </c>
      <c r="C26" s="2">
        <v>0.02839294893</v>
      </c>
      <c r="D26" s="2">
        <v>0.2111999879</v>
      </c>
      <c r="E26" s="2" t="s">
        <v>10</v>
      </c>
    </row>
    <row r="27">
      <c r="A27" s="2" t="s">
        <v>45</v>
      </c>
      <c r="B27" s="2">
        <v>0.1518782622</v>
      </c>
      <c r="C27" s="2">
        <v>0.09019569463</v>
      </c>
      <c r="D27" s="2">
        <v>0.5938683608</v>
      </c>
      <c r="E27" s="2" t="s">
        <v>55</v>
      </c>
    </row>
    <row r="28">
      <c r="A28" s="2" t="s">
        <v>46</v>
      </c>
      <c r="B28" s="2">
        <v>0.3454462089</v>
      </c>
      <c r="C28" s="2">
        <v>0.0822910401</v>
      </c>
      <c r="D28" s="2">
        <v>0.2382166542</v>
      </c>
      <c r="E28" s="2" t="s">
        <v>10</v>
      </c>
    </row>
    <row r="29">
      <c r="A29" s="2" t="s">
        <v>47</v>
      </c>
      <c r="B29" s="2">
        <v>0.1835622256</v>
      </c>
      <c r="C29" s="2">
        <v>0.09904333382</v>
      </c>
      <c r="D29" s="2">
        <v>0.5395627206</v>
      </c>
      <c r="E29" s="2" t="s">
        <v>55</v>
      </c>
    </row>
    <row r="30">
      <c r="A30" s="2" t="s">
        <v>48</v>
      </c>
      <c r="B30" s="2">
        <v>0.1900580011</v>
      </c>
      <c r="C30" s="2">
        <v>0.03088555322</v>
      </c>
      <c r="D30" s="2">
        <v>0.1625059353</v>
      </c>
      <c r="E30" s="2" t="s">
        <v>10</v>
      </c>
    </row>
  </sheetData>
  <drawing r:id="rId1"/>
</worksheet>
</file>