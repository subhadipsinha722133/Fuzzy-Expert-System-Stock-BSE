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turns" sheetId="1" r:id="rId5"/>
    <sheet state="visible" name="SR_Calculations" sheetId="2" r:id="rId6"/>
  </sheets>
  <definedNames/>
  <calcPr/>
</workbook>
</file>

<file path=xl/sharedStrings.xml><?xml version="1.0" encoding="utf-8"?>
<sst xmlns="http://schemas.openxmlformats.org/spreadsheetml/2006/main" count="67" uniqueCount="38">
  <si>
    <t>ANNUAL RETURN</t>
  </si>
  <si>
    <t>Adani Ports and Special Economic Zone Ltd</t>
  </si>
  <si>
    <t>Asian Paints Ltd</t>
  </si>
  <si>
    <t>AXIS Bank Ltd</t>
  </si>
  <si>
    <t>Bajaj Finserv Ltd</t>
  </si>
  <si>
    <t>Bajaj Finance Ltd</t>
  </si>
  <si>
    <t>Bharat Electronics Ltd</t>
  </si>
  <si>
    <t>Bharti Airtel Ltd</t>
  </si>
  <si>
    <t>HCL Technologies Ltd</t>
  </si>
  <si>
    <t>HDFC Bank Ltd</t>
  </si>
  <si>
    <t>Hindustan Unilever Ltd</t>
  </si>
  <si>
    <t>ICICI Bank Ltd</t>
  </si>
  <si>
    <t>Infosys Ltd</t>
  </si>
  <si>
    <t>ITC Ltd</t>
  </si>
  <si>
    <t>Kotak Mahindra Bank Ltd</t>
  </si>
  <si>
    <t>Larsen &amp; Toubro Ltd</t>
  </si>
  <si>
    <t>Mahindra &amp; Mahindra Ltd</t>
  </si>
  <si>
    <t>Maruti Suzuki India Ltd</t>
  </si>
  <si>
    <t>NTPC Ltd</t>
  </si>
  <si>
    <t>Power Grid Corporation of India Ltd</t>
  </si>
  <si>
    <t>Reliance Industries Ltd</t>
  </si>
  <si>
    <t>State Bank of India</t>
  </si>
  <si>
    <t>Sun Pharmaceutical Industries Ltd</t>
  </si>
  <si>
    <t>Tata Motors Ltd</t>
  </si>
  <si>
    <t>Tata Steel Ltd</t>
  </si>
  <si>
    <t>Tata Consultancy Services Ltd</t>
  </si>
  <si>
    <t>Tech Mahindra Ltd</t>
  </si>
  <si>
    <t>Titan Company Ltd</t>
  </si>
  <si>
    <t>Trent Ltd</t>
  </si>
  <si>
    <t>UltraTech Cement Ltd</t>
  </si>
  <si>
    <t>Stock Name</t>
  </si>
  <si>
    <t>mean return</t>
  </si>
  <si>
    <t>semivariance</t>
  </si>
  <si>
    <t>S/R ratio</t>
  </si>
  <si>
    <t>Performance</t>
  </si>
  <si>
    <t>no of high</t>
  </si>
  <si>
    <t>no of Average</t>
  </si>
  <si>
    <t>no of low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</si>
</sst>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sz val="12.0"/>
      <color rgb="FF00B050"/>
      <name val="Times New Roman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bottom"/>
    </xf>
    <xf borderId="0" fillId="0" fontId="2" numFmtId="0" xfId="0" applyAlignment="1" applyFont="1">
      <alignment horizontal="right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2" fontId="3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75"/>
  </cols>
  <sheetData>
    <row r="1">
      <c r="A1" s="1" t="s">
        <v>0</v>
      </c>
      <c r="B1" s="2">
        <v>2014.0</v>
      </c>
      <c r="C1" s="2">
        <v>2015.0</v>
      </c>
      <c r="D1" s="2">
        <v>2016.0</v>
      </c>
      <c r="E1" s="2">
        <v>2017.0</v>
      </c>
      <c r="F1" s="2">
        <v>2018.0</v>
      </c>
      <c r="G1" s="2">
        <v>2019.0</v>
      </c>
      <c r="H1" s="2">
        <v>2020.0</v>
      </c>
      <c r="I1" s="2">
        <v>2021.0</v>
      </c>
      <c r="J1" s="2">
        <v>2022.0</v>
      </c>
      <c r="K1" s="2"/>
      <c r="L1" s="2"/>
      <c r="M1" s="2"/>
    </row>
    <row r="2">
      <c r="A2" s="3" t="s">
        <v>1</v>
      </c>
      <c r="B2" s="4">
        <v>0.35135135</v>
      </c>
      <c r="C2" s="4">
        <v>0.642933</v>
      </c>
      <c r="D2" s="4">
        <v>-0.19591</v>
      </c>
      <c r="E2" s="4">
        <v>0.371821</v>
      </c>
      <c r="F2" s="4">
        <v>0.043702</v>
      </c>
      <c r="G2" s="4">
        <v>0.06584</v>
      </c>
      <c r="H2" s="4">
        <v>-0.33519</v>
      </c>
      <c r="I2" s="4">
        <v>1.796458</v>
      </c>
      <c r="J2" s="4">
        <v>0.10153</v>
      </c>
      <c r="K2" s="4"/>
      <c r="L2" s="4"/>
      <c r="M2" s="4"/>
    </row>
    <row r="3">
      <c r="A3" s="3" t="s">
        <v>2</v>
      </c>
      <c r="B3" s="4">
        <v>-0.88879619</v>
      </c>
      <c r="C3" s="4">
        <v>0.479872</v>
      </c>
      <c r="D3" s="4">
        <v>0.074127</v>
      </c>
      <c r="E3" s="4">
        <v>0.233107</v>
      </c>
      <c r="F3" s="4">
        <v>0.04621</v>
      </c>
      <c r="G3" s="4">
        <v>0.331222</v>
      </c>
      <c r="H3" s="4">
        <v>0.117166</v>
      </c>
      <c r="I3" s="4">
        <v>0.52202</v>
      </c>
      <c r="J3" s="4">
        <v>0.214842</v>
      </c>
      <c r="K3" s="4"/>
      <c r="L3" s="4"/>
      <c r="M3" s="4"/>
    </row>
    <row r="4">
      <c r="A4" s="3" t="s">
        <v>3</v>
      </c>
      <c r="B4" s="4">
        <v>0.1223439</v>
      </c>
      <c r="C4" s="4">
        <v>-0.61628</v>
      </c>
      <c r="D4" s="4">
        <v>-0.20673</v>
      </c>
      <c r="E4" s="4">
        <v>0.104038</v>
      </c>
      <c r="F4" s="4">
        <v>0.037897</v>
      </c>
      <c r="G4" s="4">
        <v>0.523557</v>
      </c>
      <c r="H4" s="4">
        <v>-0.51127</v>
      </c>
      <c r="I4" s="4">
        <v>0.838914</v>
      </c>
      <c r="J4" s="4">
        <v>0.090538</v>
      </c>
      <c r="K4" s="4"/>
      <c r="L4" s="4"/>
      <c r="M4" s="4"/>
    </row>
    <row r="5">
      <c r="A5" s="3" t="s">
        <v>4</v>
      </c>
      <c r="B5" s="4">
        <v>0.55069953</v>
      </c>
      <c r="C5" s="4">
        <v>1.288344</v>
      </c>
      <c r="D5" s="4">
        <v>0.691596</v>
      </c>
      <c r="E5" s="4">
        <v>-0.83056</v>
      </c>
      <c r="F5" s="4">
        <v>0.507325</v>
      </c>
      <c r="G5" s="4">
        <v>0.709196</v>
      </c>
      <c r="H5" s="4">
        <v>-0.26739</v>
      </c>
      <c r="I5" s="4">
        <v>1.323458</v>
      </c>
      <c r="J5" s="4">
        <v>0.409835</v>
      </c>
      <c r="K5" s="4"/>
      <c r="L5" s="4"/>
      <c r="M5" s="4"/>
    </row>
    <row r="6">
      <c r="A6" s="3" t="s">
        <v>5</v>
      </c>
      <c r="B6" s="4">
        <v>0.02730109</v>
      </c>
      <c r="C6" s="4">
        <v>0.758352</v>
      </c>
      <c r="D6" s="4">
        <v>0.226205</v>
      </c>
      <c r="E6" s="4">
        <v>1.399296</v>
      </c>
      <c r="F6" s="4">
        <v>0.266831</v>
      </c>
      <c r="G6" s="4">
        <v>0.358575</v>
      </c>
      <c r="H6" s="4">
        <v>-0.34763</v>
      </c>
      <c r="I6" s="4">
        <v>1.106389</v>
      </c>
      <c r="J6" s="4">
        <v>0.763809</v>
      </c>
      <c r="K6" s="4"/>
      <c r="L6" s="4"/>
      <c r="M6" s="4"/>
    </row>
    <row r="7">
      <c r="A7" s="3" t="s">
        <v>6</v>
      </c>
      <c r="B7" s="4">
        <v>-0.00391594</v>
      </c>
      <c r="C7" s="4">
        <v>1.924256</v>
      </c>
      <c r="D7" s="4">
        <v>-0.63567</v>
      </c>
      <c r="E7" s="4">
        <v>-0.87179</v>
      </c>
      <c r="F7" s="4">
        <v>-0.09146</v>
      </c>
      <c r="G7" s="4">
        <v>-0.34319</v>
      </c>
      <c r="H7" s="4">
        <v>-0.20311</v>
      </c>
      <c r="I7" s="4">
        <v>0.682582</v>
      </c>
      <c r="J7" s="4">
        <v>0.685452</v>
      </c>
      <c r="K7" s="4"/>
      <c r="L7" s="4"/>
      <c r="M7" s="4"/>
    </row>
    <row r="8">
      <c r="A8" s="3" t="s">
        <v>7</v>
      </c>
      <c r="B8" s="4">
        <v>0.09287183</v>
      </c>
      <c r="C8" s="4">
        <v>0.235183</v>
      </c>
      <c r="D8" s="4">
        <v>-0.10916</v>
      </c>
      <c r="E8" s="4">
        <v>-0.00271</v>
      </c>
      <c r="F8" s="4">
        <v>0.139877</v>
      </c>
      <c r="G8" s="4">
        <v>-0.16546</v>
      </c>
      <c r="H8" s="4">
        <v>0.323521</v>
      </c>
      <c r="I8" s="4">
        <v>0.174081</v>
      </c>
      <c r="J8" s="4">
        <v>0.460275</v>
      </c>
      <c r="K8" s="4"/>
      <c r="L8" s="4"/>
      <c r="M8" s="4"/>
    </row>
    <row r="9">
      <c r="A9" s="3" t="s">
        <v>8</v>
      </c>
      <c r="B9" s="4">
        <v>0.74696903</v>
      </c>
      <c r="C9" s="4">
        <v>-0.29547</v>
      </c>
      <c r="D9" s="4">
        <v>-0.16894</v>
      </c>
      <c r="E9" s="4">
        <v>0.072345</v>
      </c>
      <c r="F9" s="4">
        <v>0.110475</v>
      </c>
      <c r="G9" s="4">
        <v>0.122228</v>
      </c>
      <c r="H9" s="4">
        <v>-0.59858</v>
      </c>
      <c r="I9" s="4">
        <v>1.251746</v>
      </c>
      <c r="J9" s="4">
        <v>0.182927</v>
      </c>
      <c r="K9" s="4"/>
      <c r="L9" s="4"/>
      <c r="M9" s="4"/>
    </row>
    <row r="10">
      <c r="A10" s="3" t="s">
        <v>9</v>
      </c>
      <c r="B10" s="4">
        <v>0.19988784</v>
      </c>
      <c r="C10" s="4">
        <v>0.365894</v>
      </c>
      <c r="D10" s="4">
        <v>0.04727</v>
      </c>
      <c r="E10" s="4">
        <v>0.346434</v>
      </c>
      <c r="F10" s="4">
        <v>0.311412</v>
      </c>
      <c r="G10" s="4">
        <v>0.224722</v>
      </c>
      <c r="H10" s="4">
        <v>-0.62789</v>
      </c>
      <c r="I10" s="4">
        <v>0.732657</v>
      </c>
      <c r="J10" s="4">
        <v>-0.0158</v>
      </c>
      <c r="K10" s="4"/>
      <c r="L10" s="4"/>
      <c r="M10" s="4"/>
    </row>
    <row r="11">
      <c r="A11" s="3" t="s">
        <v>10</v>
      </c>
      <c r="B11" s="4">
        <v>0.29510835</v>
      </c>
      <c r="C11" s="4">
        <v>0.446037</v>
      </c>
      <c r="D11" s="4">
        <v>-0.0039</v>
      </c>
      <c r="E11" s="4">
        <v>0.046291</v>
      </c>
      <c r="F11" s="4">
        <v>0.468425</v>
      </c>
      <c r="G11" s="4">
        <v>0.278389</v>
      </c>
      <c r="H11" s="4">
        <v>0.345679</v>
      </c>
      <c r="I11" s="4">
        <v>0.05772</v>
      </c>
      <c r="J11" s="4">
        <v>-0.15713</v>
      </c>
      <c r="K11" s="4"/>
      <c r="L11" s="4"/>
      <c r="M11" s="4"/>
    </row>
    <row r="12">
      <c r="A12" s="3" t="s">
        <v>11</v>
      </c>
      <c r="B12" s="4">
        <v>0.19141914</v>
      </c>
      <c r="C12" s="4">
        <v>-0.74684</v>
      </c>
      <c r="D12" s="4">
        <v>-0.24976</v>
      </c>
      <c r="E12" s="4">
        <v>0.171423</v>
      </c>
      <c r="F12" s="4">
        <v>0.004691</v>
      </c>
      <c r="G12" s="4">
        <v>0.432651</v>
      </c>
      <c r="H12" s="4">
        <v>-0.18641</v>
      </c>
      <c r="I12" s="4">
        <v>0.791217</v>
      </c>
      <c r="J12" s="4">
        <v>0.256344</v>
      </c>
      <c r="K12" s="4"/>
      <c r="L12" s="4"/>
      <c r="M12" s="4"/>
    </row>
    <row r="13">
      <c r="A13" s="3" t="s">
        <v>12</v>
      </c>
      <c r="B13" s="4">
        <v>0.13458943</v>
      </c>
      <c r="C13" s="4">
        <v>-0.32397</v>
      </c>
      <c r="D13" s="4">
        <v>-0.45053</v>
      </c>
      <c r="E13" s="4">
        <v>-0.16187</v>
      </c>
      <c r="F13" s="4">
        <v>0.111285</v>
      </c>
      <c r="G13" s="4">
        <v>-0.34565</v>
      </c>
      <c r="H13" s="4">
        <v>-0.13741</v>
      </c>
      <c r="I13" s="4">
        <v>1.136108</v>
      </c>
      <c r="J13" s="4">
        <v>0.394407</v>
      </c>
      <c r="K13" s="4"/>
      <c r="L13" s="4"/>
      <c r="M13" s="4"/>
    </row>
    <row r="14">
      <c r="A14" s="3" t="s">
        <v>13</v>
      </c>
      <c r="B14" s="4">
        <v>0.14186347</v>
      </c>
      <c r="C14" s="4">
        <v>-0.07791</v>
      </c>
      <c r="D14" s="4">
        <v>0.007989</v>
      </c>
      <c r="E14" s="4">
        <v>-0.1451</v>
      </c>
      <c r="F14" s="4">
        <v>-0.08754</v>
      </c>
      <c r="G14" s="4">
        <v>0.159437</v>
      </c>
      <c r="H14" s="4">
        <v>-0.42029</v>
      </c>
      <c r="I14" s="4">
        <v>0.270349</v>
      </c>
      <c r="J14" s="4">
        <v>0.147826</v>
      </c>
      <c r="K14" s="4"/>
      <c r="L14" s="4"/>
      <c r="M14" s="4"/>
    </row>
    <row r="15">
      <c r="A15" s="3" t="s">
        <v>14</v>
      </c>
      <c r="B15" s="4">
        <v>0.19435063</v>
      </c>
      <c r="C15" s="4">
        <v>0.687853</v>
      </c>
      <c r="D15" s="4">
        <v>-0.4814</v>
      </c>
      <c r="E15" s="4">
        <v>0.280617</v>
      </c>
      <c r="F15" s="4">
        <v>0.202385</v>
      </c>
      <c r="G15" s="4">
        <v>0.273841</v>
      </c>
      <c r="H15" s="4">
        <v>-0.0295</v>
      </c>
      <c r="I15" s="4">
        <v>0.35303</v>
      </c>
      <c r="J15" s="4">
        <v>3.99E-4</v>
      </c>
      <c r="K15" s="4"/>
      <c r="L15" s="4"/>
      <c r="M15" s="4"/>
    </row>
    <row r="16">
      <c r="A16" s="3" t="s">
        <v>15</v>
      </c>
      <c r="B16" s="4">
        <v>-0.06758737</v>
      </c>
      <c r="C16" s="4">
        <v>0.350725</v>
      </c>
      <c r="D16" s="4">
        <v>-0.2925</v>
      </c>
      <c r="E16" s="4">
        <v>0.297155</v>
      </c>
      <c r="F16" s="4">
        <v>-0.16842</v>
      </c>
      <c r="G16" s="4">
        <v>0.054997</v>
      </c>
      <c r="H16" s="4">
        <v>-0.41704</v>
      </c>
      <c r="I16" s="4">
        <v>0.757886</v>
      </c>
      <c r="J16" s="4">
        <v>0.246131</v>
      </c>
      <c r="K16" s="4"/>
      <c r="L16" s="4"/>
      <c r="M16" s="4"/>
    </row>
    <row r="17">
      <c r="A17" s="3" t="s">
        <v>16</v>
      </c>
      <c r="B17" s="4">
        <v>0.13876793</v>
      </c>
      <c r="C17" s="4">
        <v>0.210575</v>
      </c>
      <c r="D17" s="4">
        <v>0.018953</v>
      </c>
      <c r="E17" s="4">
        <v>0.062043</v>
      </c>
      <c r="F17" s="4">
        <v>-0.42383</v>
      </c>
      <c r="G17" s="4">
        <v>-0.09241</v>
      </c>
      <c r="H17" s="4">
        <v>-0.57577</v>
      </c>
      <c r="I17" s="4">
        <v>1.789825</v>
      </c>
      <c r="J17" s="4">
        <v>0.013457</v>
      </c>
      <c r="K17" s="4"/>
      <c r="L17" s="4"/>
      <c r="M17" s="4"/>
    </row>
    <row r="18">
      <c r="A18" s="3" t="s">
        <v>17</v>
      </c>
      <c r="B18" s="4">
        <v>0.54051731</v>
      </c>
      <c r="C18" s="4">
        <v>0.876458</v>
      </c>
      <c r="D18" s="4">
        <v>0.005366</v>
      </c>
      <c r="E18" s="4">
        <v>0.619827</v>
      </c>
      <c r="F18" s="4">
        <v>0.471233</v>
      </c>
      <c r="G18" s="4">
        <v>-0.24725</v>
      </c>
      <c r="H18" s="4">
        <v>-0.35732</v>
      </c>
      <c r="I18" s="4">
        <v>0.599848</v>
      </c>
      <c r="J18" s="4">
        <v>0.102066</v>
      </c>
      <c r="K18" s="4"/>
      <c r="L18" s="4"/>
      <c r="M18" s="4"/>
    </row>
    <row r="19">
      <c r="A19" s="3" t="s">
        <v>18</v>
      </c>
      <c r="B19" s="4">
        <v>-0.15528169</v>
      </c>
      <c r="C19" s="4">
        <v>0.228429</v>
      </c>
      <c r="D19" s="4">
        <v>-0.12589</v>
      </c>
      <c r="E19" s="4">
        <v>0.288432</v>
      </c>
      <c r="F19" s="4">
        <v>0.022597</v>
      </c>
      <c r="G19" s="4">
        <v>-0.20242</v>
      </c>
      <c r="H19" s="4">
        <v>-0.37791</v>
      </c>
      <c r="I19" s="4">
        <v>0.264252</v>
      </c>
      <c r="J19" s="4">
        <v>0.267731</v>
      </c>
      <c r="K19" s="4"/>
      <c r="L19" s="4"/>
      <c r="M19" s="4"/>
    </row>
    <row r="20">
      <c r="A20" s="3" t="s">
        <v>19</v>
      </c>
      <c r="B20" s="4">
        <v>-0.00849457</v>
      </c>
      <c r="C20" s="4">
        <v>0.382199</v>
      </c>
      <c r="D20" s="4">
        <v>-0.04201</v>
      </c>
      <c r="E20" s="4">
        <v>0.417685</v>
      </c>
      <c r="F20" s="4">
        <v>-0.01699</v>
      </c>
      <c r="G20" s="4">
        <v>0.021924</v>
      </c>
      <c r="H20" s="4">
        <v>-0.19738</v>
      </c>
      <c r="I20" s="4">
        <v>0.356289</v>
      </c>
      <c r="J20" s="4">
        <v>0.005565</v>
      </c>
      <c r="K20" s="4"/>
      <c r="L20" s="4"/>
      <c r="M20" s="4"/>
    </row>
    <row r="21">
      <c r="A21" s="3" t="s">
        <v>20</v>
      </c>
      <c r="B21" s="4">
        <v>0.20137004</v>
      </c>
      <c r="C21" s="4">
        <v>-0.11275</v>
      </c>
      <c r="D21" s="4">
        <v>0.267431</v>
      </c>
      <c r="E21" s="4">
        <v>0.26209</v>
      </c>
      <c r="F21" s="4">
        <v>-0.33081</v>
      </c>
      <c r="G21" s="4">
        <v>0.544008</v>
      </c>
      <c r="H21" s="4">
        <v>-0.18385</v>
      </c>
      <c r="I21" s="4">
        <v>0.80071</v>
      </c>
      <c r="J21" s="4">
        <v>0.314871</v>
      </c>
      <c r="K21" s="4"/>
      <c r="L21" s="4"/>
      <c r="M21" s="4"/>
    </row>
    <row r="22">
      <c r="A22" s="3" t="s">
        <v>21</v>
      </c>
      <c r="B22" s="4">
        <v>6.67013195</v>
      </c>
      <c r="C22" s="4">
        <v>-0.86081</v>
      </c>
      <c r="D22" s="4">
        <v>-0.27228</v>
      </c>
      <c r="E22" s="4">
        <v>0.505919</v>
      </c>
      <c r="F22" s="4">
        <v>-0.14525</v>
      </c>
      <c r="G22" s="4">
        <v>0.282687</v>
      </c>
      <c r="H22" s="4">
        <v>-0.38607</v>
      </c>
      <c r="I22" s="4">
        <v>0.849962</v>
      </c>
      <c r="J22" s="4">
        <v>0.354192</v>
      </c>
      <c r="K22" s="4"/>
      <c r="L22" s="4"/>
      <c r="M22" s="4"/>
    </row>
    <row r="23">
      <c r="A23" s="3" t="s">
        <v>22</v>
      </c>
      <c r="B23" s="4">
        <v>-0.2993829</v>
      </c>
      <c r="C23" s="4">
        <v>0.0</v>
      </c>
      <c r="D23" s="4">
        <v>0.429232</v>
      </c>
      <c r="E23" s="4">
        <v>-0.16078</v>
      </c>
      <c r="F23" s="4">
        <v>-0.27963</v>
      </c>
      <c r="G23" s="4">
        <v>-0.0326</v>
      </c>
      <c r="H23" s="4">
        <v>-0.2651</v>
      </c>
      <c r="I23" s="4">
        <v>0.696763</v>
      </c>
      <c r="J23" s="4">
        <v>0.53079</v>
      </c>
      <c r="K23" s="4"/>
      <c r="L23" s="4"/>
      <c r="M23" s="4"/>
    </row>
    <row r="24">
      <c r="A24" s="3" t="s">
        <v>23</v>
      </c>
      <c r="B24" s="4">
        <v>0.47920535</v>
      </c>
      <c r="C24" s="4">
        <v>0.38057</v>
      </c>
      <c r="D24" s="4">
        <v>-0.29757</v>
      </c>
      <c r="E24" s="4">
        <v>0.206187</v>
      </c>
      <c r="F24" s="4">
        <v>-0.29724</v>
      </c>
      <c r="G24" s="4">
        <v>-0.4677</v>
      </c>
      <c r="H24" s="4">
        <v>-0.59237</v>
      </c>
      <c r="I24" s="4">
        <v>3.248417</v>
      </c>
      <c r="J24" s="4">
        <v>0.436144</v>
      </c>
      <c r="K24" s="4"/>
      <c r="L24" s="4"/>
      <c r="M24" s="4"/>
    </row>
    <row r="25">
      <c r="A25" s="3" t="s">
        <v>24</v>
      </c>
      <c r="B25" s="4">
        <v>0.26112712</v>
      </c>
      <c r="C25" s="4">
        <v>-0.19551</v>
      </c>
      <c r="D25" s="4">
        <v>0.008364</v>
      </c>
      <c r="E25" s="4">
        <v>0.510642</v>
      </c>
      <c r="F25" s="4">
        <v>0.182845</v>
      </c>
      <c r="G25" s="4">
        <v>-0.08767</v>
      </c>
      <c r="H25" s="4">
        <v>-0.4821</v>
      </c>
      <c r="I25" s="4">
        <v>2.010009</v>
      </c>
      <c r="J25" s="4">
        <v>0.609767</v>
      </c>
      <c r="K25" s="4"/>
      <c r="L25" s="4"/>
      <c r="M25" s="4"/>
    </row>
    <row r="26">
      <c r="A26" s="3" t="s">
        <v>25</v>
      </c>
      <c r="B26" s="4">
        <v>0.35402087</v>
      </c>
      <c r="C26" s="4">
        <v>0.196781</v>
      </c>
      <c r="D26" s="4">
        <v>-0.01217</v>
      </c>
      <c r="E26" s="4">
        <v>-0.03376</v>
      </c>
      <c r="F26" s="4">
        <v>0.172021</v>
      </c>
      <c r="G26" s="4">
        <v>-0.29793</v>
      </c>
      <c r="H26" s="4">
        <v>-0.08866</v>
      </c>
      <c r="I26" s="4">
        <v>0.743013</v>
      </c>
      <c r="J26" s="4">
        <v>0.176611</v>
      </c>
      <c r="K26" s="4"/>
      <c r="L26" s="4"/>
      <c r="M26" s="4"/>
    </row>
    <row r="27">
      <c r="A27" s="3" t="s">
        <v>26</v>
      </c>
      <c r="B27" s="4">
        <v>0.69433036</v>
      </c>
      <c r="C27" s="4">
        <v>-0.64924</v>
      </c>
      <c r="D27" s="4">
        <v>-0.24466</v>
      </c>
      <c r="E27" s="4">
        <v>-0.03334</v>
      </c>
      <c r="F27" s="4">
        <v>0.388816</v>
      </c>
      <c r="G27" s="4">
        <v>0.216043</v>
      </c>
      <c r="H27" s="4">
        <v>-0.27216</v>
      </c>
      <c r="I27" s="4">
        <v>0.75458</v>
      </c>
      <c r="J27" s="4">
        <v>0.512535</v>
      </c>
      <c r="K27" s="4"/>
      <c r="L27" s="4"/>
      <c r="M27" s="4"/>
    </row>
    <row r="28">
      <c r="A28" s="3" t="s">
        <v>27</v>
      </c>
      <c r="B28" s="4">
        <v>0.02319688</v>
      </c>
      <c r="C28" s="4">
        <v>0.493618</v>
      </c>
      <c r="D28" s="4">
        <v>-0.13571</v>
      </c>
      <c r="E28" s="4">
        <v>0.36157</v>
      </c>
      <c r="F28" s="4">
        <v>1.040321</v>
      </c>
      <c r="G28" s="4">
        <v>0.208564</v>
      </c>
      <c r="H28" s="4">
        <v>-0.17934</v>
      </c>
      <c r="I28" s="4">
        <v>0.668345</v>
      </c>
      <c r="J28" s="4">
        <v>0.628451</v>
      </c>
      <c r="K28" s="4"/>
      <c r="L28" s="4"/>
      <c r="M28" s="4"/>
    </row>
    <row r="29">
      <c r="A29" s="3" t="s">
        <v>28</v>
      </c>
      <c r="B29" s="4">
        <v>0.02991303</v>
      </c>
      <c r="C29" s="4">
        <v>0.433516</v>
      </c>
      <c r="D29" s="4">
        <v>0.080158</v>
      </c>
      <c r="E29" s="4">
        <v>-0.83251</v>
      </c>
      <c r="F29" s="4">
        <v>0.30303</v>
      </c>
      <c r="G29" s="4">
        <v>0.039578</v>
      </c>
      <c r="H29" s="4">
        <v>0.331666</v>
      </c>
      <c r="I29" s="4">
        <v>0.568239</v>
      </c>
      <c r="J29" s="4">
        <v>0.69847</v>
      </c>
      <c r="K29" s="4"/>
      <c r="L29" s="4"/>
      <c r="M29" s="4"/>
    </row>
    <row r="30">
      <c r="A30" s="3" t="s">
        <v>29</v>
      </c>
      <c r="B30" s="4">
        <v>0.17178801</v>
      </c>
      <c r="C30" s="4">
        <v>0.313445</v>
      </c>
      <c r="D30" s="4">
        <v>0.122435</v>
      </c>
      <c r="E30" s="4">
        <v>0.236427</v>
      </c>
      <c r="F30" s="4">
        <v>-0.01055</v>
      </c>
      <c r="G30" s="4">
        <v>0.012969</v>
      </c>
      <c r="H30" s="4">
        <v>-0.18624</v>
      </c>
      <c r="I30" s="4">
        <v>1.070308</v>
      </c>
      <c r="J30" s="4">
        <v>-0.02006</v>
      </c>
      <c r="K30" s="4"/>
      <c r="L30" s="4"/>
      <c r="M30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13"/>
  </cols>
  <sheetData>
    <row r="1">
      <c r="A1" s="5" t="s">
        <v>30</v>
      </c>
      <c r="B1" s="6" t="s">
        <v>31</v>
      </c>
      <c r="C1" s="6" t="s">
        <v>32</v>
      </c>
      <c r="D1" s="6" t="s">
        <v>33</v>
      </c>
      <c r="E1" s="6" t="s">
        <v>34</v>
      </c>
    </row>
    <row r="2">
      <c r="A2" s="3" t="s">
        <v>1</v>
      </c>
      <c r="B2" s="7">
        <f>AVERAGE(Returns!B2:M2)</f>
        <v>0.3158372611</v>
      </c>
      <c r="C2" s="7">
        <f t="array" ref="C2">AVERAGE(IF(Returns!B2:M2 &lt; B2, ( Returns!B2:M2 - B2 )^2, 0))</f>
        <v>0.09728875946</v>
      </c>
      <c r="D2" s="7">
        <f t="shared" ref="D2:D13" si="1">C2 / B2</f>
        <v>0.3080344577</v>
      </c>
      <c r="E2" s="7" t="str">
        <f t="shared" ref="E2:E30" si="2">IF(D2 &lt;= PERCENTILE($D$2:$D$30, 0.33), "High",
   IF(D2 &lt;= PERCENTILE($D$2:$D$30, 0.66), "Average", "Poor"))</f>
        <v>High</v>
      </c>
      <c r="G2" s="6" t="s">
        <v>35</v>
      </c>
      <c r="H2" s="7">
        <f>COUNTIF(E2:E30,"High")</f>
        <v>10</v>
      </c>
    </row>
    <row r="3">
      <c r="A3" s="3" t="s">
        <v>2</v>
      </c>
      <c r="B3" s="7">
        <f>AVERAGE(Returns!B3:M3)</f>
        <v>0.1255299789</v>
      </c>
      <c r="C3" s="7">
        <f t="array" ref="C3">AVERAGE(IF(Returns!B3:M3 &lt; B3, ( Returns!B3:M3 - B3 )^2, 0))</f>
        <v>0.09042789876</v>
      </c>
      <c r="D3" s="7">
        <f t="shared" si="1"/>
        <v>0.7203689474</v>
      </c>
      <c r="E3" s="7" t="str">
        <f t="shared" si="2"/>
        <v>Poor</v>
      </c>
      <c r="G3" s="6" t="s">
        <v>36</v>
      </c>
      <c r="H3" s="7">
        <f>COUNTIF(E2:E30,"Average")</f>
        <v>9</v>
      </c>
    </row>
    <row r="4">
      <c r="A4" s="3" t="s">
        <v>3</v>
      </c>
      <c r="B4" s="7">
        <f>AVERAGE(Returns!B4:M4)</f>
        <v>0.04255643333</v>
      </c>
      <c r="C4" s="7">
        <f t="array" ref="C4">AVERAGE(IF(Returns!B4:M4 &lt; B4, ( Returns!B4:M4 - B4 )^2, 0))</f>
        <v>0.06736564586</v>
      </c>
      <c r="D4" s="7">
        <f t="shared" si="1"/>
        <v>1.582972082</v>
      </c>
      <c r="E4" s="7" t="str">
        <f t="shared" si="2"/>
        <v>Poor</v>
      </c>
      <c r="G4" s="6" t="s">
        <v>37</v>
      </c>
      <c r="H4" s="7">
        <f>COUNTIF(E2:E30,"Poor")</f>
        <v>10</v>
      </c>
    </row>
    <row r="5">
      <c r="A5" s="3" t="s">
        <v>4</v>
      </c>
      <c r="B5" s="7">
        <f>AVERAGE(Returns!B5:M5)</f>
        <v>0.4869448367</v>
      </c>
      <c r="C5" s="7">
        <f t="array" ref="C5">AVERAGE(IF(Returns!B5:M5 &lt; B5, ( Returns!B5:M5 - B5 )^2, 0))</f>
        <v>0.2518443158</v>
      </c>
      <c r="D5" s="7">
        <f t="shared" si="1"/>
        <v>0.5171927019</v>
      </c>
      <c r="E5" s="7" t="str">
        <f t="shared" si="2"/>
        <v>Average</v>
      </c>
    </row>
    <row r="6">
      <c r="A6" s="3" t="s">
        <v>5</v>
      </c>
      <c r="B6" s="7">
        <f>AVERAGE(Returns!B6:M6)</f>
        <v>0.5065697878</v>
      </c>
      <c r="C6" s="7">
        <f t="array" ref="C6">AVERAGE(IF(Returns!B6:M6 &lt; B6, ( Returns!B6:M6 - B6 )^2, 0))</f>
        <v>0.1572646808</v>
      </c>
      <c r="D6" s="7">
        <f t="shared" si="1"/>
        <v>0.310450178</v>
      </c>
      <c r="E6" s="7" t="str">
        <f t="shared" si="2"/>
        <v>Average</v>
      </c>
    </row>
    <row r="7">
      <c r="A7" s="3" t="s">
        <v>6</v>
      </c>
      <c r="B7" s="7">
        <f>AVERAGE(Returns!B7:M7)</f>
        <v>0.1270171178</v>
      </c>
      <c r="C7" s="7">
        <f t="array" ref="C7">AVERAGE(IF(Returns!B7:M7 &lt; B7, ( Returns!B7:M7 - B7 )^2, 0))</f>
        <v>0.1685551422</v>
      </c>
      <c r="D7" s="7">
        <f t="shared" si="1"/>
        <v>1.32702698</v>
      </c>
      <c r="E7" s="7" t="str">
        <f t="shared" si="2"/>
        <v>Poor</v>
      </c>
    </row>
    <row r="8">
      <c r="A8" s="3" t="s">
        <v>7</v>
      </c>
      <c r="B8" s="7">
        <f>AVERAGE(Returns!B8:M8)</f>
        <v>0.1276087589</v>
      </c>
      <c r="C8" s="7">
        <f t="array" ref="C8">AVERAGE(IF(Returns!B8:M8 &lt; B8, ( Returns!B8:M8 - B8 )^2, 0))</f>
        <v>0.01741586348</v>
      </c>
      <c r="D8" s="7">
        <f t="shared" si="1"/>
        <v>0.13647859</v>
      </c>
      <c r="E8" s="7" t="str">
        <f t="shared" si="2"/>
        <v>High</v>
      </c>
    </row>
    <row r="9">
      <c r="A9" s="3" t="s">
        <v>8</v>
      </c>
      <c r="B9" s="7">
        <f>AVERAGE(Returns!B9:M9)</f>
        <v>0.1581888922</v>
      </c>
      <c r="C9" s="7">
        <f t="array" ref="C9">AVERAGE(IF(Returns!B9:M9 &lt; B9, ( Returns!B9:M9 - B9 )^2, 0))</f>
        <v>0.0809607509</v>
      </c>
      <c r="D9" s="7">
        <f t="shared" si="1"/>
        <v>0.511797951</v>
      </c>
      <c r="E9" s="7" t="str">
        <f t="shared" si="2"/>
        <v>Average</v>
      </c>
    </row>
    <row r="10">
      <c r="A10" s="3" t="s">
        <v>9</v>
      </c>
      <c r="B10" s="7">
        <f>AVERAGE(Returns!B10:M10)</f>
        <v>0.1760652044</v>
      </c>
      <c r="C10" s="7">
        <f t="array" ref="C10">AVERAGE(IF(Returns!B10:M10 &lt; B10, ( Returns!B10:M10 - B10 )^2, 0))</f>
        <v>0.06606177506</v>
      </c>
      <c r="D10" s="7">
        <f t="shared" si="1"/>
        <v>0.3752119862</v>
      </c>
      <c r="E10" s="7" t="str">
        <f t="shared" si="2"/>
        <v>Average</v>
      </c>
    </row>
    <row r="11">
      <c r="A11" s="3" t="s">
        <v>10</v>
      </c>
      <c r="B11" s="7">
        <f>AVERAGE(Returns!B11:M11)</f>
        <v>0.19740215</v>
      </c>
      <c r="C11" s="7">
        <f t="array" ref="C11">AVERAGE(IF(Returns!B11:M11 &lt; B11, ( Returns!B11:M11 - B11 )^2, 0))</f>
        <v>0.02712200918</v>
      </c>
      <c r="D11" s="7">
        <f t="shared" si="1"/>
        <v>0.1373947</v>
      </c>
      <c r="E11" s="7" t="str">
        <f t="shared" si="2"/>
        <v>High</v>
      </c>
    </row>
    <row r="12">
      <c r="A12" s="3" t="s">
        <v>11</v>
      </c>
      <c r="B12" s="7">
        <f>AVERAGE(Returns!B12:M12)</f>
        <v>0.07385946</v>
      </c>
      <c r="C12" s="7">
        <f t="array" ref="C12">AVERAGE(IF(Returns!B12:M12 &lt; B12, ( Returns!B12:M12 - B12 )^2, 0))</f>
        <v>0.07226394047</v>
      </c>
      <c r="D12" s="7">
        <f t="shared" si="1"/>
        <v>0.9783978989</v>
      </c>
      <c r="E12" s="7" t="str">
        <f t="shared" si="2"/>
        <v>Poor</v>
      </c>
    </row>
    <row r="13">
      <c r="A13" s="3" t="s">
        <v>12</v>
      </c>
      <c r="B13" s="7">
        <f>AVERAGE(Returns!B13:M13)</f>
        <v>0.03966215889</v>
      </c>
      <c r="C13" s="7">
        <f t="array" ref="C13">AVERAGE(IF(Returns!B13:M13 &lt; B13, ( Returns!B13:M13 - B13 )^2, 0))</f>
        <v>0.04980593171</v>
      </c>
      <c r="D13" s="7">
        <f t="shared" si="1"/>
        <v>1.255754429</v>
      </c>
      <c r="E13" s="7" t="str">
        <f t="shared" si="2"/>
        <v>Poor</v>
      </c>
    </row>
    <row r="14">
      <c r="A14" s="3" t="s">
        <v>13</v>
      </c>
      <c r="B14" s="7">
        <f>AVERAGE(Returns!B14:M14)</f>
        <v>-0.0003750588889</v>
      </c>
      <c r="C14" s="7">
        <f t="array" ref="C14">AVERAGE(IF(Returns!B14:M14 &lt; B14, ( Returns!B14:M14 - B14 )^2, 0))</f>
        <v>0.01757360503</v>
      </c>
      <c r="D14" s="7">
        <f> C14 / ABS(B14)</f>
        <v>46.85558869</v>
      </c>
      <c r="E14" s="7" t="str">
        <f t="shared" si="2"/>
        <v>Poor</v>
      </c>
    </row>
    <row r="15">
      <c r="A15" s="3" t="s">
        <v>14</v>
      </c>
      <c r="B15" s="7">
        <f>AVERAGE(Returns!B15:M15)</f>
        <v>0.1646195144</v>
      </c>
      <c r="C15" s="7">
        <f t="array" ref="C15">AVERAGE(IF(Returns!B15:M15 &lt; B15, ( Returns!B15:M15 - B15 )^2, 0))</f>
        <v>0.04694089416</v>
      </c>
      <c r="D15" s="7">
        <f t="shared" ref="D15:D30" si="3">C15 / B15</f>
        <v>0.2851478108</v>
      </c>
      <c r="E15" s="7" t="str">
        <f t="shared" si="2"/>
        <v>High</v>
      </c>
    </row>
    <row r="16">
      <c r="A16" s="3" t="s">
        <v>15</v>
      </c>
      <c r="B16" s="7">
        <f>AVERAGE(Returns!B16:M16)</f>
        <v>0.08459407</v>
      </c>
      <c r="C16" s="7">
        <f t="array" ref="C16">AVERAGE(IF(Returns!B16:M16 &lt; B16, ( Returns!B16:M16 - B16 )^2, 0))</f>
        <v>0.04194637039</v>
      </c>
      <c r="D16" s="7">
        <f t="shared" si="3"/>
        <v>0.4958547377</v>
      </c>
      <c r="E16" s="7" t="str">
        <f t="shared" si="2"/>
        <v>Average</v>
      </c>
    </row>
    <row r="17">
      <c r="A17" s="3" t="s">
        <v>16</v>
      </c>
      <c r="B17" s="7">
        <f>AVERAGE(Returns!B17:M17)</f>
        <v>0.1268456589</v>
      </c>
      <c r="C17" s="7">
        <f t="array" ref="C17">AVERAGE(IF(Returns!B17:M17 &lt; B17, ( Returns!B17:M17 - B17 )^2, 0))</f>
        <v>0.07682934594</v>
      </c>
      <c r="D17" s="7">
        <f t="shared" si="3"/>
        <v>0.6056915673</v>
      </c>
      <c r="E17" s="7" t="str">
        <f t="shared" si="2"/>
        <v>Poor</v>
      </c>
    </row>
    <row r="18">
      <c r="A18" s="3" t="s">
        <v>17</v>
      </c>
      <c r="B18" s="7">
        <f>AVERAGE(Returns!B18:M18)</f>
        <v>0.2900828122</v>
      </c>
      <c r="C18" s="7">
        <f t="array" ref="C18">AVERAGE(IF(Returns!B18:M18 &lt; B18, ( Returns!B18:M18 - B18 )^2, 0))</f>
        <v>0.08972625425</v>
      </c>
      <c r="D18" s="7">
        <f t="shared" si="3"/>
        <v>0.3093125496</v>
      </c>
      <c r="E18" s="7" t="str">
        <f t="shared" si="2"/>
        <v>High</v>
      </c>
    </row>
    <row r="19">
      <c r="A19" s="3" t="s">
        <v>18</v>
      </c>
      <c r="B19" s="7">
        <f>AVERAGE(Returns!B19:M19)</f>
        <v>0.02332659</v>
      </c>
      <c r="C19" s="7">
        <f t="array" ref="C19">AVERAGE(IF(Returns!B19:M19 &lt; B19, ( Returns!B19:M19 - B19 )^2, 0))</f>
        <v>0.02231264618</v>
      </c>
      <c r="D19" s="7">
        <f t="shared" si="3"/>
        <v>0.9565327029</v>
      </c>
      <c r="E19" s="7" t="str">
        <f t="shared" si="2"/>
        <v>Poor</v>
      </c>
    </row>
    <row r="20">
      <c r="A20" s="3" t="s">
        <v>19</v>
      </c>
      <c r="B20" s="7">
        <f>AVERAGE(Returns!B20:M20)</f>
        <v>0.1020874922</v>
      </c>
      <c r="C20" s="7">
        <f t="array" ref="C20">AVERAGE(IF(Returns!B20:M20 &lt; B20, ( Returns!B20:M20 - B20 )^2, 0))</f>
        <v>0.01532175442</v>
      </c>
      <c r="D20" s="7">
        <f t="shared" si="3"/>
        <v>0.150084541</v>
      </c>
      <c r="E20" s="7" t="str">
        <f t="shared" si="2"/>
        <v>High</v>
      </c>
    </row>
    <row r="21">
      <c r="A21" s="3" t="s">
        <v>20</v>
      </c>
      <c r="B21" s="7">
        <f>AVERAGE(Returns!B21:M21)</f>
        <v>0.1958966711</v>
      </c>
      <c r="C21" s="7">
        <f t="array" ref="C21">AVERAGE(IF(Returns!B21:M21 &lt; B21, ( Returns!B21:M21 - B21 )^2, 0))</f>
        <v>0.05266806137</v>
      </c>
      <c r="D21" s="7">
        <f t="shared" si="3"/>
        <v>0.2688563367</v>
      </c>
      <c r="E21" s="7" t="str">
        <f t="shared" si="2"/>
        <v>High</v>
      </c>
    </row>
    <row r="22">
      <c r="A22" s="3" t="s">
        <v>21</v>
      </c>
      <c r="B22" s="7">
        <f>AVERAGE(Returns!B22:M22)</f>
        <v>0.7776091056</v>
      </c>
      <c r="C22" s="7">
        <f t="array" ref="C22">AVERAGE(IF(Returns!B22:M22 &lt; B22, ( Returns!B22:M22 - B22 )^2, 0))</f>
        <v>0.6920479584</v>
      </c>
      <c r="D22" s="7">
        <f t="shared" si="3"/>
        <v>0.889968949</v>
      </c>
      <c r="E22" s="7" t="str">
        <f t="shared" si="2"/>
        <v>Poor</v>
      </c>
    </row>
    <row r="23">
      <c r="A23" s="3" t="s">
        <v>22</v>
      </c>
      <c r="B23" s="7">
        <f>AVERAGE(Returns!B23:M23)</f>
        <v>0.06881023333</v>
      </c>
      <c r="C23" s="7">
        <f t="array" ref="C23">AVERAGE(IF(Returns!B23:M23 &lt; B23, ( Returns!B23:M23 - B23 )^2, 0))</f>
        <v>0.03753399392</v>
      </c>
      <c r="D23" s="7">
        <f t="shared" si="3"/>
        <v>0.5454711037</v>
      </c>
      <c r="E23" s="7" t="str">
        <f t="shared" si="2"/>
        <v>Average</v>
      </c>
    </row>
    <row r="24">
      <c r="A24" s="3" t="s">
        <v>23</v>
      </c>
      <c r="B24" s="7">
        <f>AVERAGE(Returns!B24:M24)</f>
        <v>0.3439603722</v>
      </c>
      <c r="C24" s="7">
        <f t="array" ref="C24">AVERAGE(IF(Returns!B24:M24 &lt; B24, ( Returns!B24:M24 - B24 )^2, 0))</f>
        <v>0.2276761647</v>
      </c>
      <c r="D24" s="7">
        <f t="shared" si="3"/>
        <v>0.6619255679</v>
      </c>
      <c r="E24" s="7" t="str">
        <f t="shared" si="2"/>
        <v>Poor</v>
      </c>
    </row>
    <row r="25">
      <c r="A25" s="3" t="s">
        <v>24</v>
      </c>
      <c r="B25" s="7">
        <f>AVERAGE(Returns!B25:M25)</f>
        <v>0.31305268</v>
      </c>
      <c r="C25" s="7">
        <f t="array" ref="C25">AVERAGE(IF(Returns!B25:M25 &lt; B25, ( Returns!B25:M25 - B25 )^2, 0))</f>
        <v>0.1214978239</v>
      </c>
      <c r="D25" s="7">
        <f t="shared" si="3"/>
        <v>0.3881066405</v>
      </c>
      <c r="E25" s="7" t="str">
        <f t="shared" si="2"/>
        <v>Average</v>
      </c>
    </row>
    <row r="26">
      <c r="A26" s="3" t="s">
        <v>25</v>
      </c>
      <c r="B26" s="7">
        <f>AVERAGE(Returns!B26:M26)</f>
        <v>0.1344363189</v>
      </c>
      <c r="C26" s="7">
        <f t="array" ref="C26">AVERAGE(IF(Returns!B26:M26 &lt; B26, ( Returns!B26:M26 - B26 )^2, 0))</f>
        <v>0.02839294893</v>
      </c>
      <c r="D26" s="7">
        <f t="shared" si="3"/>
        <v>0.2111999879</v>
      </c>
      <c r="E26" s="7" t="str">
        <f t="shared" si="2"/>
        <v>High</v>
      </c>
    </row>
    <row r="27">
      <c r="A27" s="3" t="s">
        <v>26</v>
      </c>
      <c r="B27" s="7">
        <f>AVERAGE(Returns!B27:M27)</f>
        <v>0.1518782622</v>
      </c>
      <c r="C27" s="7">
        <f t="array" ref="C27">AVERAGE(IF(Returns!B27:M27 &lt; B27, ( Returns!B27:M27 - B27 )^2, 0))</f>
        <v>0.09019569463</v>
      </c>
      <c r="D27" s="7">
        <f t="shared" si="3"/>
        <v>0.5938683608</v>
      </c>
      <c r="E27" s="7" t="str">
        <f t="shared" si="2"/>
        <v>Average</v>
      </c>
    </row>
    <row r="28">
      <c r="A28" s="3" t="s">
        <v>27</v>
      </c>
      <c r="B28" s="7">
        <f>AVERAGE(Returns!B28:M28)</f>
        <v>0.3454462089</v>
      </c>
      <c r="C28" s="7">
        <f t="array" ref="C28">AVERAGE(IF(Returns!B28:M28 &lt; B28, ( Returns!B28:M28 - B28 )^2, 0))</f>
        <v>0.0822910401</v>
      </c>
      <c r="D28" s="7">
        <f t="shared" si="3"/>
        <v>0.2382166542</v>
      </c>
      <c r="E28" s="7" t="str">
        <f t="shared" si="2"/>
        <v>High</v>
      </c>
    </row>
    <row r="29">
      <c r="A29" s="3" t="s">
        <v>28</v>
      </c>
      <c r="B29" s="7">
        <f>AVERAGE(Returns!B29:M29)</f>
        <v>0.1835622256</v>
      </c>
      <c r="C29" s="7">
        <f t="array" ref="C29">AVERAGE(IF(Returns!B29:M29 &lt; B29, ( Returns!B29:M29 - B29 )^2, 0))</f>
        <v>0.09904333382</v>
      </c>
      <c r="D29" s="7">
        <f t="shared" si="3"/>
        <v>0.5395627206</v>
      </c>
      <c r="E29" s="7" t="str">
        <f t="shared" si="2"/>
        <v>Average</v>
      </c>
    </row>
    <row r="30">
      <c r="A30" s="3" t="s">
        <v>29</v>
      </c>
      <c r="B30" s="7">
        <f>AVERAGE(Returns!B30:M30)</f>
        <v>0.1900580011</v>
      </c>
      <c r="C30" s="7">
        <f t="array" ref="C30">AVERAGE(IF(Returns!B30:M30 &lt; B30, ( Returns!B30:M30 - B30 )^2, 0))</f>
        <v>0.03088555322</v>
      </c>
      <c r="D30" s="7">
        <f t="shared" si="3"/>
        <v>0.1625059353</v>
      </c>
      <c r="E30" s="7" t="str">
        <f t="shared" si="2"/>
        <v>High</v>
      </c>
    </row>
  </sheetData>
  <drawing r:id="rId1"/>
</worksheet>
</file>