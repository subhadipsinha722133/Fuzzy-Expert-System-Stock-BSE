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ed_Ratios" sheetId="1" r:id="rId5"/>
    <sheet state="visible" name="Fuzzy_Inputs_10" sheetId="2" r:id="rId6"/>
    <sheet state="visible" name="Fuzzy_Parameters" sheetId="3" r:id="rId7"/>
    <sheet state="visible" name="Membership_Functions" sheetId="4" r:id="rId8"/>
    <sheet state="visible" name="Sheet6" sheetId="5" r:id="rId9"/>
    <sheet state="visible" name="Membership_Grades" sheetId="6" r:id="rId10"/>
    <sheet state="visible" name="Sheet7" sheetId="7" r:id="rId11"/>
    <sheet state="visible" name="TESTING_MEMBERSHIP_GRADES" sheetId="8" r:id="rId12"/>
  </sheets>
  <definedNames/>
  <calcPr/>
</workbook>
</file>

<file path=xl/sharedStrings.xml><?xml version="1.0" encoding="utf-8"?>
<sst xmlns="http://schemas.openxmlformats.org/spreadsheetml/2006/main" count="1170" uniqueCount="112">
  <si>
    <t>DILUTED EPS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</si>
  <si>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</si>
  <si>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</si>
  <si>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</si>
  <si>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</si>
  <si>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</si>
  <si>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</si>
  <si>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</si>
  <si>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</si>
  <si>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</si>
  <si>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</si>
  <si>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</si>
  <si>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</si>
  <si>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</si>
  <si>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</si>
  <si>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</si>
  <si>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</si>
  <si>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</si>
  <si>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</si>
  <si>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</si>
  <si>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</si>
  <si>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</si>
  <si>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</si>
  <si>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</si>
  <si>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</si>
  <si>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</si>
  <si>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</si>
  <si>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</si>
  <si>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</si>
  <si>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</si>
  <si>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 xml:space="preserve"> Max</t>
  </si>
  <si>
    <t>PAYOUT RATIO</t>
  </si>
  <si>
    <t>(PR)2025</t>
  </si>
  <si>
    <t>(PR)2024</t>
  </si>
  <si>
    <t>(PR)2023</t>
  </si>
  <si>
    <t>(PR)2022</t>
  </si>
  <si>
    <t>(PR)2021</t>
  </si>
  <si>
    <t>(PR)2020</t>
  </si>
  <si>
    <t>(PR)2019</t>
  </si>
  <si>
    <t>(PR)2018</t>
  </si>
  <si>
    <t>(PR)2017</t>
  </si>
  <si>
    <t>(PR)2016</t>
  </si>
  <si>
    <t>(PR)2015</t>
  </si>
  <si>
    <t>(PR)2014</t>
  </si>
  <si>
    <t>PROFIT MARGIN</t>
  </si>
  <si>
    <t>(PM)2025</t>
  </si>
  <si>
    <t>(PM)2024</t>
  </si>
  <si>
    <t>(PM)2023</t>
  </si>
  <si>
    <t>(PM)2022</t>
  </si>
  <si>
    <t>(PM)2021</t>
  </si>
  <si>
    <t>(PM)2020</t>
  </si>
  <si>
    <t>(PM)2019</t>
  </si>
  <si>
    <t>(PM)2018</t>
  </si>
  <si>
    <t>(PM)2017</t>
  </si>
  <si>
    <t>(PM)2016</t>
  </si>
  <si>
    <t>(PM)2015</t>
  </si>
  <si>
    <t>(PM)2014</t>
  </si>
  <si>
    <t>DEBT TO EQUITY</t>
  </si>
  <si>
    <t>max</t>
  </si>
  <si>
    <t>Price to sales</t>
  </si>
  <si>
    <t>TMF Coords</t>
  </si>
  <si>
    <t>a</t>
  </si>
  <si>
    <t>P20</t>
  </si>
  <si>
    <t>b</t>
  </si>
  <si>
    <t>P40</t>
  </si>
  <si>
    <t>c</t>
  </si>
  <si>
    <t>P60</t>
  </si>
  <si>
    <t>d</t>
  </si>
  <si>
    <t>P80</t>
  </si>
  <si>
    <t>Price To SAles</t>
  </si>
  <si>
    <t>Factors in terms of linguistic variables</t>
  </si>
  <si>
    <t>Linguistic Values</t>
  </si>
  <si>
    <t>Fuzzy Trapezoidal Membership (a,b,c,d)</t>
  </si>
  <si>
    <t>Diluted EPS</t>
  </si>
  <si>
    <t>Low</t>
  </si>
  <si>
    <t>(0,0,0.5495121079, 1.028067798)</t>
  </si>
  <si>
    <t>Standard</t>
  </si>
  <si>
    <t>(0.5495121079, 1.028067798, 2.11748889, 4.012505402)</t>
  </si>
  <si>
    <t>High</t>
  </si>
  <si>
    <t>(2.11748889, 4.012505402,10,10)</t>
  </si>
  <si>
    <t>Payout Ratio</t>
  </si>
  <si>
    <t>(0,0,0.392130119, 1.689001034)</t>
  </si>
  <si>
    <t>(0.392130119, 1.689001034, 2.79605824, 4.820358941)</t>
  </si>
  <si>
    <t>(2.79605824, 4.820358941,10,10)</t>
  </si>
  <si>
    <t>Price to Sales</t>
  </si>
  <si>
    <t>(0,0,1.576692374, 2.993430448)</t>
  </si>
  <si>
    <t>CHANGEEEE</t>
  </si>
  <si>
    <t>(1.576692374, 2.993430448,4.318766067,6.775207084)</t>
  </si>
  <si>
    <t>(4.318766067,6.775207084,10,10)</t>
  </si>
  <si>
    <t>Debt to Equity</t>
  </si>
  <si>
    <t>(0,0,0.8233701189, 1.740639476)</t>
  </si>
  <si>
    <t>(0.8233701189, 1.740639476, 3.163245581, 5.748085778)</t>
  </si>
  <si>
    <t>( 3.163245581, 5.748085778,10,10)</t>
  </si>
  <si>
    <t>Stock</t>
  </si>
  <si>
    <t>Year</t>
  </si>
  <si>
    <t>EPS</t>
  </si>
  <si>
    <t>Payout</t>
  </si>
  <si>
    <t>PM</t>
  </si>
  <si>
    <t>DE</t>
  </si>
  <si>
    <t>EPS_L</t>
  </si>
  <si>
    <t>EPS_S</t>
  </si>
  <si>
    <t>EPS_H</t>
  </si>
  <si>
    <t>PAYOUT_L</t>
  </si>
  <si>
    <t>PAYOUT_S</t>
  </si>
  <si>
    <t>PAYOUT_H</t>
  </si>
  <si>
    <t>PS_L</t>
  </si>
  <si>
    <t>PS_S</t>
  </si>
  <si>
    <t>PS_H</t>
  </si>
  <si>
    <t>DE_L</t>
  </si>
  <si>
    <t>DE_S</t>
  </si>
  <si>
    <t>DE_H</t>
  </si>
  <si>
    <t>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</si>
</sst>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2.0"/>
      <color rgb="FF00B050"/>
      <name val="Times New Roman"/>
    </font>
    <font>
      <color rgb="FF181A1B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FF"/>
      </top>
    </border>
    <border>
      <top style="thin">
        <color rgb="FF0000FF"/>
      </top>
    </border>
    <border>
      <right style="thin">
        <color rgb="FF0000FF"/>
      </right>
      <top style="thin">
        <color rgb="FF0000FF"/>
      </top>
    </border>
    <border>
      <right style="thin">
        <color rgb="FF0000FF"/>
      </right>
    </border>
    <border>
      <left style="thin">
        <color rgb="FF000000"/>
      </left>
      <top style="thin">
        <color rgb="FFFF0000"/>
      </top>
    </border>
    <border>
      <top style="thin">
        <color rgb="FFFF0000"/>
      </top>
    </border>
    <border>
      <right style="thin">
        <color rgb="FFFF0000"/>
      </right>
      <top style="thin">
        <color rgb="FFFF0000"/>
      </top>
    </border>
    <border>
      <right style="thin">
        <color rgb="FFFF0000"/>
      </right>
    </border>
    <border>
      <left style="thin">
        <color rgb="FF000000"/>
      </left>
      <top style="thin">
        <color rgb="FF00FF00"/>
      </top>
    </border>
    <border>
      <top style="thin">
        <color rgb="FF00FF00"/>
      </top>
    </border>
    <border>
      <right style="thin">
        <color rgb="FF00FF00"/>
      </right>
      <top style="thin">
        <color rgb="FF00FF00"/>
      </top>
    </border>
    <border>
      <right style="thin">
        <color rgb="FF00FF00"/>
      </right>
    </border>
    <border>
      <left style="thin">
        <color rgb="FF000000"/>
      </left>
      <bottom style="thin">
        <color rgb="FF00FF00"/>
      </bottom>
    </border>
    <border>
      <bottom style="thin">
        <color rgb="FF00FF00"/>
      </bottom>
    </border>
    <border>
      <right style="thin">
        <color rgb="FF00FF00"/>
      </right>
      <bottom style="thin">
        <color rgb="FF00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3" fontId="1" numFmtId="0" xfId="0" applyAlignment="1" applyBorder="1" applyFill="1" applyFont="1">
      <alignment horizontal="right" vertical="bottom"/>
    </xf>
    <xf borderId="2" fillId="3" fontId="1" numFmtId="0" xfId="0" applyAlignment="1" applyBorder="1" applyFont="1">
      <alignment horizontal="right" vertical="bottom"/>
    </xf>
    <xf borderId="3" fillId="3" fontId="2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1" numFmtId="0" xfId="0" applyAlignment="1" applyFont="1">
      <alignment vertical="bottom"/>
    </xf>
    <xf borderId="4" fillId="3" fontId="1" numFmtId="0" xfId="0" applyAlignment="1" applyBorder="1" applyFont="1">
      <alignment horizontal="right" vertical="bottom"/>
    </xf>
    <xf borderId="0" fillId="3" fontId="1" numFmtId="0" xfId="0" applyAlignment="1" applyFont="1">
      <alignment horizontal="right" vertical="bottom"/>
    </xf>
    <xf borderId="5" fillId="3" fontId="3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top"/>
    </xf>
    <xf borderId="6" fillId="3" fontId="1" numFmtId="0" xfId="0" applyAlignment="1" applyBorder="1" applyFont="1">
      <alignment horizontal="right" vertical="bottom"/>
    </xf>
    <xf borderId="7" fillId="3" fontId="1" numFmtId="0" xfId="0" applyAlignment="1" applyBorder="1" applyFont="1">
      <alignment horizontal="right" vertical="bottom"/>
    </xf>
    <xf borderId="8" fillId="3" fontId="3" numFmtId="0" xfId="0" applyAlignment="1" applyBorder="1" applyFont="1">
      <alignment horizontal="right" vertical="top"/>
    </xf>
    <xf borderId="0" fillId="4" fontId="1" numFmtId="0" xfId="0" applyAlignment="1" applyFill="1" applyFont="1">
      <alignment readingOrder="0" vertical="bottom"/>
    </xf>
    <xf borderId="0" fillId="0" fontId="1" numFmtId="0" xfId="0" applyAlignment="1" applyFont="1">
      <alignment horizontal="right" vertical="bottom"/>
    </xf>
    <xf borderId="0" fillId="3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3" fontId="1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4" fontId="1" numFmtId="0" xfId="0" applyAlignment="1" applyFont="1">
      <alignment horizontal="right" vertical="bottom"/>
    </xf>
    <xf borderId="0" fillId="3" fontId="2" numFmtId="0" xfId="0" applyAlignment="1" applyFont="1">
      <alignment horizontal="right" shrinkToFit="0" vertical="bottom" wrapText="1"/>
    </xf>
    <xf borderId="0" fillId="4" fontId="4" numFmtId="0" xfId="0" applyAlignment="1" applyFont="1">
      <alignment readingOrder="0"/>
    </xf>
    <xf borderId="0" fillId="4" fontId="4" numFmtId="0" xfId="0" applyFont="1"/>
    <xf borderId="0" fillId="3" fontId="4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2" fillId="0" fontId="4" numFmtId="0" xfId="0" applyBorder="1" applyFont="1"/>
    <xf borderId="7" fillId="0" fontId="4" numFmtId="0" xfId="0" applyBorder="1" applyFont="1"/>
    <xf borderId="0" fillId="2" fontId="4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4" numFmtId="0" xfId="0" applyBorder="1" applyFont="1"/>
    <xf borderId="9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5" fillId="0" fontId="4" numFmtId="0" xfId="0" applyBorder="1" applyFont="1"/>
    <xf borderId="4" fillId="0" fontId="1" numFmtId="0" xfId="0" applyAlignment="1" applyBorder="1" applyFont="1">
      <alignment vertical="bottom"/>
    </xf>
    <xf borderId="12" fillId="0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7" fillId="0" fontId="1" numFmtId="0" xfId="0" applyAlignment="1" applyBorder="1" applyFont="1">
      <alignment readingOrder="0" vertical="bottom"/>
    </xf>
    <xf borderId="18" fillId="0" fontId="1" numFmtId="0" xfId="0" applyAlignment="1" applyBorder="1" applyFont="1">
      <alignment vertical="bottom"/>
    </xf>
    <xf borderId="19" fillId="0" fontId="1" numFmtId="0" xfId="0" applyAlignment="1" applyBorder="1" applyFont="1">
      <alignment readingOrder="0" vertical="bottom"/>
    </xf>
    <xf borderId="20" fillId="0" fontId="1" numFmtId="0" xfId="0" applyAlignment="1" applyBorder="1" applyFont="1">
      <alignment readingOrder="0" vertical="bottom"/>
    </xf>
    <xf borderId="21" fillId="0" fontId="1" numFmtId="0" xfId="0" applyAlignment="1" applyBorder="1" applyFont="1">
      <alignment vertical="bottom"/>
    </xf>
    <xf borderId="22" fillId="0" fontId="1" numFmtId="0" xfId="0" applyAlignment="1" applyBorder="1" applyFont="1">
      <alignment vertical="bottom"/>
    </xf>
    <xf borderId="23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4" numFmtId="0" xfId="0" applyBorder="1" applyFont="1"/>
    <xf borderId="24" fillId="0" fontId="5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25" fillId="0" fontId="1" numFmtId="0" xfId="0" applyAlignment="1" applyBorder="1" applyFont="1">
      <alignment vertical="bottom"/>
    </xf>
    <xf borderId="25" fillId="0" fontId="4" numFmtId="0" xfId="0" applyAlignment="1" applyBorder="1" applyFont="1">
      <alignment readingOrder="0"/>
    </xf>
    <xf borderId="1" fillId="0" fontId="4" numFmtId="0" xfId="0" applyBorder="1" applyFont="1"/>
    <xf borderId="4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2">
        <v>2025.0</v>
      </c>
      <c r="C1" s="3">
        <v>2024.0</v>
      </c>
      <c r="D1" s="4">
        <v>2023.0</v>
      </c>
      <c r="E1" s="5">
        <v>2022.0</v>
      </c>
      <c r="F1" s="5">
        <v>2021.0</v>
      </c>
      <c r="G1" s="5">
        <v>2020.0</v>
      </c>
      <c r="H1" s="5">
        <v>2019.0</v>
      </c>
      <c r="I1" s="5">
        <v>2018.0</v>
      </c>
      <c r="J1" s="5">
        <v>2017.0</v>
      </c>
      <c r="K1" s="5">
        <v>2016.0</v>
      </c>
      <c r="L1" s="5">
        <v>2015.0</v>
      </c>
      <c r="M1" s="5">
        <v>2014.0</v>
      </c>
    </row>
    <row r="2">
      <c r="A2" s="6" t="s">
        <v>1</v>
      </c>
      <c r="B2" s="7">
        <v>51.35</v>
      </c>
      <c r="C2" s="8">
        <v>37.55</v>
      </c>
      <c r="D2" s="9">
        <v>24.58</v>
      </c>
      <c r="E2" s="10">
        <v>22.39</v>
      </c>
      <c r="F2" s="10">
        <v>24.58</v>
      </c>
      <c r="G2" s="10">
        <v>18.35</v>
      </c>
      <c r="H2" s="10">
        <v>19.27</v>
      </c>
      <c r="I2" s="10">
        <v>17.74</v>
      </c>
      <c r="J2" s="10">
        <v>18.89</v>
      </c>
      <c r="K2" s="10">
        <v>13.99</v>
      </c>
      <c r="L2" s="10">
        <v>11.18</v>
      </c>
      <c r="M2" s="10">
        <v>8.45</v>
      </c>
    </row>
    <row r="3">
      <c r="A3" s="6" t="s">
        <v>2</v>
      </c>
      <c r="B3" s="7">
        <v>38.25</v>
      </c>
      <c r="C3" s="8">
        <v>56.94</v>
      </c>
      <c r="D3" s="9">
        <v>42.82</v>
      </c>
      <c r="E3" s="10">
        <v>31.59</v>
      </c>
      <c r="F3" s="10">
        <v>32.73</v>
      </c>
      <c r="G3" s="10">
        <v>28.2</v>
      </c>
      <c r="H3" s="10">
        <v>22.48</v>
      </c>
      <c r="I3" s="10">
        <v>21.26</v>
      </c>
      <c r="J3" s="10">
        <v>20.22</v>
      </c>
      <c r="K3" s="10">
        <v>18.19</v>
      </c>
      <c r="L3" s="10">
        <v>14.54</v>
      </c>
      <c r="M3" s="10">
        <v>12.71</v>
      </c>
    </row>
    <row r="4">
      <c r="A4" s="6" t="s">
        <v>3</v>
      </c>
      <c r="B4" s="7">
        <v>90.18</v>
      </c>
      <c r="C4" s="8">
        <v>85.01</v>
      </c>
      <c r="D4" s="9">
        <v>35.04</v>
      </c>
      <c r="E4" s="10">
        <v>45.91</v>
      </c>
      <c r="F4" s="10">
        <v>24.19</v>
      </c>
      <c r="G4" s="10">
        <v>6.8</v>
      </c>
      <c r="H4" s="10">
        <v>19.49</v>
      </c>
      <c r="I4" s="10">
        <v>2.101500000000001</v>
      </c>
      <c r="J4" s="10">
        <v>16.48</v>
      </c>
      <c r="K4" s="10">
        <v>34.93</v>
      </c>
      <c r="L4" s="10">
        <v>31.23</v>
      </c>
      <c r="M4" s="10">
        <v>134.2</v>
      </c>
    </row>
    <row r="5">
      <c r="A5" s="6" t="s">
        <v>4</v>
      </c>
      <c r="B5" s="7">
        <v>9.7</v>
      </c>
      <c r="C5" s="8">
        <v>7.3</v>
      </c>
      <c r="D5" s="9">
        <v>4.6</v>
      </c>
      <c r="E5" s="10">
        <v>26.6</v>
      </c>
      <c r="F5" s="10">
        <v>11.2</v>
      </c>
      <c r="G5" s="10">
        <v>41.9</v>
      </c>
      <c r="H5" s="10">
        <v>19.3</v>
      </c>
      <c r="I5" s="10">
        <v>8.9</v>
      </c>
      <c r="J5" s="10">
        <v>4.4</v>
      </c>
      <c r="K5" s="10">
        <v>10.3</v>
      </c>
      <c r="L5" s="10">
        <v>7.9</v>
      </c>
      <c r="M5" s="10">
        <v>5.2</v>
      </c>
    </row>
    <row r="6">
      <c r="A6" s="6" t="s">
        <v>5</v>
      </c>
      <c r="B6" s="7">
        <v>187.43899999999996</v>
      </c>
      <c r="C6" s="8">
        <v>187.43899999999996</v>
      </c>
      <c r="D6" s="9">
        <v>187.43899999999996</v>
      </c>
      <c r="E6" s="10">
        <v>115.79</v>
      </c>
      <c r="F6" s="10">
        <v>73.0</v>
      </c>
      <c r="G6" s="10">
        <v>89.07</v>
      </c>
      <c r="H6" s="10">
        <v>68.75</v>
      </c>
      <c r="I6" s="10">
        <v>47.05</v>
      </c>
      <c r="J6" s="10">
        <v>33.67</v>
      </c>
      <c r="K6" s="10">
        <v>187.43899999999996</v>
      </c>
      <c r="L6" s="10">
        <v>177.7</v>
      </c>
      <c r="M6" s="10">
        <v>143.65</v>
      </c>
    </row>
    <row r="7">
      <c r="A7" s="6" t="s">
        <v>6</v>
      </c>
      <c r="B7" s="7">
        <v>7.28</v>
      </c>
      <c r="C7" s="8">
        <v>5.45</v>
      </c>
      <c r="D7" s="9">
        <v>4.09</v>
      </c>
      <c r="E7" s="10">
        <v>9.85</v>
      </c>
      <c r="F7" s="10">
        <v>8.62</v>
      </c>
      <c r="G7" s="10">
        <v>7.49</v>
      </c>
      <c r="H7" s="10">
        <v>7.74</v>
      </c>
      <c r="I7" s="10">
        <v>5.83</v>
      </c>
      <c r="J7" s="10">
        <v>5.94</v>
      </c>
      <c r="K7" s="10">
        <v>5.57</v>
      </c>
      <c r="L7" s="10">
        <v>149.65</v>
      </c>
      <c r="M7" s="10">
        <v>118.91</v>
      </c>
    </row>
    <row r="8">
      <c r="A8" s="6" t="s">
        <v>7</v>
      </c>
      <c r="B8" s="7">
        <v>56.04</v>
      </c>
      <c r="C8" s="8">
        <v>12.8</v>
      </c>
      <c r="D8" s="9">
        <v>14.57</v>
      </c>
      <c r="E8" s="10">
        <v>7.63</v>
      </c>
      <c r="F8" s="10">
        <v>2.101500000000001</v>
      </c>
      <c r="G8" s="10">
        <v>2.101500000000001</v>
      </c>
      <c r="H8" s="10">
        <v>2.101500000000001</v>
      </c>
      <c r="I8" s="10">
        <v>2.75</v>
      </c>
      <c r="J8" s="10">
        <v>9.51</v>
      </c>
      <c r="K8" s="10">
        <v>15.2</v>
      </c>
      <c r="L8" s="10">
        <v>11.56</v>
      </c>
      <c r="M8" s="10">
        <v>7.01</v>
      </c>
    </row>
    <row r="9">
      <c r="A9" s="6" t="s">
        <v>8</v>
      </c>
      <c r="B9" s="7">
        <v>64.09</v>
      </c>
      <c r="C9" s="8">
        <v>57.86</v>
      </c>
      <c r="D9" s="9">
        <v>54.79</v>
      </c>
      <c r="E9" s="10">
        <v>49.77</v>
      </c>
      <c r="F9" s="10">
        <v>41.07</v>
      </c>
      <c r="G9" s="10">
        <v>40.75</v>
      </c>
      <c r="H9" s="10">
        <v>73.55</v>
      </c>
      <c r="I9" s="10">
        <v>62.19</v>
      </c>
      <c r="J9" s="10">
        <v>60.27</v>
      </c>
      <c r="K9" s="10">
        <v>39.69</v>
      </c>
      <c r="L9" s="10">
        <v>51.79</v>
      </c>
      <c r="M9" s="10">
        <v>91.93</v>
      </c>
    </row>
    <row r="10">
      <c r="A10" s="6" t="s">
        <v>9</v>
      </c>
      <c r="B10" s="7">
        <v>92.39</v>
      </c>
      <c r="C10" s="8">
        <v>90.01</v>
      </c>
      <c r="D10" s="9">
        <v>82.27</v>
      </c>
      <c r="E10" s="10">
        <v>68.31</v>
      </c>
      <c r="F10" s="10">
        <v>57.61</v>
      </c>
      <c r="G10" s="10">
        <v>49.46</v>
      </c>
      <c r="H10" s="10">
        <v>82.51</v>
      </c>
      <c r="I10" s="10">
        <v>70.76</v>
      </c>
      <c r="J10" s="10">
        <v>59.16</v>
      </c>
      <c r="K10" s="10">
        <v>50.24</v>
      </c>
      <c r="L10" s="10">
        <v>43.6</v>
      </c>
      <c r="M10" s="10">
        <v>36.31</v>
      </c>
    </row>
    <row r="11">
      <c r="A11" s="6" t="s">
        <v>10</v>
      </c>
      <c r="B11" s="7">
        <v>45.32</v>
      </c>
      <c r="C11" s="8">
        <v>43.74</v>
      </c>
      <c r="D11" s="9">
        <v>43.07</v>
      </c>
      <c r="E11" s="10">
        <v>37.79</v>
      </c>
      <c r="F11" s="10">
        <v>34.03</v>
      </c>
      <c r="G11" s="10">
        <v>31.17</v>
      </c>
      <c r="H11" s="10">
        <v>27.96</v>
      </c>
      <c r="I11" s="10">
        <v>24.08</v>
      </c>
      <c r="J11" s="10">
        <v>20.67</v>
      </c>
      <c r="K11" s="10">
        <v>19.09</v>
      </c>
      <c r="L11" s="10">
        <v>20.16</v>
      </c>
      <c r="M11" s="10">
        <v>18.23</v>
      </c>
    </row>
    <row r="12">
      <c r="A12" s="6" t="s">
        <v>11</v>
      </c>
      <c r="B12" s="7">
        <v>71.14</v>
      </c>
      <c r="C12" s="8">
        <v>61.96</v>
      </c>
      <c r="D12" s="9">
        <v>47.84</v>
      </c>
      <c r="E12" s="10">
        <v>35.44</v>
      </c>
      <c r="F12" s="10">
        <v>26.83</v>
      </c>
      <c r="G12" s="10">
        <v>14.55</v>
      </c>
      <c r="H12" s="10">
        <v>6.53</v>
      </c>
      <c r="I12" s="10">
        <v>11.89</v>
      </c>
      <c r="J12" s="10">
        <v>15.84</v>
      </c>
      <c r="K12" s="10">
        <v>17.41</v>
      </c>
      <c r="L12" s="10">
        <v>21.17</v>
      </c>
      <c r="M12" s="10">
        <v>95.65</v>
      </c>
    </row>
    <row r="13">
      <c r="A13" s="6" t="s">
        <v>12</v>
      </c>
      <c r="B13" s="7">
        <v>64.34</v>
      </c>
      <c r="C13" s="8">
        <v>63.39</v>
      </c>
      <c r="D13" s="9">
        <v>57.54</v>
      </c>
      <c r="E13" s="10">
        <v>52.41</v>
      </c>
      <c r="F13" s="10">
        <v>45.52</v>
      </c>
      <c r="G13" s="10">
        <v>38.91</v>
      </c>
      <c r="H13" s="10">
        <v>35.38</v>
      </c>
      <c r="I13" s="10">
        <v>71.0</v>
      </c>
      <c r="J13" s="10">
        <v>62.77</v>
      </c>
      <c r="K13" s="10">
        <v>59.02</v>
      </c>
      <c r="L13" s="10">
        <v>108.26</v>
      </c>
      <c r="M13" s="10">
        <v>186.49</v>
      </c>
    </row>
    <row r="14">
      <c r="A14" s="6" t="s">
        <v>13</v>
      </c>
      <c r="B14" s="7">
        <v>27.75</v>
      </c>
      <c r="C14" s="8">
        <v>16.38</v>
      </c>
      <c r="D14" s="9">
        <v>15.46</v>
      </c>
      <c r="E14" s="10">
        <v>12.37</v>
      </c>
      <c r="F14" s="10">
        <v>10.7</v>
      </c>
      <c r="G14" s="10">
        <v>12.45</v>
      </c>
      <c r="H14" s="10">
        <v>10.24</v>
      </c>
      <c r="I14" s="10">
        <v>9.2</v>
      </c>
      <c r="J14" s="10">
        <v>8.45</v>
      </c>
      <c r="K14" s="10">
        <v>7.71</v>
      </c>
      <c r="L14" s="10">
        <v>12.0</v>
      </c>
      <c r="M14" s="10">
        <v>11.09</v>
      </c>
    </row>
    <row r="15">
      <c r="A15" s="6" t="s">
        <v>14</v>
      </c>
      <c r="B15" s="7">
        <v>111.29</v>
      </c>
      <c r="C15" s="8">
        <v>91.45</v>
      </c>
      <c r="D15" s="9">
        <v>74.94</v>
      </c>
      <c r="E15" s="10">
        <v>60.73</v>
      </c>
      <c r="F15" s="10">
        <v>50.49</v>
      </c>
      <c r="G15" s="10">
        <v>44.68</v>
      </c>
      <c r="H15" s="10">
        <v>37.74</v>
      </c>
      <c r="I15" s="10">
        <v>32.66</v>
      </c>
      <c r="J15" s="10">
        <v>26.86</v>
      </c>
      <c r="K15" s="10">
        <v>18.87</v>
      </c>
      <c r="L15" s="10">
        <v>39.4</v>
      </c>
      <c r="M15" s="10">
        <v>32.14</v>
      </c>
    </row>
    <row r="16">
      <c r="A16" s="6" t="s">
        <v>15</v>
      </c>
      <c r="B16" s="7">
        <v>109.28</v>
      </c>
      <c r="C16" s="8">
        <v>93.88</v>
      </c>
      <c r="D16" s="9">
        <v>74.45</v>
      </c>
      <c r="E16" s="10">
        <v>61.65</v>
      </c>
      <c r="F16" s="10">
        <v>82.41</v>
      </c>
      <c r="G16" s="10">
        <v>67.95</v>
      </c>
      <c r="H16" s="10">
        <v>63.4</v>
      </c>
      <c r="I16" s="10">
        <v>52.49</v>
      </c>
      <c r="J16" s="10">
        <v>43.05</v>
      </c>
      <c r="K16" s="10">
        <v>45.27</v>
      </c>
      <c r="L16" s="10">
        <v>50.98</v>
      </c>
      <c r="M16" s="10">
        <v>52.65</v>
      </c>
    </row>
    <row r="17">
      <c r="A17" s="6" t="s">
        <v>16</v>
      </c>
      <c r="B17" s="7">
        <v>115.06</v>
      </c>
      <c r="C17" s="8">
        <v>100.7</v>
      </c>
      <c r="D17" s="9">
        <v>91.96</v>
      </c>
      <c r="E17" s="10">
        <v>58.83</v>
      </c>
      <c r="F17" s="10">
        <v>16.15</v>
      </c>
      <c r="G17" s="10">
        <v>2.101500000000001</v>
      </c>
      <c r="H17" s="10">
        <v>48.7</v>
      </c>
      <c r="I17" s="10">
        <v>68.86</v>
      </c>
      <c r="J17" s="10">
        <v>33.98</v>
      </c>
      <c r="K17" s="10">
        <v>56.49</v>
      </c>
      <c r="L17" s="10">
        <v>50.69</v>
      </c>
      <c r="M17" s="10">
        <v>75.83</v>
      </c>
    </row>
    <row r="18">
      <c r="A18" s="6" t="s">
        <v>17</v>
      </c>
      <c r="B18" s="7">
        <v>187.43899999999996</v>
      </c>
      <c r="C18" s="8">
        <v>187.43899999999996</v>
      </c>
      <c r="D18" s="9">
        <v>187.43899999999996</v>
      </c>
      <c r="E18" s="10">
        <v>128.43</v>
      </c>
      <c r="F18" s="10">
        <v>145.3</v>
      </c>
      <c r="G18" s="10">
        <v>187.43899999999996</v>
      </c>
      <c r="H18" s="10">
        <v>187.43899999999996</v>
      </c>
      <c r="I18" s="10">
        <v>187.43899999999996</v>
      </c>
      <c r="J18" s="10">
        <v>187.43899999999996</v>
      </c>
      <c r="K18" s="10">
        <v>181.98</v>
      </c>
      <c r="L18" s="10">
        <v>126.04</v>
      </c>
      <c r="M18" s="10">
        <v>94.44</v>
      </c>
    </row>
    <row r="19">
      <c r="A19" s="6" t="s">
        <v>18</v>
      </c>
      <c r="B19" s="7">
        <v>20.34</v>
      </c>
      <c r="C19" s="8">
        <v>21.46</v>
      </c>
      <c r="D19" s="9">
        <v>17.87</v>
      </c>
      <c r="E19" s="10">
        <v>15.66</v>
      </c>
      <c r="F19" s="10">
        <v>14.87</v>
      </c>
      <c r="G19" s="10">
        <v>11.72</v>
      </c>
      <c r="H19" s="10">
        <v>13.88</v>
      </c>
      <c r="I19" s="10">
        <v>10.66</v>
      </c>
      <c r="J19" s="10">
        <v>13.0</v>
      </c>
      <c r="K19" s="10">
        <v>13.1</v>
      </c>
      <c r="L19" s="10">
        <v>12.11</v>
      </c>
      <c r="M19" s="10">
        <v>13.83</v>
      </c>
    </row>
    <row r="20">
      <c r="A20" s="6" t="s">
        <v>19</v>
      </c>
      <c r="B20" s="7">
        <v>16.69</v>
      </c>
      <c r="C20" s="8">
        <v>17.36</v>
      </c>
      <c r="D20" s="9">
        <v>22.1</v>
      </c>
      <c r="E20" s="10">
        <v>24.12</v>
      </c>
      <c r="F20" s="10">
        <v>23.01</v>
      </c>
      <c r="G20" s="10">
        <v>21.14</v>
      </c>
      <c r="H20" s="10">
        <v>19.18</v>
      </c>
      <c r="I20" s="10">
        <v>15.68</v>
      </c>
      <c r="J20" s="10">
        <v>14.24</v>
      </c>
      <c r="K20" s="10">
        <v>11.39</v>
      </c>
      <c r="L20" s="10">
        <v>9.65</v>
      </c>
      <c r="M20" s="10">
        <v>9.47</v>
      </c>
    </row>
    <row r="21">
      <c r="A21" s="6" t="s">
        <v>20</v>
      </c>
      <c r="B21" s="7">
        <v>51.47</v>
      </c>
      <c r="C21" s="8">
        <v>102.9</v>
      </c>
      <c r="D21" s="9">
        <v>98.59</v>
      </c>
      <c r="E21" s="10">
        <v>90.85</v>
      </c>
      <c r="F21" s="10">
        <v>75.21</v>
      </c>
      <c r="G21" s="10">
        <v>63.06</v>
      </c>
      <c r="H21" s="10">
        <v>66.8</v>
      </c>
      <c r="I21" s="10">
        <v>60.89</v>
      </c>
      <c r="J21" s="10">
        <v>101.14</v>
      </c>
      <c r="K21" s="10">
        <v>100.75</v>
      </c>
      <c r="L21" s="10">
        <v>80.11</v>
      </c>
      <c r="M21" s="10">
        <v>76.55</v>
      </c>
    </row>
    <row r="22">
      <c r="A22" s="6" t="s">
        <v>21</v>
      </c>
      <c r="B22" s="7">
        <v>86.91</v>
      </c>
      <c r="C22" s="8">
        <v>75.17</v>
      </c>
      <c r="D22" s="9">
        <v>62.35</v>
      </c>
      <c r="E22" s="10">
        <v>39.64</v>
      </c>
      <c r="F22" s="10">
        <v>25.11</v>
      </c>
      <c r="G22" s="10">
        <v>22.15</v>
      </c>
      <c r="H22" s="10">
        <v>2.58</v>
      </c>
      <c r="I22" s="10">
        <v>2.101500000000001</v>
      </c>
      <c r="J22" s="10">
        <v>2.101500000000001</v>
      </c>
      <c r="K22" s="10">
        <v>15.95</v>
      </c>
      <c r="L22" s="10">
        <v>22.76</v>
      </c>
      <c r="M22" s="10">
        <v>187.43899999999996</v>
      </c>
    </row>
    <row r="23">
      <c r="A23" s="6" t="s">
        <v>22</v>
      </c>
      <c r="B23" s="7">
        <v>45.6</v>
      </c>
      <c r="C23" s="8">
        <v>39.9</v>
      </c>
      <c r="D23" s="9">
        <v>35.3</v>
      </c>
      <c r="E23" s="10">
        <v>13.6</v>
      </c>
      <c r="F23" s="10">
        <v>12.1</v>
      </c>
      <c r="G23" s="10">
        <v>15.7</v>
      </c>
      <c r="H23" s="10">
        <v>11.1</v>
      </c>
      <c r="I23" s="10">
        <v>9.0</v>
      </c>
      <c r="J23" s="10">
        <v>29.0</v>
      </c>
      <c r="K23" s="10">
        <v>18.9</v>
      </c>
      <c r="L23" s="10">
        <v>18.9</v>
      </c>
      <c r="M23" s="10">
        <v>15.2</v>
      </c>
    </row>
    <row r="24">
      <c r="A24" s="6" t="s">
        <v>23</v>
      </c>
      <c r="B24" s="7">
        <v>78.75</v>
      </c>
      <c r="C24" s="8">
        <v>81.88</v>
      </c>
      <c r="D24" s="9">
        <v>6.29</v>
      </c>
      <c r="E24" s="10">
        <v>2.101500000000001</v>
      </c>
      <c r="F24" s="10">
        <v>2.101500000000001</v>
      </c>
      <c r="G24" s="10">
        <v>2.101500000000001</v>
      </c>
      <c r="H24" s="10">
        <v>2.101500000000001</v>
      </c>
      <c r="I24" s="10">
        <v>26.45</v>
      </c>
      <c r="J24" s="10">
        <v>21.93</v>
      </c>
      <c r="K24" s="10">
        <v>34.24</v>
      </c>
      <c r="L24" s="10">
        <v>43.43</v>
      </c>
      <c r="M24" s="10">
        <v>43.5</v>
      </c>
    </row>
    <row r="25">
      <c r="A25" s="6" t="s">
        <v>24</v>
      </c>
      <c r="B25" s="7">
        <v>2.74</v>
      </c>
      <c r="C25" s="8">
        <v>2.101500000000001</v>
      </c>
      <c r="D25" s="9">
        <v>7.17</v>
      </c>
      <c r="E25" s="10">
        <v>187.43899999999996</v>
      </c>
      <c r="F25" s="10">
        <v>63.78</v>
      </c>
      <c r="G25" s="10">
        <v>11.86</v>
      </c>
      <c r="H25" s="10">
        <v>87.74</v>
      </c>
      <c r="I25" s="10">
        <v>128.1</v>
      </c>
      <c r="J25" s="10">
        <v>2.101500000000001</v>
      </c>
      <c r="K25" s="10">
        <v>2.101500000000001</v>
      </c>
      <c r="L25" s="10">
        <v>2.101500000000001</v>
      </c>
      <c r="M25" s="10">
        <v>35.19</v>
      </c>
    </row>
    <row r="26">
      <c r="A26" s="6" t="s">
        <v>25</v>
      </c>
      <c r="B26" s="7">
        <v>134.19</v>
      </c>
      <c r="C26" s="8">
        <v>125.88</v>
      </c>
      <c r="D26" s="9">
        <v>115.19</v>
      </c>
      <c r="E26" s="10">
        <v>103.62</v>
      </c>
      <c r="F26" s="10">
        <v>86.71</v>
      </c>
      <c r="G26" s="10">
        <v>86.19</v>
      </c>
      <c r="H26" s="10">
        <v>83.05</v>
      </c>
      <c r="I26" s="10">
        <v>134.19</v>
      </c>
      <c r="J26" s="10">
        <v>133.41</v>
      </c>
      <c r="K26" s="10">
        <v>123.18</v>
      </c>
      <c r="L26" s="10">
        <v>101.35</v>
      </c>
      <c r="M26" s="10">
        <v>97.67</v>
      </c>
    </row>
    <row r="27">
      <c r="A27" s="6" t="s">
        <v>26</v>
      </c>
      <c r="B27" s="7">
        <v>47.91</v>
      </c>
      <c r="C27" s="8">
        <v>26.58</v>
      </c>
      <c r="D27" s="9">
        <v>54.76</v>
      </c>
      <c r="E27" s="10">
        <v>62.81</v>
      </c>
      <c r="F27" s="10">
        <v>50.19</v>
      </c>
      <c r="G27" s="10">
        <v>45.85</v>
      </c>
      <c r="H27" s="10">
        <v>47.72</v>
      </c>
      <c r="I27" s="10">
        <v>42.66</v>
      </c>
      <c r="J27" s="10">
        <v>31.64</v>
      </c>
      <c r="K27" s="10">
        <v>33.71</v>
      </c>
      <c r="L27" s="10">
        <v>26.74</v>
      </c>
      <c r="M27" s="10">
        <v>126.78</v>
      </c>
    </row>
    <row r="28">
      <c r="A28" s="6" t="s">
        <v>27</v>
      </c>
      <c r="B28" s="7">
        <v>37.61</v>
      </c>
      <c r="C28" s="8">
        <v>39.38</v>
      </c>
      <c r="D28" s="9">
        <v>36.61</v>
      </c>
      <c r="E28" s="10">
        <v>24.49</v>
      </c>
      <c r="F28" s="10">
        <v>10.96</v>
      </c>
      <c r="G28" s="10">
        <v>16.91</v>
      </c>
      <c r="H28" s="10">
        <v>15.82</v>
      </c>
      <c r="I28" s="10">
        <v>12.75</v>
      </c>
      <c r="J28" s="10">
        <v>8.17</v>
      </c>
      <c r="K28" s="10">
        <v>7.6</v>
      </c>
      <c r="L28" s="10">
        <v>9.19</v>
      </c>
      <c r="M28" s="10">
        <v>8.28</v>
      </c>
    </row>
    <row r="29">
      <c r="A29" s="6" t="s">
        <v>28</v>
      </c>
      <c r="B29" s="7">
        <v>43.51</v>
      </c>
      <c r="C29" s="8">
        <v>41.82</v>
      </c>
      <c r="D29" s="9">
        <v>12.51</v>
      </c>
      <c r="E29" s="10">
        <v>2.98</v>
      </c>
      <c r="F29" s="10">
        <v>2.101500000000001</v>
      </c>
      <c r="G29" s="10">
        <v>3.53</v>
      </c>
      <c r="H29" s="10">
        <v>2.92</v>
      </c>
      <c r="I29" s="10">
        <v>2.62</v>
      </c>
      <c r="J29" s="10">
        <v>2.55</v>
      </c>
      <c r="K29" s="10">
        <v>2.101500000000001</v>
      </c>
      <c r="L29" s="10">
        <v>38.92</v>
      </c>
      <c r="M29" s="10">
        <v>2.101500000000001</v>
      </c>
    </row>
    <row r="30">
      <c r="A30" s="6" t="s">
        <v>29</v>
      </c>
      <c r="B30" s="11">
        <v>187.43899999999996</v>
      </c>
      <c r="C30" s="12">
        <v>187.43899999999996</v>
      </c>
      <c r="D30" s="13">
        <v>175.54</v>
      </c>
      <c r="E30" s="10">
        <v>187.43899999999996</v>
      </c>
      <c r="F30" s="10">
        <v>187.43899999999996</v>
      </c>
      <c r="G30" s="10">
        <v>187.43899999999996</v>
      </c>
      <c r="H30" s="10">
        <v>84.0</v>
      </c>
      <c r="I30" s="10">
        <v>80.92</v>
      </c>
      <c r="J30" s="10">
        <v>98.88</v>
      </c>
      <c r="K30" s="10">
        <v>90.25</v>
      </c>
      <c r="L30" s="10">
        <v>76.44</v>
      </c>
      <c r="M30" s="10">
        <v>80.42</v>
      </c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>
      <c r="A32" s="14" t="s">
        <v>30</v>
      </c>
      <c r="B32" s="15">
        <f>MAX(E2:M30)</f>
        <v>187.439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>
      <c r="A34" s="1" t="s">
        <v>31</v>
      </c>
      <c r="B34" s="16" t="s">
        <v>32</v>
      </c>
      <c r="C34" s="16" t="s">
        <v>33</v>
      </c>
      <c r="D34" s="16" t="s">
        <v>34</v>
      </c>
      <c r="E34" s="17" t="s">
        <v>35</v>
      </c>
      <c r="F34" s="17" t="s">
        <v>36</v>
      </c>
      <c r="G34" s="17" t="s">
        <v>37</v>
      </c>
      <c r="H34" s="17" t="s">
        <v>38</v>
      </c>
      <c r="I34" s="17" t="s">
        <v>39</v>
      </c>
      <c r="J34" s="17" t="s">
        <v>40</v>
      </c>
      <c r="K34" s="17" t="s">
        <v>41</v>
      </c>
      <c r="L34" s="17" t="s">
        <v>42</v>
      </c>
      <c r="M34" s="17" t="s">
        <v>43</v>
      </c>
    </row>
    <row r="35">
      <c r="A35" s="6" t="s">
        <v>1</v>
      </c>
      <c r="B35" s="8">
        <v>11.68</v>
      </c>
      <c r="C35" s="8">
        <v>13.31</v>
      </c>
      <c r="D35" s="8">
        <v>19.88</v>
      </c>
      <c r="E35" s="15">
        <v>21.59</v>
      </c>
      <c r="F35" s="15">
        <v>0.0</v>
      </c>
      <c r="G35" s="15">
        <v>18.37</v>
      </c>
      <c r="H35" s="15">
        <v>10.38</v>
      </c>
      <c r="I35" s="15">
        <v>7.32</v>
      </c>
      <c r="J35" s="15">
        <v>0.0</v>
      </c>
      <c r="K35" s="15">
        <v>15.72</v>
      </c>
      <c r="L35" s="15">
        <v>9.83</v>
      </c>
      <c r="M35" s="15">
        <v>12.28</v>
      </c>
    </row>
    <row r="36">
      <c r="A36" s="6" t="s">
        <v>2</v>
      </c>
      <c r="B36" s="8">
        <v>84.74</v>
      </c>
      <c r="C36" s="8">
        <v>46.37</v>
      </c>
      <c r="D36" s="8">
        <v>46.48</v>
      </c>
      <c r="E36" s="15">
        <v>57.44</v>
      </c>
      <c r="F36" s="15">
        <v>10.23</v>
      </c>
      <c r="G36" s="15">
        <v>64.35</v>
      </c>
      <c r="H36" s="15">
        <v>39.59</v>
      </c>
      <c r="I36" s="15">
        <v>48.45</v>
      </c>
      <c r="J36" s="15">
        <v>39.31</v>
      </c>
      <c r="K36" s="15">
        <v>35.72</v>
      </c>
      <c r="L36" s="15">
        <v>41.93</v>
      </c>
      <c r="M36" s="15">
        <v>41.71</v>
      </c>
    </row>
    <row r="37">
      <c r="A37" s="6" t="s">
        <v>3</v>
      </c>
      <c r="B37" s="8">
        <v>1.19</v>
      </c>
      <c r="C37" s="8">
        <v>1.25</v>
      </c>
      <c r="D37" s="8">
        <v>3.25</v>
      </c>
      <c r="E37" s="15">
        <v>1.24</v>
      </c>
      <c r="F37" s="15">
        <v>1.52</v>
      </c>
      <c r="G37" s="15">
        <v>1.25</v>
      </c>
      <c r="H37" s="15">
        <v>2.33</v>
      </c>
      <c r="I37" s="15">
        <v>1.39</v>
      </c>
      <c r="J37" s="15">
        <v>1.53</v>
      </c>
      <c r="K37" s="15">
        <v>1.09</v>
      </c>
      <c r="L37" s="15">
        <v>1.005</v>
      </c>
      <c r="M37" s="15">
        <v>1.32</v>
      </c>
    </row>
    <row r="38">
      <c r="A38" s="6" t="s">
        <v>4</v>
      </c>
      <c r="B38" s="8">
        <v>1.79</v>
      </c>
      <c r="C38" s="8">
        <v>1.56</v>
      </c>
      <c r="D38" s="8">
        <v>0.99</v>
      </c>
      <c r="E38" s="15">
        <v>1.04</v>
      </c>
      <c r="F38" s="15">
        <v>0.0</v>
      </c>
      <c r="G38" s="15">
        <v>3.54</v>
      </c>
      <c r="H38" s="15">
        <v>0.86</v>
      </c>
      <c r="I38" s="15">
        <v>1.05</v>
      </c>
      <c r="J38" s="15">
        <v>0.0</v>
      </c>
      <c r="K38" s="15">
        <v>1.49</v>
      </c>
      <c r="L38" s="15">
        <v>1.64</v>
      </c>
      <c r="M38" s="15">
        <v>1.8</v>
      </c>
    </row>
    <row r="39">
      <c r="A39" s="6" t="s">
        <v>5</v>
      </c>
      <c r="B39" s="8">
        <v>13.38</v>
      </c>
      <c r="C39" s="8">
        <v>12.56</v>
      </c>
      <c r="D39" s="8">
        <v>10.49</v>
      </c>
      <c r="E39" s="15">
        <v>8.57</v>
      </c>
      <c r="F39" s="15">
        <v>0.0</v>
      </c>
      <c r="G39" s="15">
        <v>18.04</v>
      </c>
      <c r="H39" s="15">
        <v>5.78</v>
      </c>
      <c r="I39" s="15">
        <v>7.4</v>
      </c>
      <c r="J39" s="15">
        <v>0.0</v>
      </c>
      <c r="K39" s="15">
        <v>10.99</v>
      </c>
      <c r="L39" s="15">
        <v>10.05</v>
      </c>
      <c r="M39" s="15">
        <v>11.15</v>
      </c>
    </row>
    <row r="40">
      <c r="A40" s="6" t="s">
        <v>6</v>
      </c>
      <c r="B40" s="8">
        <v>31.59</v>
      </c>
      <c r="C40" s="8">
        <v>36.69</v>
      </c>
      <c r="D40" s="8">
        <v>41.63</v>
      </c>
      <c r="E40" s="15">
        <v>42.65</v>
      </c>
      <c r="F40" s="15">
        <v>48.75</v>
      </c>
      <c r="G40" s="15">
        <v>41.41</v>
      </c>
      <c r="H40" s="15">
        <v>27.12</v>
      </c>
      <c r="I40" s="15">
        <v>43.83</v>
      </c>
      <c r="J40" s="15">
        <v>40.43</v>
      </c>
      <c r="K40" s="15">
        <v>18.36</v>
      </c>
      <c r="L40" s="15">
        <v>19.51</v>
      </c>
      <c r="M40" s="15">
        <v>19.59</v>
      </c>
    </row>
    <row r="41">
      <c r="A41" s="6" t="s">
        <v>7</v>
      </c>
      <c r="B41" s="8">
        <v>13.79</v>
      </c>
      <c r="C41" s="8">
        <v>30.47</v>
      </c>
      <c r="D41" s="18">
        <v>20.34</v>
      </c>
      <c r="E41" s="15">
        <v>0.0</v>
      </c>
      <c r="F41" s="15">
        <v>0.0</v>
      </c>
      <c r="G41" s="15">
        <v>0.0</v>
      </c>
      <c r="H41" s="15">
        <v>87.98099999999998</v>
      </c>
      <c r="I41" s="19">
        <v>87.98099999999998</v>
      </c>
      <c r="J41" s="15">
        <v>17.21</v>
      </c>
      <c r="K41" s="15">
        <v>17.57</v>
      </c>
      <c r="L41" s="15">
        <v>33.3</v>
      </c>
      <c r="M41" s="15">
        <v>0.0</v>
      </c>
    </row>
    <row r="42">
      <c r="A42" s="6" t="s">
        <v>8</v>
      </c>
      <c r="B42" s="8">
        <v>87.98099999999998</v>
      </c>
      <c r="C42" s="8">
        <v>87.98099999999998</v>
      </c>
      <c r="D42" s="8">
        <v>87.5</v>
      </c>
      <c r="E42" s="15">
        <v>84.38</v>
      </c>
      <c r="F42" s="15">
        <v>29.22</v>
      </c>
      <c r="G42" s="15">
        <v>12.27</v>
      </c>
      <c r="H42" s="15">
        <v>10.85</v>
      </c>
      <c r="I42" s="15">
        <v>19.4</v>
      </c>
      <c r="J42" s="15">
        <v>39.34</v>
      </c>
      <c r="K42" s="15">
        <v>48.15</v>
      </c>
      <c r="L42" s="15">
        <v>32.6</v>
      </c>
      <c r="M42" s="15">
        <v>10.75</v>
      </c>
    </row>
    <row r="43">
      <c r="A43" s="6" t="s">
        <v>9</v>
      </c>
      <c r="B43" s="8">
        <v>25.05</v>
      </c>
      <c r="C43" s="8">
        <v>24.38</v>
      </c>
      <c r="D43" s="8">
        <v>24.07</v>
      </c>
      <c r="E43" s="15">
        <v>23.28</v>
      </c>
      <c r="F43" s="15">
        <v>11.54</v>
      </c>
      <c r="G43" s="15">
        <v>0.0</v>
      </c>
      <c r="H43" s="15">
        <v>18.63</v>
      </c>
      <c r="I43" s="15">
        <v>19.32</v>
      </c>
      <c r="J43" s="15">
        <v>20.84</v>
      </c>
      <c r="K43" s="15">
        <v>20.67</v>
      </c>
      <c r="L43" s="15">
        <v>0.0</v>
      </c>
      <c r="M43" s="15">
        <v>0.0</v>
      </c>
    </row>
    <row r="44">
      <c r="A44" s="6" t="s">
        <v>10</v>
      </c>
      <c r="B44" s="8">
        <v>87.98099999999998</v>
      </c>
      <c r="C44" s="8">
        <v>87.98099999999998</v>
      </c>
      <c r="D44" s="8">
        <v>83.58</v>
      </c>
      <c r="E44" s="15">
        <v>84.68</v>
      </c>
      <c r="F44" s="15">
        <v>87.98099999999998</v>
      </c>
      <c r="G44" s="15">
        <v>77.0</v>
      </c>
      <c r="H44" s="15">
        <v>75.09</v>
      </c>
      <c r="I44" s="15">
        <v>74.72</v>
      </c>
      <c r="J44" s="15">
        <v>79.78</v>
      </c>
      <c r="K44" s="15">
        <v>81.03</v>
      </c>
      <c r="L44" s="15">
        <v>74.38</v>
      </c>
      <c r="M44" s="15">
        <v>71.25</v>
      </c>
    </row>
    <row r="45">
      <c r="A45" s="6" t="s">
        <v>11</v>
      </c>
      <c r="B45" s="8">
        <v>15.4</v>
      </c>
      <c r="C45" s="8">
        <v>15.9</v>
      </c>
      <c r="D45" s="8">
        <v>16.4</v>
      </c>
      <c r="E45" s="15">
        <v>13.8</v>
      </c>
      <c r="F45" s="15">
        <v>7.5</v>
      </c>
      <c r="G45" s="15">
        <v>0.0</v>
      </c>
      <c r="H45" s="15">
        <v>15.0</v>
      </c>
      <c r="I45" s="15">
        <v>12.0</v>
      </c>
      <c r="J45" s="15">
        <v>14.0</v>
      </c>
      <c r="K45" s="15">
        <v>29.0</v>
      </c>
      <c r="L45" s="15">
        <v>24.0</v>
      </c>
      <c r="M45" s="15">
        <v>24.0</v>
      </c>
    </row>
    <row r="46">
      <c r="A46" s="6" t="s">
        <v>12</v>
      </c>
      <c r="B46" s="8">
        <v>75.97</v>
      </c>
      <c r="C46" s="8">
        <v>56.0</v>
      </c>
      <c r="D46" s="8">
        <v>56.57</v>
      </c>
      <c r="E46" s="15">
        <v>57.23</v>
      </c>
      <c r="F46" s="15">
        <v>47.12</v>
      </c>
      <c r="G46" s="15">
        <v>57.35</v>
      </c>
      <c r="H46" s="15">
        <v>87.98099999999998</v>
      </c>
      <c r="I46" s="15">
        <v>46.59</v>
      </c>
      <c r="J46" s="15">
        <v>48.43</v>
      </c>
      <c r="K46" s="15">
        <v>50.51</v>
      </c>
      <c r="L46" s="15">
        <v>41.14</v>
      </c>
      <c r="M46" s="15">
        <v>33.83</v>
      </c>
    </row>
    <row r="47">
      <c r="A47" s="6" t="s">
        <v>13</v>
      </c>
      <c r="B47" s="8">
        <v>23.4</v>
      </c>
      <c r="C47" s="8">
        <v>41.0</v>
      </c>
      <c r="D47" s="8">
        <v>38.81</v>
      </c>
      <c r="E47" s="15">
        <v>42.44</v>
      </c>
      <c r="F47" s="15">
        <v>46.74</v>
      </c>
      <c r="G47" s="15">
        <v>46.05</v>
      </c>
      <c r="H47" s="15">
        <v>49.91</v>
      </c>
      <c r="I47" s="15">
        <v>51.19</v>
      </c>
      <c r="J47" s="15">
        <v>66.47</v>
      </c>
      <c r="K47" s="15">
        <v>53.61</v>
      </c>
      <c r="L47" s="15">
        <v>51.84</v>
      </c>
      <c r="M47" s="15">
        <v>53.66</v>
      </c>
    </row>
    <row r="48">
      <c r="A48" s="6" t="s">
        <v>14</v>
      </c>
      <c r="B48" s="8">
        <v>15.64</v>
      </c>
      <c r="C48" s="8">
        <v>16.87</v>
      </c>
      <c r="D48" s="8">
        <v>14.32</v>
      </c>
      <c r="E48" s="15">
        <v>15.68</v>
      </c>
      <c r="F48" s="15">
        <v>15.32</v>
      </c>
      <c r="G48" s="15">
        <v>14.22</v>
      </c>
      <c r="H48" s="15">
        <v>16.84</v>
      </c>
      <c r="I48" s="15">
        <v>14.21</v>
      </c>
      <c r="J48" s="15">
        <v>14.7</v>
      </c>
      <c r="K48" s="15">
        <v>14.56</v>
      </c>
      <c r="L48" s="15">
        <v>15.35</v>
      </c>
      <c r="M48" s="15">
        <v>14.98</v>
      </c>
    </row>
    <row r="49">
      <c r="A49" s="6" t="s">
        <v>15</v>
      </c>
      <c r="B49" s="8">
        <v>25.6</v>
      </c>
      <c r="C49" s="8">
        <v>32.29</v>
      </c>
      <c r="D49" s="8">
        <v>29.52</v>
      </c>
      <c r="E49" s="15">
        <v>29.16</v>
      </c>
      <c r="F49" s="15">
        <v>31.51</v>
      </c>
      <c r="G49" s="15">
        <v>41.15</v>
      </c>
      <c r="H49" s="15">
        <v>0.0</v>
      </c>
      <c r="I49" s="15">
        <v>0.0</v>
      </c>
      <c r="J49" s="15">
        <v>0.0</v>
      </c>
      <c r="K49" s="15">
        <v>0.0</v>
      </c>
      <c r="L49" s="15">
        <v>31.7</v>
      </c>
      <c r="M49" s="15">
        <v>26.94</v>
      </c>
    </row>
    <row r="50">
      <c r="A50" s="6" t="s">
        <v>16</v>
      </c>
      <c r="B50" s="8">
        <v>18.19</v>
      </c>
      <c r="C50" s="8">
        <v>16.06</v>
      </c>
      <c r="D50" s="8">
        <v>12.49</v>
      </c>
      <c r="E50" s="15">
        <v>14.88</v>
      </c>
      <c r="F50" s="15">
        <v>14.46</v>
      </c>
      <c r="G50" s="15">
        <v>87.98099999999998</v>
      </c>
      <c r="H50" s="15">
        <v>17.63</v>
      </c>
      <c r="I50" s="15">
        <v>11.29</v>
      </c>
      <c r="J50" s="15">
        <v>20.92</v>
      </c>
      <c r="K50" s="15">
        <v>24.6</v>
      </c>
      <c r="L50" s="15">
        <v>23.75</v>
      </c>
      <c r="M50" s="15">
        <v>18.47</v>
      </c>
    </row>
    <row r="51">
      <c r="A51" s="6" t="s">
        <v>17</v>
      </c>
      <c r="B51" s="8">
        <v>27.1</v>
      </c>
      <c r="C51" s="8">
        <v>20.15</v>
      </c>
      <c r="D51" s="8">
        <v>22.07</v>
      </c>
      <c r="E51" s="15">
        <v>35.04</v>
      </c>
      <c r="F51" s="15">
        <v>41.29</v>
      </c>
      <c r="G51" s="15">
        <v>42.57</v>
      </c>
      <c r="H51" s="15">
        <v>31.59</v>
      </c>
      <c r="I51" s="15">
        <v>28.75</v>
      </c>
      <c r="J51" s="15">
        <v>14.07</v>
      </c>
      <c r="K51" s="15">
        <v>13.74</v>
      </c>
      <c r="L51" s="15">
        <v>19.83</v>
      </c>
      <c r="M51" s="15">
        <v>12.7</v>
      </c>
    </row>
    <row r="52">
      <c r="A52" s="6" t="s">
        <v>18</v>
      </c>
      <c r="B52" s="8">
        <v>34.15</v>
      </c>
      <c r="C52" s="8">
        <v>34.94</v>
      </c>
      <c r="D52" s="8">
        <v>24.36</v>
      </c>
      <c r="E52" s="15">
        <v>23.25</v>
      </c>
      <c r="F52" s="15">
        <v>37.79</v>
      </c>
      <c r="G52" s="15">
        <v>4.26</v>
      </c>
      <c r="H52" s="15">
        <v>21.98</v>
      </c>
      <c r="I52" s="15">
        <v>38.31</v>
      </c>
      <c r="J52" s="15">
        <v>33.53</v>
      </c>
      <c r="K52" s="15">
        <v>25.57</v>
      </c>
      <c r="L52" s="15">
        <v>20.64</v>
      </c>
      <c r="M52" s="15">
        <v>42.01</v>
      </c>
    </row>
    <row r="53">
      <c r="A53" s="6" t="s">
        <v>19</v>
      </c>
      <c r="B53" s="8">
        <v>46.43</v>
      </c>
      <c r="C53" s="8">
        <v>50.76</v>
      </c>
      <c r="D53" s="8">
        <v>45.24</v>
      </c>
      <c r="E53" s="15">
        <v>51.82</v>
      </c>
      <c r="F53" s="15">
        <v>56.67</v>
      </c>
      <c r="G53" s="15">
        <v>28.19</v>
      </c>
      <c r="H53" s="15">
        <v>44.99</v>
      </c>
      <c r="I53" s="15">
        <v>36.98</v>
      </c>
      <c r="J53" s="15">
        <v>7.02</v>
      </c>
      <c r="K53" s="15">
        <v>18.52</v>
      </c>
      <c r="L53" s="15">
        <v>22.16</v>
      </c>
      <c r="M53" s="15">
        <v>30.9</v>
      </c>
    </row>
    <row r="54">
      <c r="A54" s="6" t="s">
        <v>20</v>
      </c>
      <c r="B54" s="8">
        <v>9.71</v>
      </c>
      <c r="C54" s="8">
        <v>8.74</v>
      </c>
      <c r="D54" s="8">
        <v>7.62</v>
      </c>
      <c r="E54" s="15">
        <v>7.07</v>
      </c>
      <c r="F54" s="15">
        <v>7.98</v>
      </c>
      <c r="G54" s="15">
        <v>9.78</v>
      </c>
      <c r="H54" s="15">
        <v>8.97</v>
      </c>
      <c r="I54" s="15">
        <v>9.02</v>
      </c>
      <c r="J54" s="15">
        <v>0.0</v>
      </c>
      <c r="K54" s="15">
        <v>20.3</v>
      </c>
      <c r="L54" s="15">
        <v>12.49</v>
      </c>
      <c r="M54" s="15">
        <v>12.41</v>
      </c>
    </row>
    <row r="55">
      <c r="A55" s="6" t="s">
        <v>21</v>
      </c>
      <c r="B55" s="8">
        <v>20.01</v>
      </c>
      <c r="C55" s="8">
        <v>20.02</v>
      </c>
      <c r="D55" s="8">
        <v>20.08</v>
      </c>
      <c r="E55" s="15">
        <v>20.0</v>
      </c>
      <c r="F55" s="15">
        <v>17.49</v>
      </c>
      <c r="G55" s="15">
        <v>0.0</v>
      </c>
      <c r="H55" s="15">
        <v>0.0</v>
      </c>
      <c r="I55" s="15">
        <v>0.0</v>
      </c>
      <c r="J55" s="15">
        <v>20.11</v>
      </c>
      <c r="K55" s="15">
        <v>20.28</v>
      </c>
      <c r="L55" s="15">
        <v>20.21</v>
      </c>
      <c r="M55" s="15">
        <v>20.56</v>
      </c>
    </row>
    <row r="56">
      <c r="A56" s="6" t="s">
        <v>22</v>
      </c>
      <c r="B56" s="8">
        <v>33.06</v>
      </c>
      <c r="C56" s="8">
        <v>30.26</v>
      </c>
      <c r="D56" s="8">
        <v>29.73</v>
      </c>
      <c r="E56" s="15">
        <v>65.96</v>
      </c>
      <c r="F56" s="15">
        <v>53.68</v>
      </c>
      <c r="G56" s="15">
        <v>36.62</v>
      </c>
      <c r="H56" s="15">
        <v>17.97</v>
      </c>
      <c r="I56" s="15">
        <v>36.9</v>
      </c>
      <c r="J56" s="15">
        <v>3.45</v>
      </c>
      <c r="K56" s="15">
        <v>15.88</v>
      </c>
      <c r="L56" s="15">
        <v>15.9</v>
      </c>
      <c r="M56" s="15">
        <v>9.88</v>
      </c>
    </row>
    <row r="57">
      <c r="A57" s="6" t="s">
        <v>23</v>
      </c>
      <c r="B57" s="8">
        <v>8.3</v>
      </c>
      <c r="C57" s="8">
        <v>2.45</v>
      </c>
      <c r="D57" s="8">
        <v>0.0</v>
      </c>
      <c r="E57" s="15">
        <v>0.0</v>
      </c>
      <c r="F57" s="15">
        <v>0.0</v>
      </c>
      <c r="G57" s="15">
        <v>0.0</v>
      </c>
      <c r="H57" s="15">
        <v>0.0</v>
      </c>
      <c r="I57" s="15">
        <v>0.0</v>
      </c>
      <c r="J57" s="15">
        <v>0.0</v>
      </c>
      <c r="K57" s="15">
        <v>0.0</v>
      </c>
      <c r="L57" s="15">
        <v>0.0</v>
      </c>
      <c r="M57" s="15">
        <v>4.63</v>
      </c>
    </row>
    <row r="58">
      <c r="A58" s="6" t="s">
        <v>24</v>
      </c>
      <c r="B58" s="8">
        <v>87.98099999999998</v>
      </c>
      <c r="C58" s="8">
        <v>0.0</v>
      </c>
      <c r="D58" s="8">
        <v>71.08</v>
      </c>
      <c r="E58" s="15">
        <v>7.48</v>
      </c>
      <c r="F58" s="15">
        <v>15.28</v>
      </c>
      <c r="G58" s="15">
        <v>87.98099999999998</v>
      </c>
      <c r="H58" s="15">
        <v>11.2</v>
      </c>
      <c r="I58" s="15">
        <v>9.2</v>
      </c>
      <c r="J58" s="15">
        <v>0.0</v>
      </c>
      <c r="K58" s="15">
        <v>0.0</v>
      </c>
      <c r="L58" s="15">
        <v>0.0</v>
      </c>
      <c r="M58" s="15">
        <v>27.01</v>
      </c>
    </row>
    <row r="59">
      <c r="A59" s="6" t="s">
        <v>25</v>
      </c>
      <c r="B59" s="8">
        <v>87.98099999999998</v>
      </c>
      <c r="C59" s="8">
        <v>54.75</v>
      </c>
      <c r="D59" s="8">
        <v>87.98099999999998</v>
      </c>
      <c r="E59" s="15">
        <v>34.74</v>
      </c>
      <c r="F59" s="15">
        <v>33.45</v>
      </c>
      <c r="G59" s="15">
        <v>87.98099999999998</v>
      </c>
      <c r="H59" s="15">
        <v>32.03</v>
      </c>
      <c r="I59" s="15">
        <v>35.94</v>
      </c>
      <c r="J59" s="15">
        <v>34.85</v>
      </c>
      <c r="K59" s="15">
        <v>32.93</v>
      </c>
      <c r="L59" s="15">
        <v>77.94</v>
      </c>
      <c r="M59" s="15">
        <v>32.7</v>
      </c>
    </row>
    <row r="60">
      <c r="A60" s="6" t="s">
        <v>26</v>
      </c>
      <c r="B60" s="8">
        <v>87.98099999999998</v>
      </c>
      <c r="C60" s="8">
        <v>87.98099999999998</v>
      </c>
      <c r="D60" s="8">
        <v>87.98099999999998</v>
      </c>
      <c r="E60" s="15">
        <v>71.52</v>
      </c>
      <c r="F60" s="15">
        <v>39.72</v>
      </c>
      <c r="G60" s="15">
        <v>61.78</v>
      </c>
      <c r="H60" s="15">
        <v>34.68</v>
      </c>
      <c r="I60" s="15">
        <v>24.83</v>
      </c>
      <c r="J60" s="15">
        <v>44.05</v>
      </c>
      <c r="K60" s="15">
        <v>18.53</v>
      </c>
      <c r="L60" s="15">
        <v>22.04</v>
      </c>
      <c r="M60" s="15">
        <v>15.41</v>
      </c>
    </row>
    <row r="61">
      <c r="A61" s="6" t="s">
        <v>27</v>
      </c>
      <c r="B61" s="8">
        <v>29.24</v>
      </c>
      <c r="C61" s="8">
        <v>25.4</v>
      </c>
      <c r="D61" s="8">
        <v>20.49</v>
      </c>
      <c r="E61" s="15">
        <v>16.33</v>
      </c>
      <c r="F61" s="15">
        <v>36.48</v>
      </c>
      <c r="G61" s="15">
        <v>29.56</v>
      </c>
      <c r="H61" s="15">
        <v>23.7</v>
      </c>
      <c r="I61" s="15">
        <v>20.42</v>
      </c>
      <c r="J61" s="15">
        <v>0.0</v>
      </c>
      <c r="K61" s="15">
        <v>59.22</v>
      </c>
      <c r="L61" s="15">
        <v>25.01</v>
      </c>
      <c r="M61" s="15">
        <v>25.36</v>
      </c>
    </row>
    <row r="62">
      <c r="A62" s="6" t="s">
        <v>28</v>
      </c>
      <c r="B62" s="8">
        <v>7.35</v>
      </c>
      <c r="C62" s="8">
        <v>5.26</v>
      </c>
      <c r="D62" s="8">
        <v>8.79</v>
      </c>
      <c r="E62" s="15">
        <v>40.3</v>
      </c>
      <c r="F62" s="15">
        <v>0.0</v>
      </c>
      <c r="G62" s="15">
        <v>42.41</v>
      </c>
      <c r="H62" s="15">
        <v>47.51</v>
      </c>
      <c r="I62" s="15">
        <v>45.99</v>
      </c>
      <c r="J62" s="15">
        <v>0.0</v>
      </c>
      <c r="K62" s="15">
        <v>87.98099999999998</v>
      </c>
      <c r="L62" s="15">
        <v>25.69</v>
      </c>
      <c r="M62" s="15">
        <v>0.0</v>
      </c>
    </row>
    <row r="63">
      <c r="A63" s="6" t="s">
        <v>29</v>
      </c>
      <c r="B63" s="8">
        <v>33.4</v>
      </c>
      <c r="C63" s="8">
        <v>15.63</v>
      </c>
      <c r="D63" s="8">
        <v>21.57</v>
      </c>
      <c r="E63" s="15">
        <v>14.52</v>
      </c>
      <c r="F63" s="15">
        <v>6.86</v>
      </c>
      <c r="G63" s="15">
        <v>6.61</v>
      </c>
      <c r="H63" s="15">
        <v>14.46</v>
      </c>
      <c r="I63" s="15">
        <v>14.86</v>
      </c>
      <c r="J63" s="15">
        <v>9.6</v>
      </c>
      <c r="K63" s="15">
        <v>11.83</v>
      </c>
      <c r="L63" s="15">
        <v>11.77</v>
      </c>
      <c r="M63" s="15">
        <v>11.18</v>
      </c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>
      <c r="A65" s="14" t="s">
        <v>30</v>
      </c>
      <c r="B65" s="20">
        <f>MAX(E35:M63)</f>
        <v>87.981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>
      <c r="A67" s="1" t="s">
        <v>44</v>
      </c>
      <c r="B67" s="16" t="s">
        <v>45</v>
      </c>
      <c r="C67" s="16" t="s">
        <v>46</v>
      </c>
      <c r="D67" s="16" t="s">
        <v>47</v>
      </c>
      <c r="E67" s="17" t="s">
        <v>48</v>
      </c>
      <c r="F67" s="17" t="s">
        <v>49</v>
      </c>
      <c r="G67" s="17" t="s">
        <v>50</v>
      </c>
      <c r="H67" s="17" t="s">
        <v>51</v>
      </c>
      <c r="I67" s="17" t="s">
        <v>52</v>
      </c>
      <c r="J67" s="17" t="s">
        <v>53</v>
      </c>
      <c r="K67" s="17" t="s">
        <v>54</v>
      </c>
      <c r="L67" s="17" t="s">
        <v>55</v>
      </c>
      <c r="M67" s="17" t="s">
        <v>56</v>
      </c>
    </row>
    <row r="68">
      <c r="A68" s="6" t="s">
        <v>1</v>
      </c>
      <c r="B68" s="8">
        <v>8.22</v>
      </c>
      <c r="C68" s="8">
        <v>8.7525</v>
      </c>
      <c r="D68" s="8">
        <v>6.55</v>
      </c>
      <c r="E68" s="15">
        <v>8.7525</v>
      </c>
      <c r="F68" s="15">
        <v>8.7525</v>
      </c>
      <c r="G68" s="15">
        <v>4.3</v>
      </c>
      <c r="H68" s="15">
        <v>7.17</v>
      </c>
      <c r="I68" s="15">
        <v>6.49</v>
      </c>
      <c r="J68" s="15">
        <v>8.34</v>
      </c>
      <c r="K68" s="15">
        <v>7.22</v>
      </c>
      <c r="L68" s="15">
        <v>8.7525</v>
      </c>
      <c r="M68" s="15">
        <v>8.05</v>
      </c>
    </row>
    <row r="69">
      <c r="A69" s="6" t="s">
        <v>2</v>
      </c>
      <c r="B69" s="8">
        <v>6.61</v>
      </c>
      <c r="C69" s="8">
        <v>7.69</v>
      </c>
      <c r="D69" s="8">
        <v>7.68</v>
      </c>
      <c r="E69" s="15">
        <v>8.7525</v>
      </c>
      <c r="F69" s="15">
        <v>8.7525</v>
      </c>
      <c r="G69" s="15">
        <v>7.91</v>
      </c>
      <c r="H69" s="15">
        <v>7.44</v>
      </c>
      <c r="I69" s="15">
        <v>6.39</v>
      </c>
      <c r="J69" s="15">
        <v>6.82</v>
      </c>
      <c r="K69" s="15">
        <v>5.84</v>
      </c>
      <c r="L69" s="15">
        <v>5.47</v>
      </c>
      <c r="M69" s="15">
        <v>4.12</v>
      </c>
    </row>
    <row r="70">
      <c r="A70" s="6" t="s">
        <v>3</v>
      </c>
      <c r="B70" s="8">
        <v>2.68</v>
      </c>
      <c r="C70" s="8">
        <v>2.87</v>
      </c>
      <c r="D70" s="8">
        <v>3.02</v>
      </c>
      <c r="E70" s="15">
        <v>3.39</v>
      </c>
      <c r="F70" s="15">
        <v>3.3</v>
      </c>
      <c r="G70" s="15">
        <v>1.68</v>
      </c>
      <c r="H70" s="15">
        <v>3.56</v>
      </c>
      <c r="I70" s="15">
        <v>2.8</v>
      </c>
      <c r="J70" s="15">
        <v>2.6</v>
      </c>
      <c r="K70" s="15">
        <v>2.56</v>
      </c>
      <c r="L70" s="15">
        <v>3.72</v>
      </c>
      <c r="M70" s="15">
        <v>2.23</v>
      </c>
    </row>
    <row r="71">
      <c r="A71" s="6" t="s">
        <v>4</v>
      </c>
      <c r="B71" s="8">
        <v>2.39</v>
      </c>
      <c r="C71" s="8">
        <v>2.37</v>
      </c>
      <c r="D71" s="8">
        <v>2.46</v>
      </c>
      <c r="E71" s="15">
        <v>3.97</v>
      </c>
      <c r="F71" s="15">
        <v>2.54</v>
      </c>
      <c r="G71" s="15">
        <v>1.34</v>
      </c>
      <c r="H71" s="15">
        <v>2.63</v>
      </c>
      <c r="I71" s="15">
        <v>2.51</v>
      </c>
      <c r="J71" s="15">
        <v>2.65</v>
      </c>
      <c r="K71" s="15">
        <v>2.87</v>
      </c>
      <c r="L71" s="15">
        <v>2.91</v>
      </c>
      <c r="M71" s="15">
        <v>2.09</v>
      </c>
    </row>
    <row r="72">
      <c r="A72" s="6" t="s">
        <v>5</v>
      </c>
      <c r="B72" s="8">
        <v>7.97</v>
      </c>
      <c r="C72" s="8">
        <v>8.14</v>
      </c>
      <c r="D72" s="8">
        <v>8.2</v>
      </c>
      <c r="E72" s="15">
        <v>8.7525</v>
      </c>
      <c r="F72" s="15">
        <v>8.7525</v>
      </c>
      <c r="G72" s="15">
        <v>5.04</v>
      </c>
      <c r="H72" s="15">
        <v>8.7525</v>
      </c>
      <c r="I72" s="15">
        <v>7.57</v>
      </c>
      <c r="J72" s="15">
        <v>6.44</v>
      </c>
      <c r="K72" s="15">
        <v>5.08</v>
      </c>
      <c r="L72" s="15">
        <v>3.81</v>
      </c>
      <c r="M72" s="15">
        <v>2.05</v>
      </c>
    </row>
    <row r="73">
      <c r="A73" s="6" t="s">
        <v>6</v>
      </c>
      <c r="B73" s="8">
        <v>8.7525</v>
      </c>
      <c r="C73" s="8">
        <v>7.27</v>
      </c>
      <c r="D73" s="8">
        <v>4.02</v>
      </c>
      <c r="E73" s="15">
        <v>3.34</v>
      </c>
      <c r="F73" s="15">
        <v>2.16</v>
      </c>
      <c r="G73" s="15">
        <v>1.4</v>
      </c>
      <c r="H73" s="15">
        <v>1.87</v>
      </c>
      <c r="I73" s="15">
        <v>3.33</v>
      </c>
      <c r="J73" s="15">
        <v>4.03</v>
      </c>
      <c r="K73" s="15">
        <v>3.98</v>
      </c>
      <c r="L73" s="15">
        <v>3.78</v>
      </c>
      <c r="M73" s="15">
        <v>1.4</v>
      </c>
    </row>
    <row r="74">
      <c r="A74" s="6" t="s">
        <v>7</v>
      </c>
      <c r="B74" s="8">
        <v>5.8</v>
      </c>
      <c r="C74" s="8">
        <v>4.71</v>
      </c>
      <c r="D74" s="18">
        <v>3.05</v>
      </c>
      <c r="E74" s="15">
        <v>3.62</v>
      </c>
      <c r="F74" s="15">
        <v>2.82</v>
      </c>
      <c r="G74" s="15">
        <v>2.75</v>
      </c>
      <c r="H74" s="15">
        <v>1.65</v>
      </c>
      <c r="I74" s="19">
        <v>1.9</v>
      </c>
      <c r="J74" s="15">
        <v>1.46</v>
      </c>
      <c r="K74" s="15">
        <v>1.45</v>
      </c>
      <c r="L74" s="15">
        <v>1.64</v>
      </c>
      <c r="M74" s="15">
        <v>1.46</v>
      </c>
    </row>
    <row r="75">
      <c r="A75" s="6" t="s">
        <v>8</v>
      </c>
      <c r="B75" s="8">
        <v>3.69</v>
      </c>
      <c r="C75" s="8">
        <v>3.81</v>
      </c>
      <c r="D75" s="8">
        <v>2.91</v>
      </c>
      <c r="E75" s="15">
        <v>3.69</v>
      </c>
      <c r="F75" s="15">
        <v>3.54</v>
      </c>
      <c r="G75" s="15">
        <v>1.68</v>
      </c>
      <c r="H75" s="15">
        <v>2.44</v>
      </c>
      <c r="I75" s="15">
        <v>2.66</v>
      </c>
      <c r="J75" s="15">
        <v>2.62</v>
      </c>
      <c r="K75" s="15">
        <v>3.69</v>
      </c>
      <c r="L75" s="15">
        <v>3.53</v>
      </c>
      <c r="M75" s="15">
        <v>3.26</v>
      </c>
    </row>
    <row r="76">
      <c r="A76" s="6" t="s">
        <v>9</v>
      </c>
      <c r="B76" s="8">
        <v>4.66</v>
      </c>
      <c r="C76" s="8">
        <v>4.26</v>
      </c>
      <c r="D76" s="8">
        <v>5.56</v>
      </c>
      <c r="E76" s="15">
        <v>6.38</v>
      </c>
      <c r="F76" s="15">
        <v>6.81</v>
      </c>
      <c r="G76" s="15">
        <v>4.12</v>
      </c>
      <c r="H76" s="15">
        <v>6.37</v>
      </c>
      <c r="I76" s="15">
        <v>6.12</v>
      </c>
      <c r="J76" s="15">
        <v>5.33</v>
      </c>
      <c r="K76" s="15">
        <v>4.5</v>
      </c>
      <c r="L76" s="15">
        <v>5.29</v>
      </c>
      <c r="M76" s="15">
        <v>4.37</v>
      </c>
    </row>
    <row r="77">
      <c r="A77" s="6" t="s">
        <v>10</v>
      </c>
      <c r="B77" s="8">
        <v>8.41</v>
      </c>
      <c r="C77" s="8">
        <v>8.61</v>
      </c>
      <c r="D77" s="8">
        <v>8.7525</v>
      </c>
      <c r="E77" s="15">
        <v>8.7525</v>
      </c>
      <c r="F77" s="15">
        <v>8.7525</v>
      </c>
      <c r="G77" s="15">
        <v>8.7525</v>
      </c>
      <c r="H77" s="15">
        <v>8.7525</v>
      </c>
      <c r="I77" s="15">
        <v>8.12</v>
      </c>
      <c r="J77" s="15">
        <v>5.93</v>
      </c>
      <c r="K77" s="15">
        <v>5.84</v>
      </c>
      <c r="L77" s="15">
        <v>5.91</v>
      </c>
      <c r="M77" s="15">
        <v>4.47</v>
      </c>
    </row>
    <row r="78">
      <c r="A78" s="6" t="s">
        <v>11</v>
      </c>
      <c r="B78" s="8">
        <v>5.15</v>
      </c>
      <c r="C78" s="8">
        <v>4.82</v>
      </c>
      <c r="D78" s="8">
        <v>5.06</v>
      </c>
      <c r="E78" s="15">
        <v>5.32</v>
      </c>
      <c r="F78" s="15">
        <v>4.51</v>
      </c>
      <c r="G78" s="15">
        <v>2.48</v>
      </c>
      <c r="H78" s="15">
        <v>3.57</v>
      </c>
      <c r="I78" s="15">
        <v>2.88</v>
      </c>
      <c r="J78" s="15">
        <v>2.65</v>
      </c>
      <c r="K78" s="15">
        <v>2.32</v>
      </c>
      <c r="L78" s="15">
        <v>3.33</v>
      </c>
      <c r="M78" s="15">
        <v>2.91</v>
      </c>
    </row>
    <row r="79">
      <c r="A79" s="6" t="s">
        <v>12</v>
      </c>
      <c r="B79" s="8">
        <v>3.99</v>
      </c>
      <c r="C79" s="8">
        <v>4.04</v>
      </c>
      <c r="D79" s="8">
        <v>4.03</v>
      </c>
      <c r="E79" s="15">
        <v>6.58</v>
      </c>
      <c r="F79" s="15">
        <v>5.78</v>
      </c>
      <c r="G79" s="15">
        <v>2.99</v>
      </c>
      <c r="H79" s="15">
        <v>3.9</v>
      </c>
      <c r="I79" s="15">
        <v>3.5</v>
      </c>
      <c r="J79" s="15">
        <v>3.41</v>
      </c>
      <c r="K79" s="15">
        <v>4.46</v>
      </c>
      <c r="L79" s="15">
        <v>4.76</v>
      </c>
      <c r="M79" s="15">
        <v>3.74</v>
      </c>
    </row>
    <row r="80">
      <c r="A80" s="6" t="s">
        <v>13</v>
      </c>
      <c r="B80" s="8">
        <v>6.81</v>
      </c>
      <c r="C80" s="8">
        <v>7.55</v>
      </c>
      <c r="D80" s="8">
        <v>6.72</v>
      </c>
      <c r="E80" s="15">
        <v>5.09</v>
      </c>
      <c r="F80" s="15">
        <v>5.46</v>
      </c>
      <c r="G80" s="15">
        <v>4.28</v>
      </c>
      <c r="H80" s="15">
        <v>7.52</v>
      </c>
      <c r="I80" s="15">
        <v>7.19</v>
      </c>
      <c r="J80" s="15">
        <v>7.96</v>
      </c>
      <c r="K80" s="15">
        <v>6.74</v>
      </c>
      <c r="L80" s="15">
        <v>6.72</v>
      </c>
      <c r="M80" s="15">
        <v>7.95</v>
      </c>
    </row>
    <row r="81">
      <c r="A81" s="6" t="s">
        <v>14</v>
      </c>
      <c r="B81" s="8">
        <v>6.57</v>
      </c>
      <c r="C81" s="8">
        <v>6.31</v>
      </c>
      <c r="D81" s="8">
        <v>8.17</v>
      </c>
      <c r="E81" s="15">
        <v>8.7525</v>
      </c>
      <c r="F81" s="15">
        <v>8.7525</v>
      </c>
      <c r="G81" s="15">
        <v>7.41</v>
      </c>
      <c r="H81" s="15">
        <v>8.52</v>
      </c>
      <c r="I81" s="15">
        <v>7.95</v>
      </c>
      <c r="J81" s="15">
        <v>7.19</v>
      </c>
      <c r="K81" s="15">
        <v>6.12</v>
      </c>
      <c r="L81" s="15">
        <v>7.61</v>
      </c>
      <c r="M81" s="15">
        <v>5.0</v>
      </c>
    </row>
    <row r="82">
      <c r="A82" s="6" t="s">
        <v>15</v>
      </c>
      <c r="B82" s="8">
        <v>1.88</v>
      </c>
      <c r="C82" s="8">
        <v>2.35</v>
      </c>
      <c r="D82" s="8">
        <v>1.66</v>
      </c>
      <c r="E82" s="15">
        <v>1.59</v>
      </c>
      <c r="F82" s="15">
        <v>1.47</v>
      </c>
      <c r="G82" s="15">
        <v>0.78</v>
      </c>
      <c r="H82" s="15">
        <v>1.44</v>
      </c>
      <c r="I82" s="15">
        <v>1.54</v>
      </c>
      <c r="J82" s="15">
        <v>1.35</v>
      </c>
      <c r="K82" s="15">
        <v>1.12</v>
      </c>
      <c r="L82" s="15">
        <v>1.74</v>
      </c>
      <c r="M82" s="15">
        <v>1.39</v>
      </c>
    </row>
    <row r="83">
      <c r="A83" s="6" t="s">
        <v>16</v>
      </c>
      <c r="B83" s="8">
        <v>1.87</v>
      </c>
      <c r="C83" s="8">
        <v>1.55</v>
      </c>
      <c r="D83" s="8">
        <v>1.06</v>
      </c>
      <c r="E83" s="15">
        <v>0.99</v>
      </c>
      <c r="F83" s="15">
        <v>1.19</v>
      </c>
      <c r="G83" s="15">
        <v>0.5935</v>
      </c>
      <c r="H83" s="15">
        <v>0.7</v>
      </c>
      <c r="I83" s="15">
        <v>0.87</v>
      </c>
      <c r="J83" s="15">
        <v>0.83</v>
      </c>
      <c r="K83" s="15">
        <v>0.86</v>
      </c>
      <c r="L83" s="15">
        <v>0.98</v>
      </c>
      <c r="M83" s="15">
        <v>0.78</v>
      </c>
    </row>
    <row r="84">
      <c r="A84" s="6" t="s">
        <v>17</v>
      </c>
      <c r="B84" s="8">
        <v>2.37</v>
      </c>
      <c r="C84" s="8">
        <v>2.8</v>
      </c>
      <c r="D84" s="8">
        <v>2.13</v>
      </c>
      <c r="E84" s="15">
        <v>2.58</v>
      </c>
      <c r="F84" s="15">
        <v>2.94</v>
      </c>
      <c r="G84" s="15">
        <v>1.71</v>
      </c>
      <c r="H84" s="15">
        <v>2.34</v>
      </c>
      <c r="I84" s="15">
        <v>3.35</v>
      </c>
      <c r="J84" s="15">
        <v>2.67</v>
      </c>
      <c r="K84" s="15">
        <v>1.95</v>
      </c>
      <c r="L84" s="15">
        <v>2.2</v>
      </c>
      <c r="M84" s="15">
        <v>1.34</v>
      </c>
    </row>
    <row r="85">
      <c r="A85" s="6" t="s">
        <v>18</v>
      </c>
      <c r="B85" s="8">
        <v>1.84</v>
      </c>
      <c r="C85" s="8">
        <v>1.82</v>
      </c>
      <c r="D85" s="8">
        <v>0.96</v>
      </c>
      <c r="E85" s="15">
        <v>0.99</v>
      </c>
      <c r="F85" s="15">
        <v>0.93</v>
      </c>
      <c r="G85" s="15">
        <v>0.76</v>
      </c>
      <c r="H85" s="15">
        <v>1.34</v>
      </c>
      <c r="I85" s="15">
        <v>1.59</v>
      </c>
      <c r="J85" s="15">
        <v>1.67</v>
      </c>
      <c r="K85" s="15">
        <v>1.45</v>
      </c>
      <c r="L85" s="15">
        <v>1.51</v>
      </c>
      <c r="M85" s="15">
        <v>1.25</v>
      </c>
    </row>
    <row r="86">
      <c r="A86" s="6" t="s">
        <v>19</v>
      </c>
      <c r="B86" s="8">
        <v>5.9</v>
      </c>
      <c r="C86" s="8">
        <v>5.62</v>
      </c>
      <c r="D86" s="8">
        <v>3.45</v>
      </c>
      <c r="E86" s="15">
        <v>3.63</v>
      </c>
      <c r="F86" s="15">
        <v>2.85</v>
      </c>
      <c r="G86" s="15">
        <v>2.2</v>
      </c>
      <c r="H86" s="15">
        <v>2.96</v>
      </c>
      <c r="I86" s="15">
        <v>3.39</v>
      </c>
      <c r="J86" s="15">
        <v>4.01</v>
      </c>
      <c r="K86" s="15">
        <v>3.52</v>
      </c>
      <c r="L86" s="15">
        <v>4.3</v>
      </c>
      <c r="M86" s="15">
        <v>3.51</v>
      </c>
    </row>
    <row r="87">
      <c r="A87" s="6" t="s">
        <v>20</v>
      </c>
      <c r="B87" s="8">
        <v>1.79</v>
      </c>
      <c r="C87" s="8">
        <v>2.24</v>
      </c>
      <c r="D87" s="8">
        <v>1.8</v>
      </c>
      <c r="E87" s="15">
        <v>2.55</v>
      </c>
      <c r="F87" s="15">
        <v>2.77</v>
      </c>
      <c r="G87" s="15">
        <v>1.18</v>
      </c>
      <c r="H87" s="15">
        <v>1.42</v>
      </c>
      <c r="I87" s="15">
        <v>1.33</v>
      </c>
      <c r="J87" s="15">
        <v>1.28</v>
      </c>
      <c r="K87" s="15">
        <v>1.12</v>
      </c>
      <c r="L87" s="15">
        <v>0.65</v>
      </c>
      <c r="M87" s="15">
        <v>0.63</v>
      </c>
    </row>
    <row r="88">
      <c r="A88" s="6" t="s">
        <v>21</v>
      </c>
      <c r="B88" s="8">
        <v>1.4</v>
      </c>
      <c r="C88" s="8">
        <v>1.53</v>
      </c>
      <c r="D88" s="8">
        <v>1.33</v>
      </c>
      <c r="E88" s="15">
        <v>1.52</v>
      </c>
      <c r="F88" s="15">
        <v>1.17</v>
      </c>
      <c r="G88" s="15">
        <v>0.65</v>
      </c>
      <c r="H88" s="15">
        <v>1.13</v>
      </c>
      <c r="I88" s="15">
        <v>0.97</v>
      </c>
      <c r="J88" s="15">
        <v>1.01</v>
      </c>
      <c r="K88" s="15">
        <v>0.68</v>
      </c>
      <c r="L88" s="15">
        <v>0.96</v>
      </c>
      <c r="M88" s="15">
        <v>0.76</v>
      </c>
    </row>
    <row r="89">
      <c r="A89" s="6" t="s">
        <v>22</v>
      </c>
      <c r="B89" s="8">
        <v>7.92</v>
      </c>
      <c r="C89" s="8">
        <v>8.02</v>
      </c>
      <c r="D89" s="8">
        <v>5.37</v>
      </c>
      <c r="E89" s="15">
        <v>5.68</v>
      </c>
      <c r="F89" s="15">
        <v>4.28</v>
      </c>
      <c r="G89" s="15">
        <v>2.57</v>
      </c>
      <c r="H89" s="15">
        <v>3.96</v>
      </c>
      <c r="I89" s="15">
        <v>4.5</v>
      </c>
      <c r="J89" s="15">
        <v>5.27</v>
      </c>
      <c r="K89" s="15">
        <v>6.92</v>
      </c>
      <c r="L89" s="15">
        <v>7.72</v>
      </c>
      <c r="M89" s="15">
        <v>7.38</v>
      </c>
    </row>
    <row r="90">
      <c r="A90" s="6" t="s">
        <v>23</v>
      </c>
      <c r="B90" s="8">
        <v>0.5935</v>
      </c>
      <c r="C90" s="8">
        <v>0.87</v>
      </c>
      <c r="D90" s="8">
        <v>0.5935</v>
      </c>
      <c r="E90" s="15">
        <v>0.6</v>
      </c>
      <c r="F90" s="15">
        <v>0.5935</v>
      </c>
      <c r="G90" s="15">
        <v>0.5935</v>
      </c>
      <c r="H90" s="15">
        <v>0.5935</v>
      </c>
      <c r="I90" s="15">
        <v>0.5935</v>
      </c>
      <c r="J90" s="15">
        <v>0.5935</v>
      </c>
      <c r="K90" s="15">
        <v>0.5935</v>
      </c>
      <c r="L90" s="15">
        <v>0.67</v>
      </c>
      <c r="M90" s="15">
        <v>0.5935</v>
      </c>
    </row>
    <row r="91">
      <c r="A91" s="6" t="s">
        <v>24</v>
      </c>
      <c r="B91" s="8">
        <v>0.88</v>
      </c>
      <c r="C91" s="8">
        <v>0.85</v>
      </c>
      <c r="D91" s="8">
        <v>0.5935</v>
      </c>
      <c r="E91" s="15">
        <v>0.65</v>
      </c>
      <c r="F91" s="15">
        <v>0.62</v>
      </c>
      <c r="G91" s="15">
        <v>0.5935</v>
      </c>
      <c r="H91" s="15">
        <v>0.5935</v>
      </c>
      <c r="I91" s="15">
        <v>0.5935</v>
      </c>
      <c r="J91" s="15">
        <v>0.5935</v>
      </c>
      <c r="K91" s="15">
        <v>0.5935</v>
      </c>
      <c r="L91" s="15">
        <v>0.5935</v>
      </c>
      <c r="M91" s="15">
        <v>0.5935</v>
      </c>
    </row>
    <row r="92">
      <c r="A92" s="6" t="s">
        <v>25</v>
      </c>
      <c r="B92" s="8">
        <v>5.11</v>
      </c>
      <c r="C92" s="8">
        <v>5.84</v>
      </c>
      <c r="D92" s="8">
        <v>5.2</v>
      </c>
      <c r="E92" s="15">
        <v>7.14</v>
      </c>
      <c r="F92" s="15">
        <v>7.16</v>
      </c>
      <c r="G92" s="15">
        <v>4.36</v>
      </c>
      <c r="H92" s="15">
        <v>5.12</v>
      </c>
      <c r="I92" s="15">
        <v>4.42</v>
      </c>
      <c r="J92" s="15">
        <v>4.06</v>
      </c>
      <c r="K92" s="15">
        <v>4.56</v>
      </c>
      <c r="L92" s="15">
        <v>5.27</v>
      </c>
      <c r="M92" s="15">
        <v>5.1</v>
      </c>
    </row>
    <row r="93">
      <c r="A93" s="6" t="s">
        <v>26</v>
      </c>
      <c r="B93" s="8">
        <v>2.37</v>
      </c>
      <c r="C93" s="8">
        <v>2.12</v>
      </c>
      <c r="D93" s="8">
        <v>1.82</v>
      </c>
      <c r="E93" s="15">
        <v>2.95</v>
      </c>
      <c r="F93" s="15">
        <v>2.29</v>
      </c>
      <c r="G93" s="15">
        <v>1.34</v>
      </c>
      <c r="H93" s="15">
        <v>1.98</v>
      </c>
      <c r="I93" s="15">
        <v>1.83</v>
      </c>
      <c r="J93" s="15">
        <v>1.38</v>
      </c>
      <c r="K93" s="15">
        <v>1.56</v>
      </c>
      <c r="L93" s="15">
        <v>2.67</v>
      </c>
      <c r="M93" s="15">
        <v>2.23</v>
      </c>
    </row>
    <row r="94">
      <c r="A94" s="6" t="s">
        <v>27</v>
      </c>
      <c r="B94" s="8">
        <v>4.51</v>
      </c>
      <c r="C94" s="8">
        <v>6.63</v>
      </c>
      <c r="D94" s="8">
        <v>5.52</v>
      </c>
      <c r="E94" s="15">
        <v>7.84</v>
      </c>
      <c r="F94" s="15">
        <v>6.4</v>
      </c>
      <c r="G94" s="15">
        <v>3.94</v>
      </c>
      <c r="H94" s="15">
        <v>5.11</v>
      </c>
      <c r="I94" s="15">
        <v>5.18</v>
      </c>
      <c r="J94" s="15">
        <v>3.09</v>
      </c>
      <c r="K94" s="15">
        <v>2.67</v>
      </c>
      <c r="L94" s="15">
        <v>2.92</v>
      </c>
      <c r="M94" s="15">
        <v>2.13</v>
      </c>
    </row>
    <row r="95">
      <c r="A95" s="6" t="s">
        <v>28</v>
      </c>
      <c r="B95" s="8">
        <v>8.7525</v>
      </c>
      <c r="C95" s="8">
        <v>8.7525</v>
      </c>
      <c r="D95" s="8">
        <v>5.93</v>
      </c>
      <c r="E95" s="15">
        <v>8.7525</v>
      </c>
      <c r="F95" s="15">
        <v>8.7525</v>
      </c>
      <c r="G95" s="15">
        <v>4.89</v>
      </c>
      <c r="H95" s="15">
        <v>4.55</v>
      </c>
      <c r="I95" s="15">
        <v>5.33</v>
      </c>
      <c r="J95" s="15">
        <v>4.87</v>
      </c>
      <c r="K95" s="15">
        <v>3.32</v>
      </c>
      <c r="L95" s="15">
        <v>2.14</v>
      </c>
      <c r="M95" s="15">
        <v>1.44</v>
      </c>
    </row>
    <row r="96">
      <c r="A96" s="6" t="s">
        <v>29</v>
      </c>
      <c r="B96" s="8">
        <v>4.46</v>
      </c>
      <c r="C96" s="8">
        <v>3.97</v>
      </c>
      <c r="D96" s="8">
        <v>3.48</v>
      </c>
      <c r="E96" s="15">
        <v>3.62</v>
      </c>
      <c r="F96" s="15">
        <v>4.35</v>
      </c>
      <c r="G96" s="15">
        <v>2.21</v>
      </c>
      <c r="H96" s="15">
        <v>2.64</v>
      </c>
      <c r="I96" s="15">
        <v>3.5</v>
      </c>
      <c r="J96" s="15">
        <v>4.32</v>
      </c>
      <c r="K96" s="15">
        <v>3.52</v>
      </c>
      <c r="L96" s="15">
        <v>3.24</v>
      </c>
      <c r="M96" s="15">
        <v>2.77</v>
      </c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>
      <c r="A98" s="14" t="s">
        <v>30</v>
      </c>
      <c r="B98" s="20">
        <f>MAX(E68:M96)</f>
        <v>8.7525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>
      <c r="A100" s="1" t="s">
        <v>57</v>
      </c>
      <c r="B100" s="21">
        <v>2025.0</v>
      </c>
      <c r="C100" s="21">
        <v>2024.0</v>
      </c>
      <c r="D100" s="21">
        <v>2023.0</v>
      </c>
      <c r="E100" s="5">
        <v>2022.0</v>
      </c>
      <c r="F100" s="5">
        <v>2021.0</v>
      </c>
      <c r="G100" s="5">
        <v>2020.0</v>
      </c>
      <c r="H100" s="5">
        <v>2019.0</v>
      </c>
      <c r="I100" s="5">
        <v>2018.0</v>
      </c>
      <c r="J100" s="5">
        <v>2017.0</v>
      </c>
      <c r="K100" s="5">
        <v>2016.0</v>
      </c>
      <c r="L100" s="5">
        <v>2015.0</v>
      </c>
      <c r="M100" s="5">
        <v>2014.0</v>
      </c>
    </row>
    <row r="101">
      <c r="A101" s="6" t="s">
        <v>1</v>
      </c>
      <c r="B101" s="8">
        <v>0.5481214085096876</v>
      </c>
      <c r="C101" s="8">
        <v>0.6259384308664954</v>
      </c>
      <c r="D101" s="8">
        <v>0.7371640659767196</v>
      </c>
      <c r="E101" s="15">
        <v>0.7839015438284094</v>
      </c>
      <c r="F101" s="15">
        <v>0.7561219797213337</v>
      </c>
      <c r="G101" s="15">
        <v>0.7371640659767196</v>
      </c>
      <c r="H101" s="15">
        <v>0.7275486072772779</v>
      </c>
      <c r="I101" s="15">
        <v>0.6981347220709843</v>
      </c>
      <c r="J101" s="15">
        <v>0.7884573603642703</v>
      </c>
      <c r="K101" s="15">
        <v>0.8754687373538999</v>
      </c>
      <c r="L101" s="15">
        <v>0.8796267475025636</v>
      </c>
      <c r="M101" s="15">
        <v>0.8458682675776092</v>
      </c>
    </row>
    <row r="102">
      <c r="A102" s="6" t="s">
        <v>2</v>
      </c>
      <c r="B102" s="8">
        <v>0.03922071315328133</v>
      </c>
      <c r="C102" s="8">
        <v>0.058268908123975824</v>
      </c>
      <c r="D102" s="8">
        <v>0.058268908123975824</v>
      </c>
      <c r="E102" s="15">
        <v>0.058268908123975824</v>
      </c>
      <c r="F102" s="15">
        <v>0.02955880224154443</v>
      </c>
      <c r="G102" s="15">
        <v>0.02955880224154443</v>
      </c>
      <c r="H102" s="15">
        <v>0.06765864847381486</v>
      </c>
      <c r="I102" s="15">
        <v>0.058268908123975824</v>
      </c>
      <c r="J102" s="15">
        <v>0.06765864847381486</v>
      </c>
      <c r="K102" s="15">
        <v>0.04879016416943205</v>
      </c>
      <c r="L102" s="15">
        <v>0.08617769624105241</v>
      </c>
      <c r="M102" s="15">
        <v>0.058268908123975824</v>
      </c>
    </row>
    <row r="103">
      <c r="A103" s="6" t="s">
        <v>3</v>
      </c>
      <c r="B103" s="8">
        <v>2.1838015570040787</v>
      </c>
      <c r="C103" s="8">
        <v>2.2710944259026746</v>
      </c>
      <c r="D103" s="8">
        <v>2.340843805111136</v>
      </c>
      <c r="E103" s="15">
        <v>2.3145136638593193</v>
      </c>
      <c r="F103" s="15">
        <v>2.2679936482244267</v>
      </c>
      <c r="G103" s="15">
        <v>2.1972245773362196</v>
      </c>
      <c r="H103" s="15">
        <v>2.4840729690394228</v>
      </c>
      <c r="I103" s="15">
        <v>2.372111155642656</v>
      </c>
      <c r="J103" s="15">
        <v>2.378619779270043</v>
      </c>
      <c r="K103" s="15">
        <v>2.2905125117597764</v>
      </c>
      <c r="L103" s="15">
        <v>2.3350522831315472</v>
      </c>
      <c r="M103" s="15">
        <v>2.3085671646715933</v>
      </c>
    </row>
    <row r="104">
      <c r="A104" s="6" t="s">
        <v>4</v>
      </c>
      <c r="B104" s="8">
        <v>1.7732559976634952</v>
      </c>
      <c r="C104" s="8">
        <v>1.7526720805200082</v>
      </c>
      <c r="D104" s="8">
        <v>1.715598108262491</v>
      </c>
      <c r="E104" s="15">
        <v>1.6074359097634274</v>
      </c>
      <c r="F104" s="15">
        <v>1.5195132049061133</v>
      </c>
      <c r="G104" s="15">
        <v>1.6174060820832772</v>
      </c>
      <c r="H104" s="15">
        <v>1.6486586255873816</v>
      </c>
      <c r="I104" s="15">
        <v>1.4447642049535876</v>
      </c>
      <c r="J104" s="15">
        <v>1.4447642049535876</v>
      </c>
      <c r="K104" s="15">
        <v>1.4447642049535876</v>
      </c>
      <c r="L104" s="15">
        <v>1.4447642049535876</v>
      </c>
      <c r="M104" s="15">
        <v>1.4447642049535876</v>
      </c>
    </row>
    <row r="105">
      <c r="A105" s="6" t="s">
        <v>5</v>
      </c>
      <c r="B105" s="8">
        <v>1.556037135706985</v>
      </c>
      <c r="C105" s="8">
        <v>1.572773928062509</v>
      </c>
      <c r="D105" s="8">
        <v>1.6074359097634274</v>
      </c>
      <c r="E105" s="15">
        <v>1.5644405465033644</v>
      </c>
      <c r="F105" s="15">
        <v>1.5195132049061133</v>
      </c>
      <c r="G105" s="15">
        <v>1.6134299337036377</v>
      </c>
      <c r="H105" s="15">
        <v>1.8180767775454285</v>
      </c>
      <c r="I105" s="15">
        <v>1.4861396960896067</v>
      </c>
      <c r="J105" s="15">
        <v>1.682688374173693</v>
      </c>
      <c r="K105" s="15">
        <v>1.7900914121273581</v>
      </c>
      <c r="L105" s="15">
        <v>1.742219023667919</v>
      </c>
      <c r="M105" s="15">
        <v>1.8196988379172965</v>
      </c>
    </row>
    <row r="106">
      <c r="A106" s="6" t="s">
        <v>6</v>
      </c>
      <c r="B106" s="8">
        <v>0.7884573603642703</v>
      </c>
      <c r="C106" s="8">
        <v>0.7561219797213337</v>
      </c>
      <c r="D106" s="8">
        <v>0.7419373447293773</v>
      </c>
      <c r="E106" s="15">
        <v>0.6575200029167942</v>
      </c>
      <c r="F106" s="15">
        <v>0.5988365010887039</v>
      </c>
      <c r="G106" s="15">
        <v>0.8796267475025636</v>
      </c>
      <c r="H106" s="15">
        <v>0.8153648132841944</v>
      </c>
      <c r="I106" s="15">
        <v>0.4885800148186709</v>
      </c>
      <c r="J106" s="15">
        <v>0.5481214085096876</v>
      </c>
      <c r="K106" s="15">
        <v>0.44468582126144574</v>
      </c>
      <c r="L106" s="15">
        <v>0.5306282510621704</v>
      </c>
      <c r="M106" s="15">
        <v>0.5766133643039938</v>
      </c>
    </row>
    <row r="107">
      <c r="A107" s="6" t="s">
        <v>7</v>
      </c>
      <c r="B107" s="8">
        <v>0.7561219797213337</v>
      </c>
      <c r="C107" s="8">
        <v>0.9162907318741551</v>
      </c>
      <c r="D107" s="8">
        <v>1.0367368849500223</v>
      </c>
      <c r="E107" s="15">
        <v>1.0986122886681098</v>
      </c>
      <c r="F107" s="15">
        <v>1.1391037175057006</v>
      </c>
      <c r="G107" s="15">
        <v>0.9242589015233319</v>
      </c>
      <c r="H107" s="15">
        <v>0.9895411936137477</v>
      </c>
      <c r="I107" s="15">
        <v>0.8796267475025636</v>
      </c>
      <c r="J107" s="15">
        <v>0.9242589015233319</v>
      </c>
      <c r="K107" s="15">
        <v>0.9162907318741551</v>
      </c>
      <c r="L107" s="15">
        <v>1.0152306797290584</v>
      </c>
      <c r="M107" s="15">
        <v>0.8197798314933114</v>
      </c>
    </row>
    <row r="108">
      <c r="A108" s="6" t="s">
        <v>8</v>
      </c>
      <c r="B108" s="8">
        <v>0.02955880224154443</v>
      </c>
      <c r="C108" s="8">
        <v>0.02955880224154443</v>
      </c>
      <c r="D108" s="8">
        <v>0.02955880224154443</v>
      </c>
      <c r="E108" s="15">
        <v>0.058268908123975824</v>
      </c>
      <c r="F108" s="15">
        <v>0.058268908123975824</v>
      </c>
      <c r="G108" s="15">
        <v>0.08617769624105241</v>
      </c>
      <c r="H108" s="15">
        <v>0.08617769624105241</v>
      </c>
      <c r="I108" s="15">
        <v>0.02955880224154443</v>
      </c>
      <c r="J108" s="15">
        <v>0.02955880224154443</v>
      </c>
      <c r="K108" s="15">
        <v>0.02955880224154443</v>
      </c>
      <c r="L108" s="15">
        <v>0.02955880224154443</v>
      </c>
      <c r="M108" s="15">
        <v>0.02955880224154443</v>
      </c>
    </row>
    <row r="109">
      <c r="A109" s="6" t="s">
        <v>9</v>
      </c>
      <c r="B109" s="8">
        <v>1.9837562915454279</v>
      </c>
      <c r="C109" s="8">
        <v>2.0943301541735866</v>
      </c>
      <c r="D109" s="8">
        <v>2.174751721484161</v>
      </c>
      <c r="E109" s="15">
        <v>2.149433913499871</v>
      </c>
      <c r="F109" s="15">
        <v>2.149433913499871</v>
      </c>
      <c r="G109" s="15">
        <v>2.188295946591918</v>
      </c>
      <c r="H109" s="15">
        <v>2.131796772013764</v>
      </c>
      <c r="I109" s="15">
        <v>2.3194422100604686</v>
      </c>
      <c r="J109" s="15">
        <v>2.199444334074532</v>
      </c>
      <c r="K109" s="15">
        <v>2.1849270495258133</v>
      </c>
      <c r="L109" s="15">
        <v>2.262804222982201</v>
      </c>
      <c r="M109" s="15">
        <v>2.4300984132930052</v>
      </c>
    </row>
    <row r="110">
      <c r="A110" s="6" t="s">
        <v>10</v>
      </c>
      <c r="B110" s="8">
        <v>0.44468582126144574</v>
      </c>
      <c r="C110" s="8">
        <v>0.45107561936021656</v>
      </c>
      <c r="D110" s="8">
        <v>0.43178241642553783</v>
      </c>
      <c r="E110" s="15">
        <v>0.41871033485818504</v>
      </c>
      <c r="F110" s="15">
        <v>0.3987761199573678</v>
      </c>
      <c r="G110" s="15">
        <v>0.9707789171582247</v>
      </c>
      <c r="H110" s="15">
        <v>0.8671004876833833</v>
      </c>
      <c r="I110" s="15">
        <v>0.8796267475025636</v>
      </c>
      <c r="J110" s="15">
        <v>0.9439058989071285</v>
      </c>
      <c r="K110" s="15">
        <v>0.85015092936961</v>
      </c>
      <c r="L110" s="15">
        <v>1.0784095813505903</v>
      </c>
      <c r="M110" s="15">
        <v>1.1391037175057006</v>
      </c>
    </row>
    <row r="111">
      <c r="A111" s="6" t="s">
        <v>11</v>
      </c>
      <c r="B111" s="8">
        <v>2.28949985344539</v>
      </c>
      <c r="C111" s="8">
        <v>2.2945529212967815</v>
      </c>
      <c r="D111" s="8">
        <v>2.1598687907924505</v>
      </c>
      <c r="E111" s="15">
        <v>2.211565694606877</v>
      </c>
      <c r="F111" s="15">
        <v>2.231089091288976</v>
      </c>
      <c r="G111" s="15">
        <v>2.3398808777377424</v>
      </c>
      <c r="H111" s="15">
        <v>2.315501318260592</v>
      </c>
      <c r="I111" s="15">
        <v>2.2648832258100344</v>
      </c>
      <c r="J111" s="15">
        <v>2.2192034840549946</v>
      </c>
      <c r="K111" s="15">
        <v>2.2181159363675955</v>
      </c>
      <c r="L111" s="15">
        <v>2.2353763433005955</v>
      </c>
      <c r="M111" s="15">
        <v>2.2289385528257473</v>
      </c>
    </row>
    <row r="112">
      <c r="A112" s="6" t="s">
        <v>12</v>
      </c>
      <c r="B112" s="8">
        <v>0.3852624007906449</v>
      </c>
      <c r="C112" s="8">
        <v>0.3987761199573678</v>
      </c>
      <c r="D112" s="8">
        <v>0.45107561936021656</v>
      </c>
      <c r="E112" s="15">
        <v>0.44468582126144574</v>
      </c>
      <c r="F112" s="15">
        <v>0.3576744442718159</v>
      </c>
      <c r="G112" s="15">
        <v>0.35065687161316933</v>
      </c>
      <c r="H112" s="15">
        <v>0.2468600779315258</v>
      </c>
      <c r="I112" s="15">
        <v>0.20701416938432612</v>
      </c>
      <c r="J112" s="15">
        <v>0.17395330712343798</v>
      </c>
      <c r="K112" s="15">
        <v>0.1823215567939546</v>
      </c>
      <c r="L112" s="15">
        <v>0.1823215567939546</v>
      </c>
      <c r="M112" s="15">
        <v>0.23111172096338664</v>
      </c>
      <c r="N112" s="6"/>
    </row>
    <row r="113">
      <c r="A113" s="6" t="s">
        <v>13</v>
      </c>
      <c r="B113" s="8">
        <v>0.12221763272424911</v>
      </c>
      <c r="C113" s="8">
        <v>0.1310282624064042</v>
      </c>
      <c r="D113" s="8">
        <v>0.20701416938432612</v>
      </c>
      <c r="E113" s="15">
        <v>0.2151113796169455</v>
      </c>
      <c r="F113" s="15">
        <v>0.20701416938432612</v>
      </c>
      <c r="G113" s="15">
        <v>0.1906203596086497</v>
      </c>
      <c r="H113" s="15">
        <v>0.2151113796169455</v>
      </c>
      <c r="I113" s="15">
        <v>0.20701416938432612</v>
      </c>
      <c r="J113" s="15">
        <v>0.22314355131420976</v>
      </c>
      <c r="K113" s="15">
        <v>0.35065687161316933</v>
      </c>
      <c r="L113" s="15">
        <v>0.36464311358790924</v>
      </c>
      <c r="M113" s="15">
        <v>0.37843643572024505</v>
      </c>
      <c r="N113" s="6"/>
    </row>
    <row r="114">
      <c r="A114" s="6" t="s">
        <v>14</v>
      </c>
      <c r="B114" s="8">
        <v>1.6882490928583902</v>
      </c>
      <c r="C114" s="8">
        <v>1.776645831418007</v>
      </c>
      <c r="D114" s="8">
        <v>1.7119945007591924</v>
      </c>
      <c r="E114" s="15">
        <v>1.7119945007591924</v>
      </c>
      <c r="F114" s="15">
        <v>1.7351891177396608</v>
      </c>
      <c r="G114" s="15">
        <v>1.843719208158766</v>
      </c>
      <c r="H114" s="15">
        <v>1.9110228900548727</v>
      </c>
      <c r="I114" s="15">
        <v>1.925707441737794</v>
      </c>
      <c r="J114" s="15">
        <v>1.9712993830601329</v>
      </c>
      <c r="K114" s="15">
        <v>1.9933388426264242</v>
      </c>
      <c r="L114" s="15">
        <v>1.958685340544036</v>
      </c>
      <c r="M114" s="15">
        <v>2.0215475632609334</v>
      </c>
    </row>
    <row r="115">
      <c r="A115" s="6" t="s">
        <v>15</v>
      </c>
      <c r="B115" s="8">
        <v>0.8458682675776092</v>
      </c>
      <c r="C115" s="8">
        <v>0.8415671856782188</v>
      </c>
      <c r="D115" s="8">
        <v>0.8458682675776092</v>
      </c>
      <c r="E115" s="15">
        <v>0.9162907318741551</v>
      </c>
      <c r="F115" s="15">
        <v>1.0043016091968684</v>
      </c>
      <c r="G115" s="15">
        <v>1.128171090909654</v>
      </c>
      <c r="H115" s="15">
        <v>1.1052568313867783</v>
      </c>
      <c r="I115" s="15">
        <v>0.9783261227936078</v>
      </c>
      <c r="J115" s="15">
        <v>0.9858167945227652</v>
      </c>
      <c r="K115" s="15">
        <v>1.095273387402595</v>
      </c>
      <c r="L115" s="15">
        <v>1.1019400787607843</v>
      </c>
      <c r="M115" s="15">
        <v>1.1391037175057006</v>
      </c>
      <c r="N115" s="6"/>
    </row>
    <row r="116">
      <c r="A116" s="6" t="s">
        <v>16</v>
      </c>
      <c r="B116" s="8">
        <v>0.9439058989071285</v>
      </c>
      <c r="C116" s="8">
        <v>0.9400072584914712</v>
      </c>
      <c r="D116" s="8">
        <v>0.9439058989071285</v>
      </c>
      <c r="E116" s="15">
        <v>0.9477893989335261</v>
      </c>
      <c r="F116" s="15">
        <v>0.887891257352457</v>
      </c>
      <c r="G116" s="15">
        <v>0.9400072584914712</v>
      </c>
      <c r="H116" s="15">
        <v>0.8544153281560676</v>
      </c>
      <c r="I116" s="15">
        <v>0.8020015854720274</v>
      </c>
      <c r="J116" s="15">
        <v>0.8544153281560676</v>
      </c>
      <c r="K116" s="15">
        <v>0.7701082216960737</v>
      </c>
      <c r="L116" s="15">
        <v>0.7608058290337599</v>
      </c>
      <c r="M116" s="15">
        <v>0.7929925155296614</v>
      </c>
      <c r="N116" s="6"/>
    </row>
    <row r="117">
      <c r="A117" s="6" t="s">
        <v>17</v>
      </c>
      <c r="B117" s="8">
        <v>0.26236426446749106</v>
      </c>
      <c r="C117" s="8">
        <v>0.30748469974796055</v>
      </c>
      <c r="D117" s="8">
        <v>0.30748469974796055</v>
      </c>
      <c r="E117" s="15">
        <v>0.29266961396282004</v>
      </c>
      <c r="F117" s="15">
        <v>0.28517894223366247</v>
      </c>
      <c r="G117" s="15">
        <v>0.23901690047049992</v>
      </c>
      <c r="H117" s="15">
        <v>0.2700271372130602</v>
      </c>
      <c r="I117" s="15">
        <v>0.29266961396282004</v>
      </c>
      <c r="J117" s="15">
        <v>0.30010459245033816</v>
      </c>
      <c r="K117" s="15">
        <v>0.34358970439007686</v>
      </c>
      <c r="L117" s="15">
        <v>0.43178241642553783</v>
      </c>
      <c r="M117" s="15">
        <v>0.4824261492442928</v>
      </c>
      <c r="N117" s="6"/>
    </row>
    <row r="118">
      <c r="A118" s="6" t="s">
        <v>18</v>
      </c>
      <c r="B118" s="8">
        <v>0.7654678421395714</v>
      </c>
      <c r="C118" s="8">
        <v>0.8064758658669485</v>
      </c>
      <c r="D118" s="8">
        <v>0.8458682675776092</v>
      </c>
      <c r="E118" s="15">
        <v>0.8458682675776092</v>
      </c>
      <c r="F118" s="15">
        <v>0.8671004876833833</v>
      </c>
      <c r="G118" s="15">
        <v>0.8796267475025636</v>
      </c>
      <c r="H118" s="15">
        <v>0.8153648132841944</v>
      </c>
      <c r="I118" s="15">
        <v>0.7561219797213337</v>
      </c>
      <c r="J118" s="15">
        <v>0.712949807856125</v>
      </c>
      <c r="K118" s="15">
        <v>0.6678293725756554</v>
      </c>
      <c r="L118" s="15">
        <v>0.6729444732424258</v>
      </c>
      <c r="M118" s="15">
        <v>0.5481214085096876</v>
      </c>
      <c r="N118" s="6"/>
    </row>
    <row r="119">
      <c r="A119" s="6" t="s">
        <v>19</v>
      </c>
      <c r="B119" s="8">
        <v>0.8796267475025636</v>
      </c>
      <c r="C119" s="8">
        <v>0.883767540168595</v>
      </c>
      <c r="D119" s="8">
        <v>0.9242589015233319</v>
      </c>
      <c r="E119" s="15">
        <v>1.0188473201992472</v>
      </c>
      <c r="F119" s="15">
        <v>1.0543120297715298</v>
      </c>
      <c r="G119" s="15">
        <v>1.1391037175057006</v>
      </c>
      <c r="H119" s="15">
        <v>1.1391037175057006</v>
      </c>
      <c r="I119" s="15">
        <v>1.1391037175057006</v>
      </c>
      <c r="J119" s="15">
        <v>1.1391037175057006</v>
      </c>
      <c r="K119" s="15">
        <v>1.1391037175057006</v>
      </c>
      <c r="L119" s="15">
        <v>1.1391037175057006</v>
      </c>
      <c r="M119" s="15">
        <v>1.1391037175057006</v>
      </c>
      <c r="N119" s="6"/>
    </row>
    <row r="120">
      <c r="A120" s="6" t="s">
        <v>20</v>
      </c>
      <c r="B120" s="8">
        <v>0.34358970439007686</v>
      </c>
      <c r="C120" s="8">
        <v>0.34358970439007686</v>
      </c>
      <c r="D120" s="8">
        <v>0.36464311358790924</v>
      </c>
      <c r="E120" s="15">
        <v>0.29266961396282004</v>
      </c>
      <c r="F120" s="15">
        <v>0.27763173659827955</v>
      </c>
      <c r="G120" s="15">
        <v>0.5007752879124892</v>
      </c>
      <c r="H120" s="15">
        <v>0.5306282510621704</v>
      </c>
      <c r="I120" s="15">
        <v>0.4824261492442928</v>
      </c>
      <c r="J120" s="15">
        <v>0.5306282510621704</v>
      </c>
      <c r="K120" s="15">
        <v>0.5423242908253617</v>
      </c>
      <c r="L120" s="15">
        <v>0.5187937934151676</v>
      </c>
      <c r="M120" s="15">
        <v>0.5187937934151676</v>
      </c>
      <c r="N120" s="6"/>
    </row>
    <row r="121">
      <c r="A121" s="6" t="s">
        <v>21</v>
      </c>
      <c r="B121" s="8">
        <v>2.7067159780890733</v>
      </c>
      <c r="C121" s="8">
        <v>2.7843937676895436</v>
      </c>
      <c r="D121" s="8">
        <v>2.806386101823072</v>
      </c>
      <c r="E121" s="15">
        <v>2.8068995418870073</v>
      </c>
      <c r="F121" s="15">
        <v>2.8068995418870073</v>
      </c>
      <c r="G121" s="15">
        <v>2.8068995418870073</v>
      </c>
      <c r="H121" s="15">
        <v>2.8068995418870073</v>
      </c>
      <c r="I121" s="15">
        <v>2.7523860149222616</v>
      </c>
      <c r="J121" s="15">
        <v>2.761906873892921</v>
      </c>
      <c r="K121" s="15">
        <v>2.7985001040242823</v>
      </c>
      <c r="L121" s="15">
        <v>2.8068995418870073</v>
      </c>
      <c r="M121" s="15">
        <v>2.7868613815264998</v>
      </c>
    </row>
    <row r="122">
      <c r="A122" s="6" t="s">
        <v>22</v>
      </c>
      <c r="B122" s="8">
        <v>0.23901690047049992</v>
      </c>
      <c r="C122" s="8">
        <v>0.29266961396282004</v>
      </c>
      <c r="D122" s="8">
        <v>0.32930374714260047</v>
      </c>
      <c r="E122" s="15">
        <v>0.32930374714260047</v>
      </c>
      <c r="F122" s="15">
        <v>0.32930374714260047</v>
      </c>
      <c r="G122" s="15">
        <v>0.3576744442718159</v>
      </c>
      <c r="H122" s="15">
        <v>0.3364722366212129</v>
      </c>
      <c r="I122" s="15">
        <v>0.34358970439007686</v>
      </c>
      <c r="J122" s="15">
        <v>0.28517894223366247</v>
      </c>
      <c r="K122" s="15">
        <v>0.28517894223366247</v>
      </c>
      <c r="L122" s="15">
        <v>0.35065687161316933</v>
      </c>
      <c r="M122" s="15">
        <v>0.26236426446749106</v>
      </c>
    </row>
    <row r="123">
      <c r="A123" s="6" t="s">
        <v>23</v>
      </c>
      <c r="B123" s="8">
        <v>0.43178241642553783</v>
      </c>
      <c r="C123" s="8">
        <v>0.7701082216960737</v>
      </c>
      <c r="D123" s="8">
        <v>1.1391037175057006</v>
      </c>
      <c r="E123" s="15">
        <v>1.1391037175057006</v>
      </c>
      <c r="F123" s="15">
        <v>1.1249295969854831</v>
      </c>
      <c r="G123" s="15">
        <v>0.9477893989335261</v>
      </c>
      <c r="H123" s="15">
        <v>0.9202827531436925</v>
      </c>
      <c r="I123" s="15">
        <v>0.5988365010887039</v>
      </c>
      <c r="J123" s="15">
        <v>0.8241754429663495</v>
      </c>
      <c r="K123" s="15">
        <v>0.5766133643039938</v>
      </c>
      <c r="L123" s="15">
        <v>0.8020015854720274</v>
      </c>
      <c r="M123" s="15">
        <v>0.6097655716208942</v>
      </c>
    </row>
    <row r="124">
      <c r="A124" s="6" t="s">
        <v>24</v>
      </c>
      <c r="B124" s="8">
        <v>0.6830968447064438</v>
      </c>
      <c r="C124" s="8">
        <v>0.6365768290715511</v>
      </c>
      <c r="D124" s="8">
        <v>0.5653138090500605</v>
      </c>
      <c r="E124" s="15">
        <v>0.47000362924573563</v>
      </c>
      <c r="F124" s="15">
        <v>0.7419373447293773</v>
      </c>
      <c r="G124" s="15">
        <v>0.9516578757114463</v>
      </c>
      <c r="H124" s="15">
        <v>0.8628899551470398</v>
      </c>
      <c r="I124" s="15">
        <v>0.9202827531436925</v>
      </c>
      <c r="J124" s="15">
        <v>1.1391037175057006</v>
      </c>
      <c r="K124" s="15">
        <v>1.0784095813505903</v>
      </c>
      <c r="L124" s="15">
        <v>1.1391037175057006</v>
      </c>
      <c r="M124" s="15">
        <v>0.9895411936137477</v>
      </c>
    </row>
    <row r="125">
      <c r="A125" s="6" t="s">
        <v>25</v>
      </c>
      <c r="B125" s="8">
        <v>0.5247285289349821</v>
      </c>
      <c r="C125" s="8">
        <v>0.5128236264286637</v>
      </c>
      <c r="D125" s="8">
        <v>0.46373401623214006</v>
      </c>
      <c r="E125" s="15">
        <v>0.4574248470388755</v>
      </c>
      <c r="F125" s="15">
        <v>0.4054651081081644</v>
      </c>
      <c r="G125" s="15">
        <v>0.35065687161316933</v>
      </c>
      <c r="H125" s="15">
        <v>0.23111172096338664</v>
      </c>
      <c r="I125" s="15">
        <v>0.23111172096338664</v>
      </c>
      <c r="J125" s="15">
        <v>0.17395330712343798</v>
      </c>
      <c r="K125" s="15">
        <v>0.19885085874516517</v>
      </c>
      <c r="L125" s="15">
        <v>0.23111172096338664</v>
      </c>
      <c r="M125" s="15">
        <v>0.23901690047049992</v>
      </c>
    </row>
    <row r="126">
      <c r="A126" s="6" t="s">
        <v>26</v>
      </c>
      <c r="B126" s="8">
        <v>0.02955880224154443</v>
      </c>
      <c r="C126" s="8">
        <v>0.058268908123975824</v>
      </c>
      <c r="D126" s="8">
        <v>0.058268908123975824</v>
      </c>
      <c r="E126" s="15">
        <v>0.058268908123975824</v>
      </c>
      <c r="F126" s="15">
        <v>0.06765864847381486</v>
      </c>
      <c r="G126" s="15">
        <v>0.10436001532424286</v>
      </c>
      <c r="H126" s="15">
        <v>0.06765864847381486</v>
      </c>
      <c r="I126" s="15">
        <v>0.08617769624105241</v>
      </c>
      <c r="J126" s="15">
        <v>0.06765864847381486</v>
      </c>
      <c r="K126" s="15">
        <v>0.06765864847381486</v>
      </c>
      <c r="L126" s="15">
        <v>0.058268908123975824</v>
      </c>
      <c r="M126" s="15">
        <v>0.02955880224154443</v>
      </c>
    </row>
    <row r="127">
      <c r="A127" s="6" t="s">
        <v>27</v>
      </c>
      <c r="B127" s="8">
        <v>0.9400072584914712</v>
      </c>
      <c r="C127" s="8">
        <v>0.8754687373538999</v>
      </c>
      <c r="D127" s="8">
        <v>0.4885800148186709</v>
      </c>
      <c r="E127" s="15">
        <v>0.058268908123975824</v>
      </c>
      <c r="F127" s="15">
        <v>0.4574248470388755</v>
      </c>
      <c r="G127" s="15">
        <v>0.30010459245033816</v>
      </c>
      <c r="H127" s="15">
        <v>0.32930374714260047</v>
      </c>
      <c r="I127" s="15">
        <v>0.28517894223366247</v>
      </c>
      <c r="J127" s="15">
        <v>0.36464311358790924</v>
      </c>
      <c r="K127" s="15">
        <v>0.02955880224154443</v>
      </c>
      <c r="L127" s="15">
        <v>0.02955880224154443</v>
      </c>
      <c r="M127" s="15">
        <v>0.27763173659827955</v>
      </c>
    </row>
    <row r="128">
      <c r="A128" s="6" t="s">
        <v>28</v>
      </c>
      <c r="B128" s="8">
        <v>0.08617769624105241</v>
      </c>
      <c r="C128" s="8">
        <v>0.11332868530700327</v>
      </c>
      <c r="D128" s="8">
        <v>0.17395330712343798</v>
      </c>
      <c r="E128" s="15">
        <v>0.1906203596086497</v>
      </c>
      <c r="F128" s="15">
        <v>0.02955880224154443</v>
      </c>
      <c r="G128" s="15">
        <v>0.12221763272424911</v>
      </c>
      <c r="H128" s="15">
        <v>0.2151113796169455</v>
      </c>
      <c r="I128" s="15">
        <v>0.22314355131420976</v>
      </c>
      <c r="J128" s="15">
        <v>0.17395330712343798</v>
      </c>
      <c r="K128" s="15">
        <v>0.06765864847381486</v>
      </c>
      <c r="L128" s="15">
        <v>0.0769610411361284</v>
      </c>
      <c r="M128" s="15">
        <v>0.28517894223366247</v>
      </c>
    </row>
    <row r="129">
      <c r="A129" s="6" t="s">
        <v>29</v>
      </c>
      <c r="B129" s="8">
        <v>0.28517894223366247</v>
      </c>
      <c r="C129" s="8">
        <v>0.1570037488096647</v>
      </c>
      <c r="D129" s="8">
        <v>0.16551443847757333</v>
      </c>
      <c r="E129" s="15">
        <v>0.1823215567939546</v>
      </c>
      <c r="F129" s="15">
        <v>0.3364722366212129</v>
      </c>
      <c r="G129" s="15">
        <v>0.4382549309311553</v>
      </c>
      <c r="H129" s="15">
        <v>0.6205764877251098</v>
      </c>
      <c r="I129" s="15">
        <v>0.5364933705145685</v>
      </c>
      <c r="J129" s="15">
        <v>0.2700271372130602</v>
      </c>
      <c r="K129" s="15">
        <v>0.29266961396282004</v>
      </c>
      <c r="L129" s="15">
        <v>0.3364722366212129</v>
      </c>
      <c r="M129" s="15">
        <v>0.34358970439007686</v>
      </c>
    </row>
    <row r="131">
      <c r="A131" s="22" t="s">
        <v>58</v>
      </c>
      <c r="B131" s="23">
        <f>MAX(E101:M129)</f>
        <v>2.806899542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8">
        <v>2025.0</v>
      </c>
      <c r="C1" s="8">
        <v>2024.0</v>
      </c>
      <c r="D1" s="21">
        <v>2023.0</v>
      </c>
      <c r="E1" s="5">
        <v>2022.0</v>
      </c>
      <c r="F1" s="5">
        <v>2021.0</v>
      </c>
      <c r="G1" s="5">
        <v>2020.0</v>
      </c>
      <c r="H1" s="5">
        <v>2019.0</v>
      </c>
      <c r="I1" s="5">
        <v>2018.0</v>
      </c>
      <c r="J1" s="5">
        <v>2017.0</v>
      </c>
      <c r="K1" s="5">
        <v>2016.0</v>
      </c>
      <c r="L1" s="5">
        <v>2015.0</v>
      </c>
      <c r="M1" s="5">
        <v>2014.0</v>
      </c>
    </row>
    <row r="2">
      <c r="A2" s="6" t="s">
        <v>1</v>
      </c>
      <c r="B2" s="24">
        <f>(Processed_Ratios!B2 / Processed_Ratios!$B$32) * 10</f>
        <v>2.739557936</v>
      </c>
      <c r="C2" s="24">
        <f>(Processed_Ratios!C2 / Processed_Ratios!$B$32) * 10</f>
        <v>2.003318413</v>
      </c>
      <c r="D2" s="24">
        <f>(Processed_Ratios!D2 / Processed_Ratios!$B$32) * 10</f>
        <v>1.311359962</v>
      </c>
      <c r="E2" s="25">
        <f>(Processed_Ratios!E2 / Processed_Ratios!$B$32) * 10</f>
        <v>1.194521951</v>
      </c>
      <c r="F2" s="25">
        <f>(Processed_Ratios!F2 / Processed_Ratios!$B$32) * 10</f>
        <v>1.311359962</v>
      </c>
      <c r="G2" s="25">
        <f>(Processed_Ratios!G2 / Processed_Ratios!$B$32) * 10</f>
        <v>0.9789851632</v>
      </c>
      <c r="H2" s="25">
        <f>(Processed_Ratios!H2 / Processed_Ratios!$B$32) * 10</f>
        <v>1.028067798</v>
      </c>
      <c r="I2" s="25">
        <f>(Processed_Ratios!I2 / Processed_Ratios!$B$32) * 10</f>
        <v>0.9464412422</v>
      </c>
      <c r="J2" s="25">
        <f>(Processed_Ratios!J2 / Processed_Ratios!$B$32) * 10</f>
        <v>1.007794536</v>
      </c>
      <c r="K2" s="25">
        <f>(Processed_Ratios!K2 / Processed_Ratios!$B$32) * 10</f>
        <v>0.7463761544</v>
      </c>
      <c r="L2" s="25">
        <f>(Processed_Ratios!L2 / Processed_Ratios!$B$32) * 10</f>
        <v>0.5964607152</v>
      </c>
      <c r="M2" s="25">
        <f>(Processed_Ratios!M2 / Processed_Ratios!$B$32) * 10</f>
        <v>0.4508133313</v>
      </c>
    </row>
    <row r="3">
      <c r="A3" s="6" t="s">
        <v>2</v>
      </c>
      <c r="B3" s="24">
        <f>(Processed_Ratios!B3 / Processed_Ratios!$B$32) * 10</f>
        <v>2.040663896</v>
      </c>
      <c r="C3" s="24">
        <f>(Processed_Ratios!C3 / Processed_Ratios!$B$32) * 10</f>
        <v>3.037788294</v>
      </c>
      <c r="D3" s="24">
        <f>(Processed_Ratios!D3 / Processed_Ratios!$B$32) * 10</f>
        <v>2.28447655</v>
      </c>
      <c r="E3" s="25">
        <f>(Processed_Ratios!E3 / Processed_Ratios!$B$32) * 10</f>
        <v>1.6853483</v>
      </c>
      <c r="F3" s="25">
        <f>(Processed_Ratios!F3 / Processed_Ratios!$B$32) * 10</f>
        <v>1.746168087</v>
      </c>
      <c r="G3" s="25">
        <f>(Processed_Ratios!G3 / Processed_Ratios!$B$32) * 10</f>
        <v>1.504489461</v>
      </c>
      <c r="H3" s="25">
        <f>(Processed_Ratios!H3 / Processed_Ratios!$B$32) * 10</f>
        <v>1.199323513</v>
      </c>
      <c r="I3" s="25">
        <f>(Processed_Ratios!I3 / Processed_Ratios!$B$32) * 10</f>
        <v>1.134235671</v>
      </c>
      <c r="J3" s="25">
        <f>(Processed_Ratios!J3 / Processed_Ratios!$B$32) * 10</f>
        <v>1.078750954</v>
      </c>
      <c r="K3" s="25">
        <f>(Processed_Ratios!K3 / Processed_Ratios!$B$32) * 10</f>
        <v>0.9704490528</v>
      </c>
      <c r="L3" s="25">
        <f>(Processed_Ratios!L3 / Processed_Ratios!$B$32) * 10</f>
        <v>0.7757190339</v>
      </c>
      <c r="M3" s="25">
        <f>(Processed_Ratios!M3 / Processed_Ratios!$B$32) * 10</f>
        <v>0.6780872711</v>
      </c>
    </row>
    <row r="4">
      <c r="A4" s="6" t="s">
        <v>3</v>
      </c>
      <c r="B4" s="24">
        <f>(Processed_Ratios!B4 / Processed_Ratios!$B$32) * 10</f>
        <v>4.811165232</v>
      </c>
      <c r="C4" s="24">
        <f>(Processed_Ratios!C4 / Processed_Ratios!$B$32) * 10</f>
        <v>4.535342165</v>
      </c>
      <c r="D4" s="24">
        <f>(Processed_Ratios!D4 / Processed_Ratios!$B$32) * 10</f>
        <v>1.869408181</v>
      </c>
      <c r="E4" s="25">
        <f>(Processed_Ratios!E4 / Processed_Ratios!$B$32) * 10</f>
        <v>2.449330182</v>
      </c>
      <c r="F4" s="25">
        <f>(Processed_Ratios!F4 / Processed_Ratios!$B$32) * 10</f>
        <v>1.290553193</v>
      </c>
      <c r="G4" s="25">
        <f>(Processed_Ratios!G4 / Processed_Ratios!$B$32) * 10</f>
        <v>0.3627846926</v>
      </c>
      <c r="H4" s="25">
        <f>(Processed_Ratios!H4 / Processed_Ratios!$B$32) * 10</f>
        <v>1.03980495</v>
      </c>
      <c r="I4" s="25">
        <f>(Processed_Ratios!I4 / Processed_Ratios!$B$32) * 10</f>
        <v>0.1121164752</v>
      </c>
      <c r="J4" s="25">
        <f>(Processed_Ratios!J4 / Processed_Ratios!$B$32) * 10</f>
        <v>0.8792193727</v>
      </c>
      <c r="K4" s="25">
        <f>(Processed_Ratios!K4 / Processed_Ratios!$B$32) * 10</f>
        <v>1.863539605</v>
      </c>
      <c r="L4" s="25">
        <f>(Processed_Ratios!L4 / Processed_Ratios!$B$32) * 10</f>
        <v>1.666142052</v>
      </c>
      <c r="M4" s="25">
        <f>(Processed_Ratios!M4 / Processed_Ratios!$B$32) * 10</f>
        <v>7.15966261</v>
      </c>
    </row>
    <row r="5">
      <c r="A5" s="6" t="s">
        <v>4</v>
      </c>
      <c r="B5" s="24">
        <f>(Processed_Ratios!B5 / Processed_Ratios!$B$32) * 10</f>
        <v>0.5175016939</v>
      </c>
      <c r="C5" s="24">
        <f>(Processed_Ratios!C5 / Processed_Ratios!$B$32) * 10</f>
        <v>0.3894600377</v>
      </c>
      <c r="D5" s="24">
        <f>(Processed_Ratios!D5 / Processed_Ratios!$B$32) * 10</f>
        <v>0.2454131744</v>
      </c>
      <c r="E5" s="25">
        <f>(Processed_Ratios!E5 / Processed_Ratios!$B$32) * 10</f>
        <v>1.419128356</v>
      </c>
      <c r="F5" s="25">
        <f>(Processed_Ratios!F5 / Processed_Ratios!$B$32) * 10</f>
        <v>0.597527729</v>
      </c>
      <c r="G5" s="25">
        <f>(Processed_Ratios!G5 / Processed_Ratios!$B$32) * 10</f>
        <v>2.235393915</v>
      </c>
      <c r="H5" s="25">
        <f>(Processed_Ratios!H5 / Processed_Ratios!$B$32) * 10</f>
        <v>1.029668319</v>
      </c>
      <c r="I5" s="25">
        <f>(Processed_Ratios!I5 / Processed_Ratios!$B$32) * 10</f>
        <v>0.4748211418</v>
      </c>
      <c r="J5" s="25">
        <f>(Processed_Ratios!J5 / Processed_Ratios!$B$32) * 10</f>
        <v>0.2347430364</v>
      </c>
      <c r="K5" s="25">
        <f>(Processed_Ratios!K5 / Processed_Ratios!$B$32) * 10</f>
        <v>0.5495121079</v>
      </c>
      <c r="L5" s="25">
        <f>(Processed_Ratios!L5 / Processed_Ratios!$B$32) * 10</f>
        <v>0.4214704517</v>
      </c>
      <c r="M5" s="25">
        <f>(Processed_Ratios!M5 / Processed_Ratios!$B$32) * 10</f>
        <v>0.2774235885</v>
      </c>
    </row>
    <row r="6">
      <c r="A6" s="6" t="s">
        <v>5</v>
      </c>
      <c r="B6" s="24">
        <f>(Processed_Ratios!B6 / Processed_Ratios!$B$32) * 10</f>
        <v>10</v>
      </c>
      <c r="C6" s="24">
        <f>(Processed_Ratios!C6 / Processed_Ratios!$B$32) * 10</f>
        <v>10</v>
      </c>
      <c r="D6" s="24">
        <f>(Processed_Ratios!D6 / Processed_Ratios!$B$32) * 10</f>
        <v>10</v>
      </c>
      <c r="E6" s="25">
        <f>(Processed_Ratios!E6 / Processed_Ratios!$B$32) * 10</f>
        <v>6.177476406</v>
      </c>
      <c r="F6" s="25">
        <f>(Processed_Ratios!F6 / Processed_Ratios!$B$32) * 10</f>
        <v>3.894600377</v>
      </c>
      <c r="G6" s="25">
        <f>(Processed_Ratios!G6 / Processed_Ratios!$B$32) * 10</f>
        <v>4.751945966</v>
      </c>
      <c r="H6" s="25">
        <f>(Processed_Ratios!H6 / Processed_Ratios!$B$32) * 10</f>
        <v>3.667859944</v>
      </c>
      <c r="I6" s="25">
        <f>(Processed_Ratios!I6 / Processed_Ratios!$B$32) * 10</f>
        <v>2.510149969</v>
      </c>
      <c r="J6" s="25">
        <f>(Processed_Ratios!J6 / Processed_Ratios!$B$32) * 10</f>
        <v>1.796317735</v>
      </c>
      <c r="K6" s="25">
        <f>(Processed_Ratios!K6 / Processed_Ratios!$B$32) * 10</f>
        <v>10</v>
      </c>
      <c r="L6" s="25">
        <f>(Processed_Ratios!L6 / Processed_Ratios!$B$32) * 10</f>
        <v>9.480417629</v>
      </c>
      <c r="M6" s="25">
        <f>(Processed_Ratios!M6 / Processed_Ratios!$B$32) * 10</f>
        <v>7.663826632</v>
      </c>
    </row>
    <row r="7">
      <c r="A7" s="6" t="s">
        <v>6</v>
      </c>
      <c r="B7" s="24">
        <f>(Processed_Ratios!B7 / Processed_Ratios!$B$32) * 10</f>
        <v>0.3883930239</v>
      </c>
      <c r="C7" s="24">
        <f>(Processed_Ratios!C7 / Processed_Ratios!$B$32) * 10</f>
        <v>0.290761261</v>
      </c>
      <c r="D7" s="24">
        <f>(Processed_Ratios!D7 / Processed_Ratios!$B$32) * 10</f>
        <v>0.2182043225</v>
      </c>
      <c r="E7" s="25">
        <f>(Processed_Ratios!E7 / Processed_Ratios!$B$32) * 10</f>
        <v>0.5255042974</v>
      </c>
      <c r="F7" s="25">
        <f>(Processed_Ratios!F7 / Processed_Ratios!$B$32) * 10</f>
        <v>0.4598829486</v>
      </c>
      <c r="G7" s="25">
        <f>(Processed_Ratios!G7 / Processed_Ratios!$B$32) * 10</f>
        <v>0.3995966688</v>
      </c>
      <c r="H7" s="25">
        <f>(Processed_Ratios!H7 / Processed_Ratios!$B$32) * 10</f>
        <v>0.4129343413</v>
      </c>
      <c r="I7" s="25">
        <f>(Processed_Ratios!I7 / Processed_Ratios!$B$32) * 10</f>
        <v>0.3110345232</v>
      </c>
      <c r="J7" s="25">
        <f>(Processed_Ratios!J7 / Processed_Ratios!$B$32) * 10</f>
        <v>0.3169030991</v>
      </c>
      <c r="K7" s="25">
        <f>(Processed_Ratios!K7 / Processed_Ratios!$B$32) * 10</f>
        <v>0.2971633438</v>
      </c>
      <c r="L7" s="25">
        <f>(Processed_Ratios!L7 / Processed_Ratios!$B$32) * 10</f>
        <v>7.983930772</v>
      </c>
      <c r="M7" s="25">
        <f>(Processed_Ratios!M7 / Processed_Ratios!$B$32) * 10</f>
        <v>6.343930559</v>
      </c>
    </row>
    <row r="8">
      <c r="A8" s="6" t="s">
        <v>7</v>
      </c>
      <c r="B8" s="24">
        <f>(Processed_Ratios!B8 / Processed_Ratios!$B$32) * 10</f>
        <v>2.989772673</v>
      </c>
      <c r="C8" s="24">
        <f>(Processed_Ratios!C8 / Processed_Ratios!$B$32) * 10</f>
        <v>0.6828888332</v>
      </c>
      <c r="D8" s="24">
        <f>(Processed_Ratios!D8 / Processed_Ratios!$B$32) * 10</f>
        <v>0.7773195546</v>
      </c>
      <c r="E8" s="25">
        <f>(Processed_Ratios!E8 / Processed_Ratios!$B$32) * 10</f>
        <v>0.4070657654</v>
      </c>
      <c r="F8" s="25">
        <f>(Processed_Ratios!F8 / Processed_Ratios!$B$32) * 10</f>
        <v>0.1121164752</v>
      </c>
      <c r="G8" s="25">
        <f>(Processed_Ratios!G8 / Processed_Ratios!$B$32) * 10</f>
        <v>0.1121164752</v>
      </c>
      <c r="H8" s="25">
        <f>(Processed_Ratios!H8 / Processed_Ratios!$B$32) * 10</f>
        <v>0.1121164752</v>
      </c>
      <c r="I8" s="25">
        <f>(Processed_Ratios!I8 / Processed_Ratios!$B$32) * 10</f>
        <v>0.1467143978</v>
      </c>
      <c r="J8" s="25">
        <f>(Processed_Ratios!J8 / Processed_Ratios!$B$32) * 10</f>
        <v>0.5073650628</v>
      </c>
      <c r="K8" s="25">
        <f>(Processed_Ratios!K8 / Processed_Ratios!$B$32) * 10</f>
        <v>0.8109304894</v>
      </c>
      <c r="L8" s="25">
        <f>(Processed_Ratios!L8 / Processed_Ratios!$B$32) * 10</f>
        <v>0.6167339775</v>
      </c>
      <c r="M8" s="25">
        <f>(Processed_Ratios!M8 / Processed_Ratios!$B$32) * 10</f>
        <v>0.3739883375</v>
      </c>
    </row>
    <row r="9">
      <c r="A9" s="6" t="s">
        <v>8</v>
      </c>
      <c r="B9" s="24">
        <f>(Processed_Ratios!B9 / Processed_Ratios!$B$32) * 10</f>
        <v>3.419245728</v>
      </c>
      <c r="C9" s="24">
        <f>(Processed_Ratios!C9 / Processed_Ratios!$B$32) * 10</f>
        <v>3.086870929</v>
      </c>
      <c r="D9" s="24">
        <f>(Processed_Ratios!D9 / Processed_Ratios!$B$32) * 10</f>
        <v>2.92308431</v>
      </c>
      <c r="E9" s="25">
        <f>(Processed_Ratios!E9 / Processed_Ratios!$B$32) * 10</f>
        <v>2.655263846</v>
      </c>
      <c r="F9" s="25">
        <f>(Processed_Ratios!F9 / Processed_Ratios!$B$32) * 10</f>
        <v>2.191112842</v>
      </c>
      <c r="G9" s="25">
        <f>(Processed_Ratios!G9 / Processed_Ratios!$B$32) * 10</f>
        <v>2.174040621</v>
      </c>
      <c r="H9" s="25">
        <f>(Processed_Ratios!H9 / Processed_Ratios!$B$32) * 10</f>
        <v>3.923943256</v>
      </c>
      <c r="I9" s="25">
        <f>(Processed_Ratios!I9 / Processed_Ratios!$B$32) * 10</f>
        <v>3.317879417</v>
      </c>
      <c r="J9" s="25">
        <f>(Processed_Ratios!J9 / Processed_Ratios!$B$32) * 10</f>
        <v>3.215446092</v>
      </c>
      <c r="K9" s="25">
        <f>(Processed_Ratios!K9 / Processed_Ratios!$B$32) * 10</f>
        <v>2.11748889</v>
      </c>
      <c r="L9" s="25">
        <f>(Processed_Ratios!L9 / Processed_Ratios!$B$32) * 10</f>
        <v>2.76303224</v>
      </c>
      <c r="M9" s="25">
        <f>(Processed_Ratios!M9 / Processed_Ratios!$B$32) * 10</f>
        <v>4.90452894</v>
      </c>
    </row>
    <row r="10">
      <c r="A10" s="6" t="s">
        <v>9</v>
      </c>
      <c r="B10" s="24">
        <f>(Processed_Ratios!B10 / Processed_Ratios!$B$32) * 10</f>
        <v>4.929070258</v>
      </c>
      <c r="C10" s="24">
        <f>(Processed_Ratios!C10 / Processed_Ratios!$B$32) * 10</f>
        <v>4.802095615</v>
      </c>
      <c r="D10" s="24">
        <f>(Processed_Ratios!D10 / Processed_Ratios!$B$32) * 10</f>
        <v>4.389161274</v>
      </c>
      <c r="E10" s="25">
        <f>(Processed_Ratios!E10 / Processed_Ratios!$B$32) * 10</f>
        <v>3.64438564</v>
      </c>
      <c r="F10" s="25">
        <f>(Processed_Ratios!F10 / Processed_Ratios!$B$32) * 10</f>
        <v>3.073533256</v>
      </c>
      <c r="G10" s="25">
        <f>(Processed_Ratios!G10 / Processed_Ratios!$B$32) * 10</f>
        <v>2.638725132</v>
      </c>
      <c r="H10" s="25">
        <f>(Processed_Ratios!H10 / Processed_Ratios!$B$32) * 10</f>
        <v>4.401965439</v>
      </c>
      <c r="I10" s="25">
        <f>(Processed_Ratios!I10 / Processed_Ratios!$B$32) * 10</f>
        <v>3.775094831</v>
      </c>
      <c r="J10" s="25">
        <f>(Processed_Ratios!J10 / Processed_Ratios!$B$32) * 10</f>
        <v>3.156226826</v>
      </c>
      <c r="K10" s="25">
        <f>(Processed_Ratios!K10 / Processed_Ratios!$B$32) * 10</f>
        <v>2.68033867</v>
      </c>
      <c r="L10" s="25">
        <f>(Processed_Ratios!L10 / Processed_Ratios!$B$32) * 10</f>
        <v>2.326090088</v>
      </c>
      <c r="M10" s="25">
        <f>(Processed_Ratios!M10 / Processed_Ratios!$B$32) * 10</f>
        <v>1.937163557</v>
      </c>
    </row>
    <row r="11">
      <c r="A11" s="6" t="s">
        <v>10</v>
      </c>
      <c r="B11" s="24">
        <f>(Processed_Ratios!B11 / Processed_Ratios!$B$32) * 10</f>
        <v>2.417853275</v>
      </c>
      <c r="C11" s="24">
        <f>(Processed_Ratios!C11 / Processed_Ratios!$B$32) * 10</f>
        <v>2.333559185</v>
      </c>
      <c r="D11" s="24">
        <f>(Processed_Ratios!D11 / Processed_Ratios!$B$32) * 10</f>
        <v>2.297814222</v>
      </c>
      <c r="E11" s="25">
        <f>(Processed_Ratios!E11 / Processed_Ratios!$B$32) * 10</f>
        <v>2.016122579</v>
      </c>
      <c r="F11" s="25">
        <f>(Processed_Ratios!F11 / Processed_Ratios!$B$32) * 10</f>
        <v>1.815523984</v>
      </c>
      <c r="G11" s="25">
        <f>(Processed_Ratios!G11 / Processed_Ratios!$B$32) * 10</f>
        <v>1.66294101</v>
      </c>
      <c r="H11" s="25">
        <f>(Processed_Ratios!H11 / Processed_Ratios!$B$32) * 10</f>
        <v>1.491685295</v>
      </c>
      <c r="I11" s="25">
        <f>(Processed_Ratios!I11 / Processed_Ratios!$B$32) * 10</f>
        <v>1.284684617</v>
      </c>
      <c r="J11" s="25">
        <f>(Processed_Ratios!J11 / Processed_Ratios!$B$32) * 10</f>
        <v>1.102758764</v>
      </c>
      <c r="K11" s="25">
        <f>(Processed_Ratios!K11 / Processed_Ratios!$B$32) * 10</f>
        <v>1.018464674</v>
      </c>
      <c r="L11" s="25">
        <f>(Processed_Ratios!L11 / Processed_Ratios!$B$32) * 10</f>
        <v>1.075549912</v>
      </c>
      <c r="M11" s="25">
        <f>(Processed_Ratios!M11 / Processed_Ratios!$B$32) * 10</f>
        <v>0.9725830804</v>
      </c>
    </row>
    <row r="12">
      <c r="A12" s="6" t="s">
        <v>11</v>
      </c>
      <c r="B12" s="24">
        <f>(Processed_Ratios!B12 / Processed_Ratios!$B$32) * 10</f>
        <v>3.795368093</v>
      </c>
      <c r="C12" s="24">
        <f>(Processed_Ratios!C12 / Processed_Ratios!$B$32) * 10</f>
        <v>3.305608758</v>
      </c>
      <c r="D12" s="24">
        <f>(Processed_Ratios!D12 / Processed_Ratios!$B$32) * 10</f>
        <v>2.552297014</v>
      </c>
      <c r="E12" s="25">
        <f>(Processed_Ratios!E12 / Processed_Ratios!$B$32) * 10</f>
        <v>1.890748457</v>
      </c>
      <c r="F12" s="25">
        <f>(Processed_Ratios!F12 / Processed_Ratios!$B$32) * 10</f>
        <v>1.431399015</v>
      </c>
      <c r="G12" s="25">
        <f>(Processed_Ratios!G12 / Processed_Ratios!$B$32) * 10</f>
        <v>0.7762525408</v>
      </c>
      <c r="H12" s="25">
        <f>(Processed_Ratios!H12 / Processed_Ratios!$B$32) * 10</f>
        <v>0.3483800063</v>
      </c>
      <c r="I12" s="25">
        <f>(Processed_Ratios!I12 / Processed_Ratios!$B$32) * 10</f>
        <v>0.6343397052</v>
      </c>
      <c r="J12" s="25">
        <f>(Processed_Ratios!J12 / Processed_Ratios!$B$32) * 10</f>
        <v>0.845074931</v>
      </c>
      <c r="K12" s="25">
        <f>(Processed_Ratios!K12 / Processed_Ratios!$B$32) * 10</f>
        <v>0.9288355145</v>
      </c>
      <c r="L12" s="25">
        <f>(Processed_Ratios!L12 / Processed_Ratios!$B$32) * 10</f>
        <v>1.129434109</v>
      </c>
      <c r="M12" s="25">
        <f>(Processed_Ratios!M12 / Processed_Ratios!$B$32) * 10</f>
        <v>5.102993507</v>
      </c>
    </row>
    <row r="13">
      <c r="A13" s="6" t="s">
        <v>12</v>
      </c>
      <c r="B13" s="24">
        <f>(Processed_Ratios!B13 / Processed_Ratios!$B$32) * 10</f>
        <v>3.4325834</v>
      </c>
      <c r="C13" s="24">
        <f>(Processed_Ratios!C13 / Processed_Ratios!$B$32) * 10</f>
        <v>3.381900245</v>
      </c>
      <c r="D13" s="24">
        <f>(Processed_Ratios!D13 / Processed_Ratios!$B$32) * 10</f>
        <v>3.069798708</v>
      </c>
      <c r="E13" s="25">
        <f>(Processed_Ratios!E13 / Processed_Ratios!$B$32) * 10</f>
        <v>2.796109668</v>
      </c>
      <c r="F13" s="25">
        <f>(Processed_Ratios!F13 / Processed_Ratios!$B$32) * 10</f>
        <v>2.428523413</v>
      </c>
      <c r="G13" s="25">
        <f>(Processed_Ratios!G13 / Processed_Ratios!$B$32) * 10</f>
        <v>2.075875351</v>
      </c>
      <c r="H13" s="25">
        <f>(Processed_Ratios!H13 / Processed_Ratios!$B$32) * 10</f>
        <v>1.887547415</v>
      </c>
      <c r="I13" s="25">
        <f>(Processed_Ratios!I13 / Processed_Ratios!$B$32) * 10</f>
        <v>3.787898996</v>
      </c>
      <c r="J13" s="25">
        <f>(Processed_Ratios!J13 / Processed_Ratios!$B$32) * 10</f>
        <v>3.348822817</v>
      </c>
      <c r="K13" s="25">
        <f>(Processed_Ratios!K13 / Processed_Ratios!$B$32) * 10</f>
        <v>3.148757729</v>
      </c>
      <c r="L13" s="25">
        <f>(Processed_Ratios!L13 / Processed_Ratios!$B$32) * 10</f>
        <v>5.775745709</v>
      </c>
      <c r="M13" s="25">
        <f>(Processed_Ratios!M13 / Processed_Ratios!$B$32) * 10</f>
        <v>9.949370195</v>
      </c>
    </row>
    <row r="14">
      <c r="A14" s="6" t="s">
        <v>13</v>
      </c>
      <c r="B14" s="24">
        <f>(Processed_Ratios!B14 / Processed_Ratios!$B$32) * 10</f>
        <v>1.48048165</v>
      </c>
      <c r="C14" s="24">
        <f>(Processed_Ratios!C14 / Processed_Ratios!$B$32) * 10</f>
        <v>0.8738843037</v>
      </c>
      <c r="D14" s="24">
        <f>(Processed_Ratios!D14 / Processed_Ratios!$B$32) * 10</f>
        <v>0.8248016688</v>
      </c>
      <c r="E14" s="25">
        <f>(Processed_Ratios!E14 / Processed_Ratios!$B$32) * 10</f>
        <v>0.6599480364</v>
      </c>
      <c r="F14" s="25">
        <f>(Processed_Ratios!F14 / Processed_Ratios!$B$32) * 10</f>
        <v>0.570852384</v>
      </c>
      <c r="G14" s="25">
        <f>(Processed_Ratios!G14 / Processed_Ratios!$B$32) * 10</f>
        <v>0.6642160916</v>
      </c>
      <c r="H14" s="25">
        <f>(Processed_Ratios!H14 / Processed_Ratios!$B$32) * 10</f>
        <v>0.5463110665</v>
      </c>
      <c r="I14" s="25">
        <f>(Processed_Ratios!I14 / Processed_Ratios!$B$32) * 10</f>
        <v>0.4908263488</v>
      </c>
      <c r="J14" s="25">
        <f>(Processed_Ratios!J14 / Processed_Ratios!$B$32) * 10</f>
        <v>0.4508133313</v>
      </c>
      <c r="K14" s="25">
        <f>(Processed_Ratios!K14 / Processed_Ratios!$B$32) * 10</f>
        <v>0.4113338206</v>
      </c>
      <c r="L14" s="25">
        <f>(Processed_Ratios!L14 / Processed_Ratios!$B$32) * 10</f>
        <v>0.6402082811</v>
      </c>
      <c r="M14" s="25">
        <f>(Processed_Ratios!M14 / Processed_Ratios!$B$32) * 10</f>
        <v>0.5916591531</v>
      </c>
    </row>
    <row r="15">
      <c r="A15" s="6" t="s">
        <v>14</v>
      </c>
      <c r="B15" s="24">
        <f>(Processed_Ratios!B15 / Processed_Ratios!$B$32) * 10</f>
        <v>5.9373983</v>
      </c>
      <c r="C15" s="24">
        <f>(Processed_Ratios!C15 / Processed_Ratios!$B$32) * 10</f>
        <v>4.878920609</v>
      </c>
      <c r="D15" s="24">
        <f>(Processed_Ratios!D15 / Processed_Ratios!$B$32) * 10</f>
        <v>3.998100715</v>
      </c>
      <c r="E15" s="25">
        <f>(Processed_Ratios!E15 / Processed_Ratios!$B$32) * 10</f>
        <v>3.239987409</v>
      </c>
      <c r="F15" s="25">
        <f>(Processed_Ratios!F15 / Processed_Ratios!$B$32) * 10</f>
        <v>2.693676343</v>
      </c>
      <c r="G15" s="25">
        <f>(Processed_Ratios!G15 / Processed_Ratios!$B$32) * 10</f>
        <v>2.383708833</v>
      </c>
      <c r="H15" s="25">
        <f>(Processed_Ratios!H15 / Processed_Ratios!$B$32) * 10</f>
        <v>2.013455044</v>
      </c>
      <c r="I15" s="25">
        <f>(Processed_Ratios!I15 / Processed_Ratios!$B$32) * 10</f>
        <v>1.742433538</v>
      </c>
      <c r="J15" s="25">
        <f>(Processed_Ratios!J15 / Processed_Ratios!$B$32) * 10</f>
        <v>1.432999536</v>
      </c>
      <c r="K15" s="25">
        <f>(Processed_Ratios!K15 / Processed_Ratios!$B$32) * 10</f>
        <v>1.006727522</v>
      </c>
      <c r="L15" s="25">
        <f>(Processed_Ratios!L15 / Processed_Ratios!$B$32) * 10</f>
        <v>2.10201719</v>
      </c>
      <c r="M15" s="25">
        <f>(Processed_Ratios!M15 / Processed_Ratios!$B$32) * 10</f>
        <v>1.71469118</v>
      </c>
    </row>
    <row r="16">
      <c r="A16" s="6" t="s">
        <v>15</v>
      </c>
      <c r="B16" s="24">
        <f>(Processed_Ratios!B16 / Processed_Ratios!$B$32) * 10</f>
        <v>5.830163413</v>
      </c>
      <c r="C16" s="24">
        <f>(Processed_Ratios!C16 / Processed_Ratios!$B$32) * 10</f>
        <v>5.008562786</v>
      </c>
      <c r="D16" s="24">
        <f>(Processed_Ratios!D16 / Processed_Ratios!$B$32) * 10</f>
        <v>3.971958877</v>
      </c>
      <c r="E16" s="25">
        <f>(Processed_Ratios!E16 / Processed_Ratios!$B$32) * 10</f>
        <v>3.289070044</v>
      </c>
      <c r="F16" s="25">
        <f>(Processed_Ratios!F16 / Processed_Ratios!$B$32) * 10</f>
        <v>4.39663037</v>
      </c>
      <c r="G16" s="25">
        <f>(Processed_Ratios!G16 / Processed_Ratios!$B$32) * 10</f>
        <v>3.625179392</v>
      </c>
      <c r="H16" s="25">
        <f>(Processed_Ratios!H16 / Processed_Ratios!$B$32) * 10</f>
        <v>3.382433752</v>
      </c>
      <c r="I16" s="25">
        <f>(Processed_Ratios!I16 / Processed_Ratios!$B$32) * 10</f>
        <v>2.800377723</v>
      </c>
      <c r="J16" s="25">
        <f>(Processed_Ratios!J16 / Processed_Ratios!$B$32) * 10</f>
        <v>2.296747208</v>
      </c>
      <c r="K16" s="25">
        <f>(Processed_Ratios!K16 / Processed_Ratios!$B$32) * 10</f>
        <v>2.41518574</v>
      </c>
      <c r="L16" s="25">
        <f>(Processed_Ratios!L16 / Processed_Ratios!$B$32) * 10</f>
        <v>2.719818181</v>
      </c>
      <c r="M16" s="25">
        <f>(Processed_Ratios!M16 / Processed_Ratios!$B$32) * 10</f>
        <v>2.808913833</v>
      </c>
    </row>
    <row r="17">
      <c r="A17" s="6" t="s">
        <v>16</v>
      </c>
      <c r="B17" s="24">
        <f>(Processed_Ratios!B17 / Processed_Ratios!$B$32) * 10</f>
        <v>6.138530402</v>
      </c>
      <c r="C17" s="24">
        <f>(Processed_Ratios!C17 / Processed_Ratios!$B$32) * 10</f>
        <v>5.372414492</v>
      </c>
      <c r="D17" s="24">
        <f>(Processed_Ratios!D17 / Processed_Ratios!$B$32) * 10</f>
        <v>4.906129461</v>
      </c>
      <c r="E17" s="25">
        <f>(Processed_Ratios!E17 / Processed_Ratios!$B$32) * 10</f>
        <v>3.138621098</v>
      </c>
      <c r="F17" s="25">
        <f>(Processed_Ratios!F17 / Processed_Ratios!$B$32) * 10</f>
        <v>0.861613645</v>
      </c>
      <c r="G17" s="25">
        <f>(Processed_Ratios!G17 / Processed_Ratios!$B$32) * 10</f>
        <v>0.1121164752</v>
      </c>
      <c r="H17" s="25">
        <f>(Processed_Ratios!H17 / Processed_Ratios!$B$32) * 10</f>
        <v>2.598178607</v>
      </c>
      <c r="I17" s="25">
        <f>(Processed_Ratios!I17 / Processed_Ratios!$B$32) * 10</f>
        <v>3.67372852</v>
      </c>
      <c r="J17" s="25">
        <f>(Processed_Ratios!J17 / Processed_Ratios!$B$32) * 10</f>
        <v>1.812856449</v>
      </c>
      <c r="K17" s="25">
        <f>(Processed_Ratios!K17 / Processed_Ratios!$B$32) * 10</f>
        <v>3.013780483</v>
      </c>
      <c r="L17" s="25">
        <f>(Processed_Ratios!L17 / Processed_Ratios!$B$32) * 10</f>
        <v>2.704346481</v>
      </c>
      <c r="M17" s="25">
        <f>(Processed_Ratios!M17 / Processed_Ratios!$B$32) * 10</f>
        <v>4.04558283</v>
      </c>
    </row>
    <row r="18">
      <c r="A18" s="6" t="s">
        <v>17</v>
      </c>
      <c r="B18" s="24">
        <f>(Processed_Ratios!B18 / Processed_Ratios!$B$32) * 10</f>
        <v>10</v>
      </c>
      <c r="C18" s="24">
        <f>(Processed_Ratios!C18 / Processed_Ratios!$B$32) * 10</f>
        <v>10</v>
      </c>
      <c r="D18" s="24">
        <f>(Processed_Ratios!D18 / Processed_Ratios!$B$32) * 10</f>
        <v>10</v>
      </c>
      <c r="E18" s="25">
        <f>(Processed_Ratios!E18 / Processed_Ratios!$B$32) * 10</f>
        <v>6.851829128</v>
      </c>
      <c r="F18" s="25">
        <f>(Processed_Ratios!F18 / Processed_Ratios!$B$32) * 10</f>
        <v>7.75185527</v>
      </c>
      <c r="G18" s="25">
        <f>(Processed_Ratios!G18 / Processed_Ratios!$B$32) * 10</f>
        <v>10</v>
      </c>
      <c r="H18" s="25">
        <f>(Processed_Ratios!H18 / Processed_Ratios!$B$32) * 10</f>
        <v>10</v>
      </c>
      <c r="I18" s="25">
        <f>(Processed_Ratios!I18 / Processed_Ratios!$B$32) * 10</f>
        <v>10</v>
      </c>
      <c r="J18" s="25">
        <f>(Processed_Ratios!J18 / Processed_Ratios!$B$32) * 10</f>
        <v>10</v>
      </c>
      <c r="K18" s="25">
        <f>(Processed_Ratios!K18 / Processed_Ratios!$B$32) * 10</f>
        <v>9.708758583</v>
      </c>
      <c r="L18" s="25">
        <f>(Processed_Ratios!L18 / Processed_Ratios!$B$32) * 10</f>
        <v>6.724320979</v>
      </c>
      <c r="M18" s="25">
        <f>(Processed_Ratios!M18 / Processed_Ratios!$B$32) * 10</f>
        <v>5.038439172</v>
      </c>
    </row>
    <row r="19">
      <c r="A19" s="6" t="s">
        <v>18</v>
      </c>
      <c r="B19" s="24">
        <f>(Processed_Ratios!B19 / Processed_Ratios!$B$32) * 10</f>
        <v>1.085153036</v>
      </c>
      <c r="C19" s="24">
        <f>(Processed_Ratios!C19 / Processed_Ratios!$B$32) * 10</f>
        <v>1.144905809</v>
      </c>
      <c r="D19" s="24">
        <f>(Processed_Ratios!D19 / Processed_Ratios!$B$32) * 10</f>
        <v>0.9533768319</v>
      </c>
      <c r="E19" s="25">
        <f>(Processed_Ratios!E19 / Processed_Ratios!$B$32) * 10</f>
        <v>0.8354718068</v>
      </c>
      <c r="F19" s="25">
        <f>(Processed_Ratios!F19 / Processed_Ratios!$B$32) * 10</f>
        <v>0.7933247617</v>
      </c>
      <c r="G19" s="25">
        <f>(Processed_Ratios!G19 / Processed_Ratios!$B$32) * 10</f>
        <v>0.6252700879</v>
      </c>
      <c r="H19" s="25">
        <f>(Processed_Ratios!H19 / Processed_Ratios!$B$32) * 10</f>
        <v>0.7405075785</v>
      </c>
      <c r="I19" s="25">
        <f>(Processed_Ratios!I19 / Processed_Ratios!$B$32) * 10</f>
        <v>0.5687183564</v>
      </c>
      <c r="J19" s="25">
        <f>(Processed_Ratios!J19 / Processed_Ratios!$B$32) * 10</f>
        <v>0.6935589712</v>
      </c>
      <c r="K19" s="25">
        <f>(Processed_Ratios!K19 / Processed_Ratios!$B$32) * 10</f>
        <v>0.6988940402</v>
      </c>
      <c r="L19" s="25">
        <f>(Processed_Ratios!L19 / Processed_Ratios!$B$32) * 10</f>
        <v>0.646076857</v>
      </c>
      <c r="M19" s="25">
        <f>(Processed_Ratios!M19 / Processed_Ratios!$B$32) * 10</f>
        <v>0.737840044</v>
      </c>
    </row>
    <row r="20">
      <c r="A20" s="6" t="s">
        <v>19</v>
      </c>
      <c r="B20" s="24">
        <f>(Processed_Ratios!B20 / Processed_Ratios!$B$32) * 10</f>
        <v>0.8904230176</v>
      </c>
      <c r="C20" s="24">
        <f>(Processed_Ratios!C20 / Processed_Ratios!$B$32) * 10</f>
        <v>0.92616798</v>
      </c>
      <c r="D20" s="24">
        <f>(Processed_Ratios!D20 / Processed_Ratios!$B$32) * 10</f>
        <v>1.179050251</v>
      </c>
      <c r="E20" s="25">
        <f>(Processed_Ratios!E20 / Processed_Ratios!$B$32) * 10</f>
        <v>1.286818645</v>
      </c>
      <c r="F20" s="25">
        <f>(Processed_Ratios!F20 / Processed_Ratios!$B$32) * 10</f>
        <v>1.227599379</v>
      </c>
      <c r="G20" s="25">
        <f>(Processed_Ratios!G20 / Processed_Ratios!$B$32) * 10</f>
        <v>1.127833589</v>
      </c>
      <c r="H20" s="25">
        <f>(Processed_Ratios!H20 / Processed_Ratios!$B$32) * 10</f>
        <v>1.023266236</v>
      </c>
      <c r="I20" s="25">
        <f>(Processed_Ratios!I20 / Processed_Ratios!$B$32) * 10</f>
        <v>0.8365388206</v>
      </c>
      <c r="J20" s="25">
        <f>(Processed_Ratios!J20 / Processed_Ratios!$B$32) * 10</f>
        <v>0.7597138269</v>
      </c>
      <c r="K20" s="25">
        <f>(Processed_Ratios!K20 / Processed_Ratios!$B$32) * 10</f>
        <v>0.6076643601</v>
      </c>
      <c r="L20" s="25">
        <f>(Processed_Ratios!L20 / Processed_Ratios!$B$32) * 10</f>
        <v>0.5148341594</v>
      </c>
      <c r="M20" s="25">
        <f>(Processed_Ratios!M20 / Processed_Ratios!$B$32) * 10</f>
        <v>0.5052310352</v>
      </c>
    </row>
    <row r="21">
      <c r="A21" s="6" t="s">
        <v>20</v>
      </c>
      <c r="B21" s="24">
        <f>(Processed_Ratios!B21 / Processed_Ratios!$B$32) * 10</f>
        <v>2.745960019</v>
      </c>
      <c r="C21" s="24">
        <f>(Processed_Ratios!C21 / Processed_Ratios!$B$32) * 10</f>
        <v>5.48978601</v>
      </c>
      <c r="D21" s="24">
        <f>(Processed_Ratios!D21 / Processed_Ratios!$B$32) * 10</f>
        <v>5.259844536</v>
      </c>
      <c r="E21" s="25">
        <f>(Processed_Ratios!E21 / Processed_Ratios!$B$32) * 10</f>
        <v>4.846910195</v>
      </c>
      <c r="F21" s="25">
        <f>(Processed_Ratios!F21 / Processed_Ratios!$B$32) * 10</f>
        <v>4.012505402</v>
      </c>
      <c r="G21" s="25">
        <f>(Processed_Ratios!G21 / Processed_Ratios!$B$32) * 10</f>
        <v>3.364294517</v>
      </c>
      <c r="H21" s="25">
        <f>(Processed_Ratios!H21 / Processed_Ratios!$B$32) * 10</f>
        <v>3.563826098</v>
      </c>
      <c r="I21" s="25">
        <f>(Processed_Ratios!I21 / Processed_Ratios!$B$32) * 10</f>
        <v>3.24852352</v>
      </c>
      <c r="J21" s="25">
        <f>(Processed_Ratios!J21 / Processed_Ratios!$B$32) * 10</f>
        <v>5.395888796</v>
      </c>
      <c r="K21" s="25">
        <f>(Processed_Ratios!K21 / Processed_Ratios!$B$32) * 10</f>
        <v>5.375082027</v>
      </c>
      <c r="L21" s="25">
        <f>(Processed_Ratios!L21 / Processed_Ratios!$B$32) * 10</f>
        <v>4.273923783</v>
      </c>
      <c r="M21" s="25">
        <f>(Processed_Ratios!M21 / Processed_Ratios!$B$32) * 10</f>
        <v>4.083995326</v>
      </c>
    </row>
    <row r="22">
      <c r="A22" s="6" t="s">
        <v>21</v>
      </c>
      <c r="B22" s="24">
        <f>(Processed_Ratios!B22 / Processed_Ratios!$B$32) * 10</f>
        <v>4.636708476</v>
      </c>
      <c r="C22" s="24">
        <f>(Processed_Ratios!C22 / Processed_Ratios!$B$32) * 10</f>
        <v>4.010371374</v>
      </c>
      <c r="D22" s="24">
        <f>(Processed_Ratios!D22 / Processed_Ratios!$B$32) * 10</f>
        <v>3.326415527</v>
      </c>
      <c r="E22" s="25">
        <f>(Processed_Ratios!E22 / Processed_Ratios!$B$32) * 10</f>
        <v>2.114821355</v>
      </c>
      <c r="F22" s="25">
        <f>(Processed_Ratios!F22 / Processed_Ratios!$B$32) * 10</f>
        <v>1.339635828</v>
      </c>
      <c r="G22" s="25">
        <f>(Processed_Ratios!G22 / Processed_Ratios!$B$32) * 10</f>
        <v>1.181717786</v>
      </c>
      <c r="H22" s="25">
        <f>(Processed_Ratios!H22 / Processed_Ratios!$B$32) * 10</f>
        <v>0.1376447804</v>
      </c>
      <c r="I22" s="25">
        <f>(Processed_Ratios!I22 / Processed_Ratios!$B$32) * 10</f>
        <v>0.1121164752</v>
      </c>
      <c r="J22" s="25">
        <f>(Processed_Ratios!J22 / Processed_Ratios!$B$32) * 10</f>
        <v>0.1121164752</v>
      </c>
      <c r="K22" s="25">
        <f>(Processed_Ratios!K22 / Processed_Ratios!$B$32) * 10</f>
        <v>0.850943507</v>
      </c>
      <c r="L22" s="25">
        <f>(Processed_Ratios!L22 / Processed_Ratios!$B$32) * 10</f>
        <v>1.214261706</v>
      </c>
      <c r="M22" s="25">
        <f>(Processed_Ratios!M22 / Processed_Ratios!$B$32) * 10</f>
        <v>10</v>
      </c>
    </row>
    <row r="23">
      <c r="A23" s="6" t="s">
        <v>22</v>
      </c>
      <c r="B23" s="24">
        <f>(Processed_Ratios!B23 / Processed_Ratios!$B$32) * 10</f>
        <v>2.432791468</v>
      </c>
      <c r="C23" s="24">
        <f>(Processed_Ratios!C23 / Processed_Ratios!$B$32) * 10</f>
        <v>2.128692535</v>
      </c>
      <c r="D23" s="24">
        <f>(Processed_Ratios!D23 / Processed_Ratios!$B$32) * 10</f>
        <v>1.88327936</v>
      </c>
      <c r="E23" s="25">
        <f>(Processed_Ratios!E23 / Processed_Ratios!$B$32) * 10</f>
        <v>0.7255693852</v>
      </c>
      <c r="F23" s="25">
        <f>(Processed_Ratios!F23 / Processed_Ratios!$B$32) * 10</f>
        <v>0.6455433501</v>
      </c>
      <c r="G23" s="25">
        <f>(Processed_Ratios!G23 / Processed_Ratios!$B$32) * 10</f>
        <v>0.8376058344</v>
      </c>
      <c r="H23" s="25">
        <f>(Processed_Ratios!H23 / Processed_Ratios!$B$32) * 10</f>
        <v>0.59219266</v>
      </c>
      <c r="I23" s="25">
        <f>(Processed_Ratios!I23 / Processed_Ratios!$B$32) * 10</f>
        <v>0.4801562108</v>
      </c>
      <c r="J23" s="25">
        <f>(Processed_Ratios!J23 / Processed_Ratios!$B$32) * 10</f>
        <v>1.547170013</v>
      </c>
      <c r="K23" s="25">
        <f>(Processed_Ratios!K23 / Processed_Ratios!$B$32) * 10</f>
        <v>1.008328043</v>
      </c>
      <c r="L23" s="25">
        <f>(Processed_Ratios!L23 / Processed_Ratios!$B$32) * 10</f>
        <v>1.008328043</v>
      </c>
      <c r="M23" s="25">
        <f>(Processed_Ratios!M23 / Processed_Ratios!$B$32) * 10</f>
        <v>0.8109304894</v>
      </c>
    </row>
    <row r="24">
      <c r="A24" s="6" t="s">
        <v>23</v>
      </c>
      <c r="B24" s="24">
        <f>(Processed_Ratios!B24 / Processed_Ratios!$B$32) * 10</f>
        <v>4.201366845</v>
      </c>
      <c r="C24" s="24">
        <f>(Processed_Ratios!C24 / Processed_Ratios!$B$32) * 10</f>
        <v>4.368354505</v>
      </c>
      <c r="D24" s="24">
        <f>(Processed_Ratios!D24 / Processed_Ratios!$B$32) * 10</f>
        <v>0.3355758407</v>
      </c>
      <c r="E24" s="25">
        <f>(Processed_Ratios!E24 / Processed_Ratios!$B$32) * 10</f>
        <v>0.1121164752</v>
      </c>
      <c r="F24" s="25">
        <f>(Processed_Ratios!F24 / Processed_Ratios!$B$32) * 10</f>
        <v>0.1121164752</v>
      </c>
      <c r="G24" s="25">
        <f>(Processed_Ratios!G24 / Processed_Ratios!$B$32) * 10</f>
        <v>0.1121164752</v>
      </c>
      <c r="H24" s="25">
        <f>(Processed_Ratios!H24 / Processed_Ratios!$B$32) * 10</f>
        <v>0.1121164752</v>
      </c>
      <c r="I24" s="25">
        <f>(Processed_Ratios!I24 / Processed_Ratios!$B$32) * 10</f>
        <v>1.411125753</v>
      </c>
      <c r="J24" s="25">
        <f>(Processed_Ratios!J24 / Processed_Ratios!$B$32) * 10</f>
        <v>1.169980634</v>
      </c>
      <c r="K24" s="25">
        <f>(Processed_Ratios!K24 / Processed_Ratios!$B$32) * 10</f>
        <v>1.826727629</v>
      </c>
      <c r="L24" s="25">
        <f>(Processed_Ratios!L24 / Processed_Ratios!$B$32) * 10</f>
        <v>2.317020471</v>
      </c>
      <c r="M24" s="25">
        <f>(Processed_Ratios!M24 / Processed_Ratios!$B$32) * 10</f>
        <v>2.320755019</v>
      </c>
    </row>
    <row r="25">
      <c r="A25" s="6" t="s">
        <v>24</v>
      </c>
      <c r="B25" s="24">
        <f>(Processed_Ratios!B25 / Processed_Ratios!$B$32) * 10</f>
        <v>0.1461808908</v>
      </c>
      <c r="C25" s="24">
        <f>(Processed_Ratios!C25 / Processed_Ratios!$B$32) * 10</f>
        <v>0.1121164752</v>
      </c>
      <c r="D25" s="24">
        <f>(Processed_Ratios!D25 / Processed_Ratios!$B$32) * 10</f>
        <v>0.382524448</v>
      </c>
      <c r="E25" s="25">
        <f>(Processed_Ratios!E25 / Processed_Ratios!$B$32) * 10</f>
        <v>10</v>
      </c>
      <c r="F25" s="25">
        <f>(Processed_Ratios!F25 / Processed_Ratios!$B$32) * 10</f>
        <v>3.402707014</v>
      </c>
      <c r="G25" s="25">
        <f>(Processed_Ratios!G25 / Processed_Ratios!$B$32) * 10</f>
        <v>0.6327391845</v>
      </c>
      <c r="H25" s="25">
        <f>(Processed_Ratios!H25 / Processed_Ratios!$B$32) * 10</f>
        <v>4.680989549</v>
      </c>
      <c r="I25" s="25">
        <f>(Processed_Ratios!I25 / Processed_Ratios!$B$32) * 10</f>
        <v>6.834223401</v>
      </c>
      <c r="J25" s="25">
        <f>(Processed_Ratios!J25 / Processed_Ratios!$B$32) * 10</f>
        <v>0.1121164752</v>
      </c>
      <c r="K25" s="25">
        <f>(Processed_Ratios!K25 / Processed_Ratios!$B$32) * 10</f>
        <v>0.1121164752</v>
      </c>
      <c r="L25" s="25">
        <f>(Processed_Ratios!L25 / Processed_Ratios!$B$32) * 10</f>
        <v>0.1121164752</v>
      </c>
      <c r="M25" s="25">
        <f>(Processed_Ratios!M25 / Processed_Ratios!$B$32) * 10</f>
        <v>1.877410784</v>
      </c>
    </row>
    <row r="26">
      <c r="A26" s="6" t="s">
        <v>25</v>
      </c>
      <c r="B26" s="24">
        <f>(Processed_Ratios!B26 / Processed_Ratios!$B$32) * 10</f>
        <v>7.159129103</v>
      </c>
      <c r="C26" s="24">
        <f>(Processed_Ratios!C26 / Processed_Ratios!$B$32) * 10</f>
        <v>6.715784869</v>
      </c>
      <c r="D26" s="24">
        <f>(Processed_Ratios!D26 / Processed_Ratios!$B$32) * 10</f>
        <v>6.145465992</v>
      </c>
      <c r="E26" s="25">
        <f>(Processed_Ratios!E26 / Processed_Ratios!$B$32) * 10</f>
        <v>5.528198507</v>
      </c>
      <c r="F26" s="25">
        <f>(Processed_Ratios!F26 / Processed_Ratios!$B$32) * 10</f>
        <v>4.626038338</v>
      </c>
      <c r="G26" s="25">
        <f>(Processed_Ratios!G26 / Processed_Ratios!$B$32) * 10</f>
        <v>4.598295979</v>
      </c>
      <c r="H26" s="25">
        <f>(Processed_Ratios!H26 / Processed_Ratios!$B$32) * 10</f>
        <v>4.430774812</v>
      </c>
      <c r="I26" s="25">
        <f>(Processed_Ratios!I26 / Processed_Ratios!$B$32) * 10</f>
        <v>7.159129103</v>
      </c>
      <c r="J26" s="25">
        <f>(Processed_Ratios!J26 / Processed_Ratios!$B$32) * 10</f>
        <v>7.117515565</v>
      </c>
      <c r="K26" s="25">
        <f>(Processed_Ratios!K26 / Processed_Ratios!$B$32) * 10</f>
        <v>6.571738005</v>
      </c>
      <c r="L26" s="25">
        <f>(Processed_Ratios!L26 / Processed_Ratios!$B$32) * 10</f>
        <v>5.407092441</v>
      </c>
      <c r="M26" s="25">
        <f>(Processed_Ratios!M26 / Processed_Ratios!$B$32) * 10</f>
        <v>5.210761901</v>
      </c>
    </row>
    <row r="27">
      <c r="A27" s="6" t="s">
        <v>26</v>
      </c>
      <c r="B27" s="24">
        <f>(Processed_Ratios!B27 / Processed_Ratios!$B$32) * 10</f>
        <v>2.556031562</v>
      </c>
      <c r="C27" s="24">
        <f>(Processed_Ratios!C27 / Processed_Ratios!$B$32) * 10</f>
        <v>1.418061343</v>
      </c>
      <c r="D27" s="24">
        <f>(Processed_Ratios!D27 / Processed_Ratios!$B$32) * 10</f>
        <v>2.921483789</v>
      </c>
      <c r="E27" s="25">
        <f>(Processed_Ratios!E27 / Processed_Ratios!$B$32) * 10</f>
        <v>3.350956845</v>
      </c>
      <c r="F27" s="25">
        <f>(Processed_Ratios!F27 / Processed_Ratios!$B$32) * 10</f>
        <v>2.677671136</v>
      </c>
      <c r="G27" s="25">
        <f>(Processed_Ratios!G27 / Processed_Ratios!$B$32) * 10</f>
        <v>2.446129141</v>
      </c>
      <c r="H27" s="25">
        <f>(Processed_Ratios!H27 / Processed_Ratios!$B$32) * 10</f>
        <v>2.545894931</v>
      </c>
      <c r="I27" s="25">
        <f>(Processed_Ratios!I27 / Processed_Ratios!$B$32) * 10</f>
        <v>2.275940439</v>
      </c>
      <c r="J27" s="25">
        <f>(Processed_Ratios!J27 / Processed_Ratios!$B$32) * 10</f>
        <v>1.688015834</v>
      </c>
      <c r="K27" s="25">
        <f>(Processed_Ratios!K27 / Processed_Ratios!$B$32) * 10</f>
        <v>1.798451763</v>
      </c>
      <c r="L27" s="25">
        <f>(Processed_Ratios!L27 / Processed_Ratios!$B$32) * 10</f>
        <v>1.426597453</v>
      </c>
      <c r="M27" s="25">
        <f>(Processed_Ratios!M27 / Processed_Ratios!$B$32) * 10</f>
        <v>6.76380049</v>
      </c>
    </row>
    <row r="28">
      <c r="A28" s="6" t="s">
        <v>27</v>
      </c>
      <c r="B28" s="24">
        <f>(Processed_Ratios!B28 / Processed_Ratios!$B$32) * 10</f>
        <v>2.006519454</v>
      </c>
      <c r="C28" s="24">
        <f>(Processed_Ratios!C28 / Processed_Ratios!$B$32) * 10</f>
        <v>2.100950176</v>
      </c>
      <c r="D28" s="24">
        <f>(Processed_Ratios!D28 / Processed_Ratios!$B$32) * 10</f>
        <v>1.953168764</v>
      </c>
      <c r="E28" s="25">
        <f>(Processed_Ratios!E28 / Processed_Ratios!$B$32) * 10</f>
        <v>1.3065584</v>
      </c>
      <c r="F28" s="25">
        <f>(Processed_Ratios!F28 / Processed_Ratios!$B$32) * 10</f>
        <v>0.5847235634</v>
      </c>
      <c r="G28" s="25">
        <f>(Processed_Ratios!G28 / Processed_Ratios!$B$32) * 10</f>
        <v>0.9021601694</v>
      </c>
      <c r="H28" s="25">
        <f>(Processed_Ratios!H28 / Processed_Ratios!$B$32) * 10</f>
        <v>0.8440079172</v>
      </c>
      <c r="I28" s="25">
        <f>(Processed_Ratios!I28 / Processed_Ratios!$B$32) * 10</f>
        <v>0.6802212987</v>
      </c>
      <c r="J28" s="25">
        <f>(Processed_Ratios!J28 / Processed_Ratios!$B$32) * 10</f>
        <v>0.435875138</v>
      </c>
      <c r="K28" s="25">
        <f>(Processed_Ratios!K28 / Processed_Ratios!$B$32) * 10</f>
        <v>0.4054652447</v>
      </c>
      <c r="L28" s="25">
        <f>(Processed_Ratios!L28 / Processed_Ratios!$B$32) * 10</f>
        <v>0.4902928419</v>
      </c>
      <c r="M28" s="25">
        <f>(Processed_Ratios!M28 / Processed_Ratios!$B$32) * 10</f>
        <v>0.441743714</v>
      </c>
    </row>
    <row r="29">
      <c r="A29" s="6" t="s">
        <v>28</v>
      </c>
      <c r="B29" s="24">
        <f>(Processed_Ratios!B29 / Processed_Ratios!$B$32) * 10</f>
        <v>2.321288526</v>
      </c>
      <c r="C29" s="24">
        <f>(Processed_Ratios!C29 / Processed_Ratios!$B$32) * 10</f>
        <v>2.23112586</v>
      </c>
      <c r="D29" s="24">
        <f>(Processed_Ratios!D29 / Processed_Ratios!$B$32) * 10</f>
        <v>0.667417133</v>
      </c>
      <c r="E29" s="25">
        <f>(Processed_Ratios!E29 / Processed_Ratios!$B$32) * 10</f>
        <v>0.1589850565</v>
      </c>
      <c r="F29" s="25">
        <f>(Processed_Ratios!F29 / Processed_Ratios!$B$32) * 10</f>
        <v>0.1121164752</v>
      </c>
      <c r="G29" s="25">
        <f>(Processed_Ratios!G29 / Processed_Ratios!$B$32) * 10</f>
        <v>0.188327936</v>
      </c>
      <c r="H29" s="25">
        <f>(Processed_Ratios!H29 / Processed_Ratios!$B$32) * 10</f>
        <v>0.1557840151</v>
      </c>
      <c r="I29" s="25">
        <f>(Processed_Ratios!I29 / Processed_Ratios!$B$32) * 10</f>
        <v>0.139778808</v>
      </c>
      <c r="J29" s="25">
        <f>(Processed_Ratios!J29 / Processed_Ratios!$B$32) * 10</f>
        <v>0.1360442597</v>
      </c>
      <c r="K29" s="25">
        <f>(Processed_Ratios!K29 / Processed_Ratios!$B$32) * 10</f>
        <v>0.1121164752</v>
      </c>
      <c r="L29" s="25">
        <f>(Processed_Ratios!L29 / Processed_Ratios!$B$32) * 10</f>
        <v>2.076408858</v>
      </c>
      <c r="M29" s="25">
        <f>(Processed_Ratios!M29 / Processed_Ratios!$B$32) * 10</f>
        <v>0.1121164752</v>
      </c>
    </row>
    <row r="30">
      <c r="A30" s="6" t="s">
        <v>29</v>
      </c>
      <c r="B30" s="24">
        <f>(Processed_Ratios!B30 / Processed_Ratios!$B$32) * 10</f>
        <v>10</v>
      </c>
      <c r="C30" s="24">
        <f>(Processed_Ratios!C30 / Processed_Ratios!$B$32) * 10</f>
        <v>10</v>
      </c>
      <c r="D30" s="24">
        <f>(Processed_Ratios!D30 / Processed_Ratios!$B$32) * 10</f>
        <v>9.365180139</v>
      </c>
      <c r="E30" s="25">
        <f>(Processed_Ratios!E30 / Processed_Ratios!$B$32) * 10</f>
        <v>10</v>
      </c>
      <c r="F30" s="25">
        <f>(Processed_Ratios!F30 / Processed_Ratios!$B$32) * 10</f>
        <v>10</v>
      </c>
      <c r="G30" s="25">
        <f>(Processed_Ratios!G30 / Processed_Ratios!$B$32) * 10</f>
        <v>10</v>
      </c>
      <c r="H30" s="25">
        <f>(Processed_Ratios!H30 / Processed_Ratios!$B$32) * 10</f>
        <v>4.481457968</v>
      </c>
      <c r="I30" s="25">
        <f>(Processed_Ratios!I30 / Processed_Ratios!$B$32) * 10</f>
        <v>4.317137842</v>
      </c>
      <c r="J30" s="25">
        <f>(Processed_Ratios!J30 / Processed_Ratios!$B$32) * 10</f>
        <v>5.275316236</v>
      </c>
      <c r="K30" s="25">
        <f>(Processed_Ratios!K30 / Processed_Ratios!$B$32) * 10</f>
        <v>4.814899781</v>
      </c>
      <c r="L30" s="25">
        <f>(Processed_Ratios!L30 / Processed_Ratios!$B$32) * 10</f>
        <v>4.078126751</v>
      </c>
      <c r="M30" s="25">
        <f>(Processed_Ratios!M30 / Processed_Ratios!$B$32) * 10</f>
        <v>4.290462497</v>
      </c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>
      <c r="A32" s="14"/>
      <c r="B32" s="1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>
      <c r="A34" s="1" t="s">
        <v>31</v>
      </c>
      <c r="B34" s="16" t="s">
        <v>32</v>
      </c>
      <c r="C34" s="16" t="s">
        <v>33</v>
      </c>
      <c r="D34" s="16" t="s">
        <v>34</v>
      </c>
      <c r="E34" s="17" t="s">
        <v>35</v>
      </c>
      <c r="F34" s="17" t="s">
        <v>36</v>
      </c>
      <c r="G34" s="17" t="s">
        <v>37</v>
      </c>
      <c r="H34" s="17" t="s">
        <v>38</v>
      </c>
      <c r="I34" s="17" t="s">
        <v>39</v>
      </c>
      <c r="J34" s="17" t="s">
        <v>40</v>
      </c>
      <c r="K34" s="17" t="s">
        <v>41</v>
      </c>
      <c r="L34" s="17" t="s">
        <v>42</v>
      </c>
      <c r="M34" s="17" t="s">
        <v>43</v>
      </c>
    </row>
    <row r="35">
      <c r="A35" s="6" t="s">
        <v>1</v>
      </c>
      <c r="B35" s="8">
        <f>(Processed_Ratios!B35 / Processed_Ratios!$B$65) * 10</f>
        <v>1.327559359</v>
      </c>
      <c r="C35" s="8">
        <f>(Processed_Ratios!C35 / Processed_Ratios!$B$65) * 10</f>
        <v>1.512826633</v>
      </c>
      <c r="D35" s="8">
        <f>(Processed_Ratios!D35 / Processed_Ratios!$B$65) * 10</f>
        <v>2.259578773</v>
      </c>
      <c r="E35" s="15">
        <f>(Processed_Ratios!E35 / Processed_Ratios!$B$65) * 10</f>
        <v>2.453938919</v>
      </c>
      <c r="F35" s="15">
        <f>(Processed_Ratios!F35 / Processed_Ratios!$B$65) * 10</f>
        <v>0</v>
      </c>
      <c r="G35" s="15">
        <f>(Processed_Ratios!G35 / Processed_Ratios!$B$65) * 10</f>
        <v>2.087950808</v>
      </c>
      <c r="H35" s="15">
        <f>(Processed_Ratios!H35 / Processed_Ratios!$B$65) * 10</f>
        <v>1.179800184</v>
      </c>
      <c r="I35" s="15">
        <f>(Processed_Ratios!I35 / Processed_Ratios!$B$65) * 10</f>
        <v>0.8319978177</v>
      </c>
      <c r="J35" s="15">
        <f>(Processed_Ratios!J35 / Processed_Ratios!$B$65) * 10</f>
        <v>0</v>
      </c>
      <c r="K35" s="15">
        <f>(Processed_Ratios!K35 / Processed_Ratios!$B$65) * 10</f>
        <v>1.786749412</v>
      </c>
      <c r="L35" s="15">
        <f>(Processed_Ratios!L35 / Processed_Ratios!$B$65) * 10</f>
        <v>1.117286687</v>
      </c>
      <c r="M35" s="15">
        <f>(Processed_Ratios!M35 / Processed_Ratios!$B$65) * 10</f>
        <v>1.395755902</v>
      </c>
    </row>
    <row r="36">
      <c r="A36" s="6" t="s">
        <v>2</v>
      </c>
      <c r="B36" s="8">
        <f>(Processed_Ratios!B36 / Processed_Ratios!$B$65) * 10</f>
        <v>9.63162501</v>
      </c>
      <c r="C36" s="8">
        <f>(Processed_Ratios!C36 / Processed_Ratios!$B$65) * 10</f>
        <v>5.270456121</v>
      </c>
      <c r="D36" s="8">
        <f>(Processed_Ratios!D36 / Processed_Ratios!$B$65) * 10</f>
        <v>5.282958821</v>
      </c>
      <c r="E36" s="15">
        <f>(Processed_Ratios!E36 / Processed_Ratios!$B$65) * 10</f>
        <v>6.528682329</v>
      </c>
      <c r="F36" s="15">
        <f>(Processed_Ratios!F36 / Processed_Ratios!$B$65) * 10</f>
        <v>1.162751049</v>
      </c>
      <c r="G36" s="15">
        <f>(Processed_Ratios!G36 / Processed_Ratios!$B$65) * 10</f>
        <v>7.314079176</v>
      </c>
      <c r="H36" s="15">
        <f>(Processed_Ratios!H36 / Processed_Ratios!$B$65) * 10</f>
        <v>4.499835192</v>
      </c>
      <c r="I36" s="15">
        <f>(Processed_Ratios!I36 / Processed_Ratios!$B$65) * 10</f>
        <v>5.506870802</v>
      </c>
      <c r="J36" s="15">
        <f>(Processed_Ratios!J36 / Processed_Ratios!$B$65) * 10</f>
        <v>4.468010139</v>
      </c>
      <c r="K36" s="15">
        <f>(Processed_Ratios!K36 / Processed_Ratios!$B$65) * 10</f>
        <v>4.059967493</v>
      </c>
      <c r="L36" s="15">
        <f>(Processed_Ratios!L36 / Processed_Ratios!$B$65) * 10</f>
        <v>4.765801707</v>
      </c>
      <c r="M36" s="15">
        <f>(Processed_Ratios!M36 / Processed_Ratios!$B$65) * 10</f>
        <v>4.740796308</v>
      </c>
    </row>
    <row r="37">
      <c r="A37" s="6" t="s">
        <v>3</v>
      </c>
      <c r="B37" s="8">
        <f>(Processed_Ratios!B37 / Processed_Ratios!$B$65) * 10</f>
        <v>0.1352564758</v>
      </c>
      <c r="C37" s="8">
        <f>(Processed_Ratios!C37 / Processed_Ratios!$B$65) * 10</f>
        <v>0.1420761301</v>
      </c>
      <c r="D37" s="8">
        <f>(Processed_Ratios!D37 / Processed_Ratios!$B$65) * 10</f>
        <v>0.3693979382</v>
      </c>
      <c r="E37" s="15">
        <f>(Processed_Ratios!E37 / Processed_Ratios!$B$65) * 10</f>
        <v>0.140939521</v>
      </c>
      <c r="F37" s="15">
        <f>(Processed_Ratios!F37 / Processed_Ratios!$B$65) * 10</f>
        <v>0.1727645742</v>
      </c>
      <c r="G37" s="15">
        <f>(Processed_Ratios!G37 / Processed_Ratios!$B$65) * 10</f>
        <v>0.1420761301</v>
      </c>
      <c r="H37" s="15">
        <f>(Processed_Ratios!H37 / Processed_Ratios!$B$65) * 10</f>
        <v>0.2648299065</v>
      </c>
      <c r="I37" s="15">
        <f>(Processed_Ratios!I37 / Processed_Ratios!$B$65) * 10</f>
        <v>0.1579886566</v>
      </c>
      <c r="J37" s="15">
        <f>(Processed_Ratios!J37 / Processed_Ratios!$B$65) * 10</f>
        <v>0.1739011832</v>
      </c>
      <c r="K37" s="15">
        <f>(Processed_Ratios!K37 / Processed_Ratios!$B$65) * 10</f>
        <v>0.1238903854</v>
      </c>
      <c r="L37" s="15">
        <f>(Processed_Ratios!L37 / Processed_Ratios!$B$65) * 10</f>
        <v>0.1142292086</v>
      </c>
      <c r="M37" s="15">
        <f>(Processed_Ratios!M37 / Processed_Ratios!$B$65) * 10</f>
        <v>0.1500323934</v>
      </c>
    </row>
    <row r="38">
      <c r="A38" s="6" t="s">
        <v>4</v>
      </c>
      <c r="B38" s="8">
        <f>(Processed_Ratios!B38 / Processed_Ratios!$B$65) * 10</f>
        <v>0.2034530183</v>
      </c>
      <c r="C38" s="8">
        <f>(Processed_Ratios!C38 / Processed_Ratios!$B$65) * 10</f>
        <v>0.1773110103</v>
      </c>
      <c r="D38" s="8">
        <f>(Processed_Ratios!D38 / Processed_Ratios!$B$65) * 10</f>
        <v>0.112524295</v>
      </c>
      <c r="E38" s="15">
        <f>(Processed_Ratios!E38 / Processed_Ratios!$B$65) * 10</f>
        <v>0.1182073402</v>
      </c>
      <c r="F38" s="15">
        <f>(Processed_Ratios!F38 / Processed_Ratios!$B$65) * 10</f>
        <v>0</v>
      </c>
      <c r="G38" s="15">
        <f>(Processed_Ratios!G38 / Processed_Ratios!$B$65) * 10</f>
        <v>0.4023596004</v>
      </c>
      <c r="H38" s="15">
        <f>(Processed_Ratios!H38 / Processed_Ratios!$B$65) * 10</f>
        <v>0.09774837749</v>
      </c>
      <c r="I38" s="15">
        <f>(Processed_Ratios!I38 / Processed_Ratios!$B$65) * 10</f>
        <v>0.1193439493</v>
      </c>
      <c r="J38" s="15">
        <f>(Processed_Ratios!J38 / Processed_Ratios!$B$65) * 10</f>
        <v>0</v>
      </c>
      <c r="K38" s="15">
        <f>(Processed_Ratios!K38 / Processed_Ratios!$B$65) * 10</f>
        <v>0.169354747</v>
      </c>
      <c r="L38" s="15">
        <f>(Processed_Ratios!L38 / Processed_Ratios!$B$65) * 10</f>
        <v>0.1864038827</v>
      </c>
      <c r="M38" s="15">
        <f>(Processed_Ratios!M38 / Processed_Ratios!$B$65) * 10</f>
        <v>0.2045896273</v>
      </c>
    </row>
    <row r="39">
      <c r="A39" s="6" t="s">
        <v>5</v>
      </c>
      <c r="B39" s="8">
        <f>(Processed_Ratios!B39 / Processed_Ratios!$B$65) * 10</f>
        <v>1.520782896</v>
      </c>
      <c r="C39" s="8">
        <f>(Processed_Ratios!C39 / Processed_Ratios!$B$65) * 10</f>
        <v>1.427580955</v>
      </c>
      <c r="D39" s="8">
        <f>(Processed_Ratios!D39 / Processed_Ratios!$B$65) * 10</f>
        <v>1.192302884</v>
      </c>
      <c r="E39" s="15">
        <f>(Processed_Ratios!E39 / Processed_Ratios!$B$65) * 10</f>
        <v>0.9740739478</v>
      </c>
      <c r="F39" s="15">
        <f>(Processed_Ratios!F39 / Processed_Ratios!$B$65) * 10</f>
        <v>0</v>
      </c>
      <c r="G39" s="15">
        <f>(Processed_Ratios!G39 / Processed_Ratios!$B$65) * 10</f>
        <v>2.050442709</v>
      </c>
      <c r="H39" s="15">
        <f>(Processed_Ratios!H39 / Processed_Ratios!$B$65) * 10</f>
        <v>0.6569600255</v>
      </c>
      <c r="I39" s="15">
        <f>(Processed_Ratios!I39 / Processed_Ratios!$B$65) * 10</f>
        <v>0.84109069</v>
      </c>
      <c r="J39" s="15">
        <f>(Processed_Ratios!J39 / Processed_Ratios!$B$65) * 10</f>
        <v>0</v>
      </c>
      <c r="K39" s="15">
        <f>(Processed_Ratios!K39 / Processed_Ratios!$B$65) * 10</f>
        <v>1.249133336</v>
      </c>
      <c r="L39" s="15">
        <f>(Processed_Ratios!L39 / Processed_Ratios!$B$65) * 10</f>
        <v>1.142292086</v>
      </c>
      <c r="M39" s="15">
        <f>(Processed_Ratios!M39 / Processed_Ratios!$B$65) * 10</f>
        <v>1.26731908</v>
      </c>
    </row>
    <row r="40">
      <c r="A40" s="6" t="s">
        <v>6</v>
      </c>
      <c r="B40" s="8">
        <f>(Processed_Ratios!B40 / Processed_Ratios!$B$65) * 10</f>
        <v>3.590547959</v>
      </c>
      <c r="C40" s="8">
        <f>(Processed_Ratios!C40 / Processed_Ratios!$B$65) * 10</f>
        <v>4.17021857</v>
      </c>
      <c r="D40" s="8">
        <f>(Processed_Ratios!D40 / Processed_Ratios!$B$65) * 10</f>
        <v>4.731703436</v>
      </c>
      <c r="E40" s="15">
        <f>(Processed_Ratios!E40 / Processed_Ratios!$B$65) * 10</f>
        <v>4.847637558</v>
      </c>
      <c r="F40" s="15">
        <f>(Processed_Ratios!F40 / Processed_Ratios!$B$65) * 10</f>
        <v>5.540969073</v>
      </c>
      <c r="G40" s="15">
        <f>(Processed_Ratios!G40 / Processed_Ratios!$B$65) * 10</f>
        <v>4.706698037</v>
      </c>
      <c r="H40" s="15">
        <f>(Processed_Ratios!H40 / Processed_Ratios!$B$65) * 10</f>
        <v>3.082483718</v>
      </c>
      <c r="I40" s="15">
        <f>(Processed_Ratios!I40 / Processed_Ratios!$B$65) * 10</f>
        <v>4.981757425</v>
      </c>
      <c r="J40" s="15">
        <f>(Processed_Ratios!J40 / Processed_Ratios!$B$65) * 10</f>
        <v>4.595310351</v>
      </c>
      <c r="K40" s="15">
        <f>(Processed_Ratios!K40 / Processed_Ratios!$B$65) * 10</f>
        <v>2.086814199</v>
      </c>
      <c r="L40" s="15">
        <f>(Processed_Ratios!L40 / Processed_Ratios!$B$65) * 10</f>
        <v>2.217524238</v>
      </c>
      <c r="M40" s="15">
        <f>(Processed_Ratios!M40 / Processed_Ratios!$B$65) * 10</f>
        <v>2.226617111</v>
      </c>
    </row>
    <row r="41">
      <c r="A41" s="6" t="s">
        <v>7</v>
      </c>
      <c r="B41" s="8">
        <f>(Processed_Ratios!B41 / Processed_Ratios!$B$65) * 10</f>
        <v>1.567383867</v>
      </c>
      <c r="C41" s="8">
        <f>(Processed_Ratios!C41 / Processed_Ratios!$B$65) * 10</f>
        <v>3.463247747</v>
      </c>
      <c r="D41" s="8">
        <f>(Processed_Ratios!D41 / Processed_Ratios!$B$65) * 10</f>
        <v>2.311862789</v>
      </c>
      <c r="E41" s="15">
        <f>(Processed_Ratios!E41 / Processed_Ratios!$B$65) * 10</f>
        <v>0</v>
      </c>
      <c r="F41" s="15">
        <f>(Processed_Ratios!F41 / Processed_Ratios!$B$65) * 10</f>
        <v>0</v>
      </c>
      <c r="G41" s="15">
        <f>(Processed_Ratios!G41 / Processed_Ratios!$B$65) * 10</f>
        <v>0</v>
      </c>
      <c r="H41" s="15">
        <f>(Processed_Ratios!H41 / Processed_Ratios!$B$65) * 10</f>
        <v>10</v>
      </c>
      <c r="I41" s="15">
        <f>(Processed_Ratios!I41 / Processed_Ratios!$B$65) * 10</f>
        <v>10</v>
      </c>
      <c r="J41" s="15">
        <f>(Processed_Ratios!J41 / Processed_Ratios!$B$65) * 10</f>
        <v>1.956104159</v>
      </c>
      <c r="K41" s="15">
        <f>(Processed_Ratios!K41 / Processed_Ratios!$B$65) * 10</f>
        <v>1.997022084</v>
      </c>
      <c r="L41" s="15">
        <f>(Processed_Ratios!L41 / Processed_Ratios!$B$65) * 10</f>
        <v>3.784908105</v>
      </c>
      <c r="M41" s="15">
        <f>(Processed_Ratios!M41 / Processed_Ratios!$B$65) * 10</f>
        <v>0</v>
      </c>
    </row>
    <row r="42">
      <c r="A42" s="6" t="s">
        <v>8</v>
      </c>
      <c r="B42" s="8">
        <f>(Processed_Ratios!B42 / Processed_Ratios!$B$65) * 10</f>
        <v>10</v>
      </c>
      <c r="C42" s="8">
        <f>(Processed_Ratios!C42 / Processed_Ratios!$B$65) * 10</f>
        <v>10</v>
      </c>
      <c r="D42" s="8">
        <f>(Processed_Ratios!D42 / Processed_Ratios!$B$65) * 10</f>
        <v>9.945329105</v>
      </c>
      <c r="E42" s="15">
        <f>(Processed_Ratios!E42 / Processed_Ratios!$B$65) * 10</f>
        <v>9.590707084</v>
      </c>
      <c r="F42" s="15">
        <f>(Processed_Ratios!F42 / Processed_Ratios!$B$65) * 10</f>
        <v>3.321171617</v>
      </c>
      <c r="G42" s="15">
        <f>(Processed_Ratios!G42 / Processed_Ratios!$B$65) * 10</f>
        <v>1.394619293</v>
      </c>
      <c r="H42" s="15">
        <f>(Processed_Ratios!H42 / Processed_Ratios!$B$65) * 10</f>
        <v>1.233220809</v>
      </c>
      <c r="I42" s="15">
        <f>(Processed_Ratios!I42 / Processed_Ratios!$B$65) * 10</f>
        <v>2.205021539</v>
      </c>
      <c r="J42" s="15">
        <f>(Processed_Ratios!J42 / Processed_Ratios!$B$65) * 10</f>
        <v>4.471419966</v>
      </c>
      <c r="K42" s="15">
        <f>(Processed_Ratios!K42 / Processed_Ratios!$B$65) * 10</f>
        <v>5.47277253</v>
      </c>
      <c r="L42" s="15">
        <f>(Processed_Ratios!L42 / Processed_Ratios!$B$65) * 10</f>
        <v>3.705345472</v>
      </c>
      <c r="M42" s="15">
        <f>(Processed_Ratios!M42 / Processed_Ratios!$B$65) * 10</f>
        <v>1.221854719</v>
      </c>
    </row>
    <row r="43">
      <c r="A43" s="6" t="s">
        <v>9</v>
      </c>
      <c r="B43" s="8">
        <f>(Processed_Ratios!B43 / Processed_Ratios!$B$65) * 10</f>
        <v>2.847205647</v>
      </c>
      <c r="C43" s="8">
        <f>(Processed_Ratios!C43 / Processed_Ratios!$B$65) * 10</f>
        <v>2.771052841</v>
      </c>
      <c r="D43" s="8">
        <f>(Processed_Ratios!D43 / Processed_Ratios!$B$65) * 10</f>
        <v>2.735817961</v>
      </c>
      <c r="E43" s="15">
        <f>(Processed_Ratios!E43 / Processed_Ratios!$B$65) * 10</f>
        <v>2.646025846</v>
      </c>
      <c r="F43" s="15">
        <f>(Processed_Ratios!F43 / Processed_Ratios!$B$65) * 10</f>
        <v>1.311646833</v>
      </c>
      <c r="G43" s="15">
        <f>(Processed_Ratios!G43 / Processed_Ratios!$B$65) * 10</f>
        <v>0</v>
      </c>
      <c r="H43" s="15">
        <f>(Processed_Ratios!H43 / Processed_Ratios!$B$65) * 10</f>
        <v>2.117502643</v>
      </c>
      <c r="I43" s="15">
        <f>(Processed_Ratios!I43 / Processed_Ratios!$B$65) * 10</f>
        <v>2.195928666</v>
      </c>
      <c r="J43" s="15">
        <f>(Processed_Ratios!J43 / Processed_Ratios!$B$65) * 10</f>
        <v>2.368693241</v>
      </c>
      <c r="K43" s="15">
        <f>(Processed_Ratios!K43 / Processed_Ratios!$B$65) * 10</f>
        <v>2.349370887</v>
      </c>
      <c r="L43" s="15">
        <f>(Processed_Ratios!L43 / Processed_Ratios!$B$65) * 10</f>
        <v>0</v>
      </c>
      <c r="M43" s="15">
        <f>(Processed_Ratios!M43 / Processed_Ratios!$B$65) * 10</f>
        <v>0</v>
      </c>
    </row>
    <row r="44">
      <c r="A44" s="6" t="s">
        <v>10</v>
      </c>
      <c r="B44" s="8">
        <f>(Processed_Ratios!B44 / Processed_Ratios!$B$65) * 10</f>
        <v>10</v>
      </c>
      <c r="C44" s="8">
        <f>(Processed_Ratios!C44 / Processed_Ratios!$B$65) * 10</f>
        <v>10</v>
      </c>
      <c r="D44" s="8">
        <f>(Processed_Ratios!D44 / Processed_Ratios!$B$65) * 10</f>
        <v>9.499778361</v>
      </c>
      <c r="E44" s="15">
        <f>(Processed_Ratios!E44 / Processed_Ratios!$B$65) * 10</f>
        <v>9.624805356</v>
      </c>
      <c r="F44" s="15">
        <f>(Processed_Ratios!F44 / Processed_Ratios!$B$65) * 10</f>
        <v>10</v>
      </c>
      <c r="G44" s="15">
        <f>(Processed_Ratios!G44 / Processed_Ratios!$B$65) * 10</f>
        <v>8.751889613</v>
      </c>
      <c r="H44" s="15">
        <f>(Processed_Ratios!H44 / Processed_Ratios!$B$65) * 10</f>
        <v>8.534797286</v>
      </c>
      <c r="I44" s="15">
        <f>(Processed_Ratios!I44 / Processed_Ratios!$B$65) * 10</f>
        <v>8.492742751</v>
      </c>
      <c r="J44" s="15">
        <f>(Processed_Ratios!J44 / Processed_Ratios!$B$65) * 10</f>
        <v>9.067866926</v>
      </c>
      <c r="K44" s="15">
        <f>(Processed_Ratios!K44 / Processed_Ratios!$B$65) * 10</f>
        <v>9.209943056</v>
      </c>
      <c r="L44" s="15">
        <f>(Processed_Ratios!L44 / Processed_Ratios!$B$65) * 10</f>
        <v>8.454098044</v>
      </c>
      <c r="M44" s="15">
        <f>(Processed_Ratios!M44 / Processed_Ratios!$B$65) * 10</f>
        <v>8.098339414</v>
      </c>
    </row>
    <row r="45">
      <c r="A45" s="6" t="s">
        <v>11</v>
      </c>
      <c r="B45" s="8">
        <f>(Processed_Ratios!B45 / Processed_Ratios!$B$65) * 10</f>
        <v>1.750377923</v>
      </c>
      <c r="C45" s="8">
        <f>(Processed_Ratios!C45 / Processed_Ratios!$B$65) * 10</f>
        <v>1.807208375</v>
      </c>
      <c r="D45" s="8">
        <f>(Processed_Ratios!D45 / Processed_Ratios!$B$65) * 10</f>
        <v>1.864038827</v>
      </c>
      <c r="E45" s="15">
        <f>(Processed_Ratios!E45 / Processed_Ratios!$B$65) * 10</f>
        <v>1.568520476</v>
      </c>
      <c r="F45" s="15">
        <f>(Processed_Ratios!F45 / Processed_Ratios!$B$65) * 10</f>
        <v>0.8524567804</v>
      </c>
      <c r="G45" s="15">
        <f>(Processed_Ratios!G45 / Processed_Ratios!$B$65) * 10</f>
        <v>0</v>
      </c>
      <c r="H45" s="15">
        <f>(Processed_Ratios!H45 / Processed_Ratios!$B$65) * 10</f>
        <v>1.704913561</v>
      </c>
      <c r="I45" s="15">
        <f>(Processed_Ratios!I45 / Processed_Ratios!$B$65) * 10</f>
        <v>1.363930849</v>
      </c>
      <c r="J45" s="15">
        <f>(Processed_Ratios!J45 / Processed_Ratios!$B$65) * 10</f>
        <v>1.591252657</v>
      </c>
      <c r="K45" s="15">
        <f>(Processed_Ratios!K45 / Processed_Ratios!$B$65) * 10</f>
        <v>3.296166218</v>
      </c>
      <c r="L45" s="15">
        <f>(Processed_Ratios!L45 / Processed_Ratios!$B$65) * 10</f>
        <v>2.727861697</v>
      </c>
      <c r="M45" s="15">
        <f>(Processed_Ratios!M45 / Processed_Ratios!$B$65) * 10</f>
        <v>2.727861697</v>
      </c>
    </row>
    <row r="46">
      <c r="A46" s="6" t="s">
        <v>12</v>
      </c>
      <c r="B46" s="8">
        <f>(Processed_Ratios!B46 / Processed_Ratios!$B$65) * 10</f>
        <v>8.634818881</v>
      </c>
      <c r="C46" s="8">
        <f>(Processed_Ratios!C46 / Processed_Ratios!$B$65) * 10</f>
        <v>6.365010627</v>
      </c>
      <c r="D46" s="8">
        <f>(Processed_Ratios!D46 / Processed_Ratios!$B$65) * 10</f>
        <v>6.429797343</v>
      </c>
      <c r="E46" s="15">
        <f>(Processed_Ratios!E46 / Processed_Ratios!$B$65) * 10</f>
        <v>6.504813539</v>
      </c>
      <c r="F46" s="15">
        <f>(Processed_Ratios!F46 / Processed_Ratios!$B$65) * 10</f>
        <v>5.355701799</v>
      </c>
      <c r="G46" s="15">
        <f>(Processed_Ratios!G46 / Processed_Ratios!$B$65) * 10</f>
        <v>6.518452848</v>
      </c>
      <c r="H46" s="15">
        <f>(Processed_Ratios!H46 / Processed_Ratios!$B$65) * 10</f>
        <v>10</v>
      </c>
      <c r="I46" s="15">
        <f>(Processed_Ratios!I46 / Processed_Ratios!$B$65) * 10</f>
        <v>5.29546152</v>
      </c>
      <c r="J46" s="15">
        <f>(Processed_Ratios!J46 / Processed_Ratios!$B$65) * 10</f>
        <v>5.504597584</v>
      </c>
      <c r="K46" s="15">
        <f>(Processed_Ratios!K46 / Processed_Ratios!$B$65) * 10</f>
        <v>5.741012264</v>
      </c>
      <c r="L46" s="15">
        <f>(Processed_Ratios!L46 / Processed_Ratios!$B$65) * 10</f>
        <v>4.676009593</v>
      </c>
      <c r="M46" s="15">
        <f>(Processed_Ratios!M46 / Processed_Ratios!$B$65) * 10</f>
        <v>3.845148384</v>
      </c>
    </row>
    <row r="47">
      <c r="A47" s="6" t="s">
        <v>13</v>
      </c>
      <c r="B47" s="8">
        <f>(Processed_Ratios!B47 / Processed_Ratios!$B$65) * 10</f>
        <v>2.659665155</v>
      </c>
      <c r="C47" s="8">
        <f>(Processed_Ratios!C47 / Processed_Ratios!$B$65) * 10</f>
        <v>4.660097066</v>
      </c>
      <c r="D47" s="8">
        <f>(Processed_Ratios!D47 / Processed_Ratios!$B$65) * 10</f>
        <v>4.411179687</v>
      </c>
      <c r="E47" s="15">
        <f>(Processed_Ratios!E47 / Processed_Ratios!$B$65) * 10</f>
        <v>4.823768768</v>
      </c>
      <c r="F47" s="15">
        <f>(Processed_Ratios!F47 / Processed_Ratios!$B$65) * 10</f>
        <v>5.312510656</v>
      </c>
      <c r="G47" s="15">
        <f>(Processed_Ratios!G47 / Processed_Ratios!$B$65) * 10</f>
        <v>5.234084632</v>
      </c>
      <c r="H47" s="15">
        <f>(Processed_Ratios!H47 / Processed_Ratios!$B$65) * 10</f>
        <v>5.672815722</v>
      </c>
      <c r="I47" s="15">
        <f>(Processed_Ratios!I47 / Processed_Ratios!$B$65) * 10</f>
        <v>5.818301679</v>
      </c>
      <c r="J47" s="15">
        <f>(Processed_Ratios!J47 / Processed_Ratios!$B$65) * 10</f>
        <v>7.555040293</v>
      </c>
      <c r="K47" s="15">
        <f>(Processed_Ratios!K47 / Processed_Ratios!$B$65) * 10</f>
        <v>6.093361067</v>
      </c>
      <c r="L47" s="15">
        <f>(Processed_Ratios!L47 / Processed_Ratios!$B$65) * 10</f>
        <v>5.892181266</v>
      </c>
      <c r="M47" s="15">
        <f>(Processed_Ratios!M47 / Processed_Ratios!$B$65) * 10</f>
        <v>6.099044112</v>
      </c>
    </row>
    <row r="48">
      <c r="A48" s="6" t="s">
        <v>14</v>
      </c>
      <c r="B48" s="8">
        <f>(Processed_Ratios!B48 / Processed_Ratios!$B$65) * 10</f>
        <v>1.777656539</v>
      </c>
      <c r="C48" s="8">
        <f>(Processed_Ratios!C48 / Processed_Ratios!$B$65) * 10</f>
        <v>1.917459451</v>
      </c>
      <c r="D48" s="8">
        <f>(Processed_Ratios!D48 / Processed_Ratios!$B$65) * 10</f>
        <v>1.627624146</v>
      </c>
      <c r="E48" s="15">
        <f>(Processed_Ratios!E48 / Processed_Ratios!$B$65) * 10</f>
        <v>1.782202976</v>
      </c>
      <c r="F48" s="15">
        <f>(Processed_Ratios!F48 / Processed_Ratios!$B$65) * 10</f>
        <v>1.74128505</v>
      </c>
      <c r="G48" s="15">
        <f>(Processed_Ratios!G48 / Processed_Ratios!$B$65) * 10</f>
        <v>1.616258056</v>
      </c>
      <c r="H48" s="15">
        <f>(Processed_Ratios!H48 / Processed_Ratios!$B$65) * 10</f>
        <v>1.914049624</v>
      </c>
      <c r="I48" s="15">
        <f>(Processed_Ratios!I48 / Processed_Ratios!$B$65) * 10</f>
        <v>1.615121447</v>
      </c>
      <c r="J48" s="15">
        <f>(Processed_Ratios!J48 / Processed_Ratios!$B$65) * 10</f>
        <v>1.67081529</v>
      </c>
      <c r="K48" s="15">
        <f>(Processed_Ratios!K48 / Processed_Ratios!$B$65) * 10</f>
        <v>1.654902763</v>
      </c>
      <c r="L48" s="15">
        <f>(Processed_Ratios!L48 / Processed_Ratios!$B$65) * 10</f>
        <v>1.744694877</v>
      </c>
      <c r="M48" s="15">
        <f>(Processed_Ratios!M48 / Processed_Ratios!$B$65) * 10</f>
        <v>1.702640343</v>
      </c>
    </row>
    <row r="49">
      <c r="A49" s="6" t="s">
        <v>15</v>
      </c>
      <c r="B49" s="8">
        <f>(Processed_Ratios!B49 / Processed_Ratios!$B$65) * 10</f>
        <v>2.909719144</v>
      </c>
      <c r="C49" s="8">
        <f>(Processed_Ratios!C49 / Processed_Ratios!$B$65) * 10</f>
        <v>3.670110592</v>
      </c>
      <c r="D49" s="8">
        <f>(Processed_Ratios!D49 / Processed_Ratios!$B$65) * 10</f>
        <v>3.355269888</v>
      </c>
      <c r="E49" s="15">
        <f>(Processed_Ratios!E49 / Processed_Ratios!$B$65) * 10</f>
        <v>3.314351962</v>
      </c>
      <c r="F49" s="15">
        <f>(Processed_Ratios!F49 / Processed_Ratios!$B$65) * 10</f>
        <v>3.581455087</v>
      </c>
      <c r="G49" s="15">
        <f>(Processed_Ratios!G49 / Processed_Ratios!$B$65) * 10</f>
        <v>4.677146202</v>
      </c>
      <c r="H49" s="15">
        <f>(Processed_Ratios!H49 / Processed_Ratios!$B$65) * 10</f>
        <v>0</v>
      </c>
      <c r="I49" s="15">
        <f>(Processed_Ratios!I49 / Processed_Ratios!$B$65) * 10</f>
        <v>0</v>
      </c>
      <c r="J49" s="15">
        <f>(Processed_Ratios!J49 / Processed_Ratios!$B$65) * 10</f>
        <v>0</v>
      </c>
      <c r="K49" s="15">
        <f>(Processed_Ratios!K49 / Processed_Ratios!$B$65) * 10</f>
        <v>0</v>
      </c>
      <c r="L49" s="15">
        <f>(Processed_Ratios!L49 / Processed_Ratios!$B$65) * 10</f>
        <v>3.603050659</v>
      </c>
      <c r="M49" s="15">
        <f>(Processed_Ratios!M49 / Processed_Ratios!$B$65) * 10</f>
        <v>3.062024755</v>
      </c>
    </row>
    <row r="50">
      <c r="A50" s="6" t="s">
        <v>16</v>
      </c>
      <c r="B50" s="8">
        <f>(Processed_Ratios!B50 / Processed_Ratios!$B$65) * 10</f>
        <v>2.067491845</v>
      </c>
      <c r="C50" s="8">
        <f>(Processed_Ratios!C50 / Processed_Ratios!$B$65) * 10</f>
        <v>1.825394119</v>
      </c>
      <c r="D50" s="8">
        <f>(Processed_Ratios!D50 / Processed_Ratios!$B$65) * 10</f>
        <v>1.419624692</v>
      </c>
      <c r="E50" s="15">
        <f>(Processed_Ratios!E50 / Processed_Ratios!$B$65) * 10</f>
        <v>1.691274252</v>
      </c>
      <c r="F50" s="15">
        <f>(Processed_Ratios!F50 / Processed_Ratios!$B$65) * 10</f>
        <v>1.643536673</v>
      </c>
      <c r="G50" s="15">
        <f>(Processed_Ratios!G50 / Processed_Ratios!$B$65) * 10</f>
        <v>10</v>
      </c>
      <c r="H50" s="15">
        <f>(Processed_Ratios!H50 / Processed_Ratios!$B$65) * 10</f>
        <v>2.003841739</v>
      </c>
      <c r="I50" s="15">
        <f>(Processed_Ratios!I50 / Processed_Ratios!$B$65) * 10</f>
        <v>1.283231607</v>
      </c>
      <c r="J50" s="15">
        <f>(Processed_Ratios!J50 / Processed_Ratios!$B$65) * 10</f>
        <v>2.377786113</v>
      </c>
      <c r="K50" s="15">
        <f>(Processed_Ratios!K50 / Processed_Ratios!$B$65) * 10</f>
        <v>2.79605824</v>
      </c>
      <c r="L50" s="15">
        <f>(Processed_Ratios!L50 / Processed_Ratios!$B$65) * 10</f>
        <v>2.699446471</v>
      </c>
      <c r="M50" s="15">
        <f>(Processed_Ratios!M50 / Processed_Ratios!$B$65) * 10</f>
        <v>2.099316898</v>
      </c>
    </row>
    <row r="51">
      <c r="A51" s="6" t="s">
        <v>17</v>
      </c>
      <c r="B51" s="8">
        <f>(Processed_Ratios!B51 / Processed_Ratios!$B$65) * 10</f>
        <v>3.0802105</v>
      </c>
      <c r="C51" s="8">
        <f>(Processed_Ratios!C51 / Processed_Ratios!$B$65) * 10</f>
        <v>2.290267217</v>
      </c>
      <c r="D51" s="8">
        <f>(Processed_Ratios!D51 / Processed_Ratios!$B$65) * 10</f>
        <v>2.508496153</v>
      </c>
      <c r="E51" s="15">
        <f>(Processed_Ratios!E51 / Processed_Ratios!$B$65) * 10</f>
        <v>3.982678078</v>
      </c>
      <c r="F51" s="15">
        <f>(Processed_Ratios!F51 / Processed_Ratios!$B$65) * 10</f>
        <v>4.693058729</v>
      </c>
      <c r="G51" s="15">
        <f>(Processed_Ratios!G51 / Processed_Ratios!$B$65) * 10</f>
        <v>4.838544686</v>
      </c>
      <c r="H51" s="15">
        <f>(Processed_Ratios!H51 / Processed_Ratios!$B$65) * 10</f>
        <v>3.590547959</v>
      </c>
      <c r="I51" s="15">
        <f>(Processed_Ratios!I51 / Processed_Ratios!$B$65) * 10</f>
        <v>3.267750992</v>
      </c>
      <c r="J51" s="15">
        <f>(Processed_Ratios!J51 / Processed_Ratios!$B$65) * 10</f>
        <v>1.59920892</v>
      </c>
      <c r="K51" s="15">
        <f>(Processed_Ratios!K51 / Processed_Ratios!$B$65) * 10</f>
        <v>1.561700822</v>
      </c>
      <c r="L51" s="15">
        <f>(Processed_Ratios!L51 / Processed_Ratios!$B$65) * 10</f>
        <v>2.253895727</v>
      </c>
      <c r="M51" s="15">
        <f>(Processed_Ratios!M51 / Processed_Ratios!$B$65) * 10</f>
        <v>1.443493482</v>
      </c>
    </row>
    <row r="52">
      <c r="A52" s="6" t="s">
        <v>18</v>
      </c>
      <c r="B52" s="8">
        <f>(Processed_Ratios!B52 / Processed_Ratios!$B$65) * 10</f>
        <v>3.881519874</v>
      </c>
      <c r="C52" s="8">
        <f>(Processed_Ratios!C52 / Processed_Ratios!$B$65) * 10</f>
        <v>3.971311988</v>
      </c>
      <c r="D52" s="8">
        <f>(Processed_Ratios!D52 / Processed_Ratios!$B$65) * 10</f>
        <v>2.768779623</v>
      </c>
      <c r="E52" s="15">
        <f>(Processed_Ratios!E52 / Processed_Ratios!$B$65) * 10</f>
        <v>2.642616019</v>
      </c>
      <c r="F52" s="15">
        <f>(Processed_Ratios!F52 / Processed_Ratios!$B$65) * 10</f>
        <v>4.295245564</v>
      </c>
      <c r="G52" s="15">
        <f>(Processed_Ratios!G52 / Processed_Ratios!$B$65) * 10</f>
        <v>0.4841954513</v>
      </c>
      <c r="H52" s="15">
        <f>(Processed_Ratios!H52 / Processed_Ratios!$B$65) * 10</f>
        <v>2.498266671</v>
      </c>
      <c r="I52" s="15">
        <f>(Processed_Ratios!I52 / Processed_Ratios!$B$65) * 10</f>
        <v>4.354349234</v>
      </c>
      <c r="J52" s="15">
        <f>(Processed_Ratios!J52 / Processed_Ratios!$B$65) * 10</f>
        <v>3.811050113</v>
      </c>
      <c r="K52" s="15">
        <f>(Processed_Ratios!K52 / Processed_Ratios!$B$65) * 10</f>
        <v>2.906309317</v>
      </c>
      <c r="L52" s="15">
        <f>(Processed_Ratios!L52 / Processed_Ratios!$B$65) * 10</f>
        <v>2.34596106</v>
      </c>
      <c r="M52" s="15">
        <f>(Processed_Ratios!M52 / Processed_Ratios!$B$65) * 10</f>
        <v>4.77489458</v>
      </c>
    </row>
    <row r="53">
      <c r="A53" s="6" t="s">
        <v>19</v>
      </c>
      <c r="B53" s="8">
        <f>(Processed_Ratios!B53 / Processed_Ratios!$B$65) * 10</f>
        <v>5.277275775</v>
      </c>
      <c r="C53" s="8">
        <f>(Processed_Ratios!C53 / Processed_Ratios!$B$65) * 10</f>
        <v>5.76942749</v>
      </c>
      <c r="D53" s="8">
        <f>(Processed_Ratios!D53 / Processed_Ratios!$B$65) * 10</f>
        <v>5.1420193</v>
      </c>
      <c r="E53" s="15">
        <f>(Processed_Ratios!E53 / Processed_Ratios!$B$65) * 10</f>
        <v>5.889908048</v>
      </c>
      <c r="F53" s="15">
        <f>(Processed_Ratios!F53 / Processed_Ratios!$B$65) * 10</f>
        <v>6.441163433</v>
      </c>
      <c r="G53" s="15">
        <f>(Processed_Ratios!G53 / Processed_Ratios!$B$65) * 10</f>
        <v>3.204100885</v>
      </c>
      <c r="H53" s="15">
        <f>(Processed_Ratios!H53 / Processed_Ratios!$B$65) * 10</f>
        <v>5.113604074</v>
      </c>
      <c r="I53" s="15">
        <f>(Processed_Ratios!I53 / Processed_Ratios!$B$65) * 10</f>
        <v>4.203180232</v>
      </c>
      <c r="J53" s="15">
        <f>(Processed_Ratios!J53 / Processed_Ratios!$B$65) * 10</f>
        <v>0.7978995465</v>
      </c>
      <c r="K53" s="15">
        <f>(Processed_Ratios!K53 / Processed_Ratios!$B$65) * 10</f>
        <v>2.104999943</v>
      </c>
      <c r="L53" s="15">
        <f>(Processed_Ratios!L53 / Processed_Ratios!$B$65) * 10</f>
        <v>2.518725634</v>
      </c>
      <c r="M53" s="15">
        <f>(Processed_Ratios!M53 / Processed_Ratios!$B$65) * 10</f>
        <v>3.512121935</v>
      </c>
    </row>
    <row r="54">
      <c r="A54" s="6" t="s">
        <v>20</v>
      </c>
      <c r="B54" s="8">
        <f>(Processed_Ratios!B54 / Processed_Ratios!$B$65) * 10</f>
        <v>1.103647378</v>
      </c>
      <c r="C54" s="8">
        <f>(Processed_Ratios!C54 / Processed_Ratios!$B$65) * 10</f>
        <v>0.9933963015</v>
      </c>
      <c r="D54" s="8">
        <f>(Processed_Ratios!D54 / Processed_Ratios!$B$65) * 10</f>
        <v>0.8660960889</v>
      </c>
      <c r="E54" s="15">
        <f>(Processed_Ratios!E54 / Processed_Ratios!$B$65) * 10</f>
        <v>0.8035825917</v>
      </c>
      <c r="F54" s="15">
        <f>(Processed_Ratios!F54 / Processed_Ratios!$B$65) * 10</f>
        <v>0.9070140144</v>
      </c>
      <c r="G54" s="15">
        <f>(Processed_Ratios!G54 / Processed_Ratios!$B$65) * 10</f>
        <v>1.111603642</v>
      </c>
      <c r="H54" s="15">
        <f>(Processed_Ratios!H54 / Processed_Ratios!$B$65) * 10</f>
        <v>1.019538309</v>
      </c>
      <c r="I54" s="15">
        <f>(Processed_Ratios!I54 / Processed_Ratios!$B$65) * 10</f>
        <v>1.025221355</v>
      </c>
      <c r="J54" s="15">
        <f>(Processed_Ratios!J54 / Processed_Ratios!$B$65) * 10</f>
        <v>0</v>
      </c>
      <c r="K54" s="15">
        <f>(Processed_Ratios!K54 / Processed_Ratios!$B$65) * 10</f>
        <v>2.307316352</v>
      </c>
      <c r="L54" s="15">
        <f>(Processed_Ratios!L54 / Processed_Ratios!$B$65) * 10</f>
        <v>1.419624692</v>
      </c>
      <c r="M54" s="15">
        <f>(Processed_Ratios!M54 / Processed_Ratios!$B$65) * 10</f>
        <v>1.410531819</v>
      </c>
    </row>
    <row r="55">
      <c r="A55" s="6" t="s">
        <v>21</v>
      </c>
      <c r="B55" s="8">
        <f>(Processed_Ratios!B55 / Processed_Ratios!$B$65) * 10</f>
        <v>2.27435469</v>
      </c>
      <c r="C55" s="8">
        <f>(Processed_Ratios!C55 / Processed_Ratios!$B$65) * 10</f>
        <v>2.275491299</v>
      </c>
      <c r="D55" s="8">
        <f>(Processed_Ratios!D55 / Processed_Ratios!$B$65) * 10</f>
        <v>2.282310954</v>
      </c>
      <c r="E55" s="15">
        <f>(Processed_Ratios!E55 / Processed_Ratios!$B$65) * 10</f>
        <v>2.273218081</v>
      </c>
      <c r="F55" s="15">
        <f>(Processed_Ratios!F55 / Processed_Ratios!$B$65) * 10</f>
        <v>1.987929212</v>
      </c>
      <c r="G55" s="15">
        <f>(Processed_Ratios!G55 / Processed_Ratios!$B$65) * 10</f>
        <v>0</v>
      </c>
      <c r="H55" s="15">
        <f>(Processed_Ratios!H55 / Processed_Ratios!$B$65) * 10</f>
        <v>0</v>
      </c>
      <c r="I55" s="15">
        <f>(Processed_Ratios!I55 / Processed_Ratios!$B$65) * 10</f>
        <v>0</v>
      </c>
      <c r="J55" s="15">
        <f>(Processed_Ratios!J55 / Processed_Ratios!$B$65) * 10</f>
        <v>2.285720781</v>
      </c>
      <c r="K55" s="15">
        <f>(Processed_Ratios!K55 / Processed_Ratios!$B$65) * 10</f>
        <v>2.305043134</v>
      </c>
      <c r="L55" s="15">
        <f>(Processed_Ratios!L55 / Processed_Ratios!$B$65) * 10</f>
        <v>2.297086871</v>
      </c>
      <c r="M55" s="15">
        <f>(Processed_Ratios!M55 / Processed_Ratios!$B$65) * 10</f>
        <v>2.336868187</v>
      </c>
    </row>
    <row r="56">
      <c r="A56" s="6" t="s">
        <v>22</v>
      </c>
      <c r="B56" s="8">
        <f>(Processed_Ratios!B56 / Processed_Ratios!$B$65) * 10</f>
        <v>3.757629488</v>
      </c>
      <c r="C56" s="8">
        <f>(Processed_Ratios!C56 / Processed_Ratios!$B$65) * 10</f>
        <v>3.439378957</v>
      </c>
      <c r="D56" s="8">
        <f>(Processed_Ratios!D56 / Processed_Ratios!$B$65) * 10</f>
        <v>3.379138678</v>
      </c>
      <c r="E56" s="15">
        <f>(Processed_Ratios!E56 / Processed_Ratios!$B$65) * 10</f>
        <v>7.497073232</v>
      </c>
      <c r="F56" s="15">
        <f>(Processed_Ratios!F56 / Processed_Ratios!$B$65) * 10</f>
        <v>6.10131733</v>
      </c>
      <c r="G56" s="15">
        <f>(Processed_Ratios!G56 / Processed_Ratios!$B$65) * 10</f>
        <v>4.162262307</v>
      </c>
      <c r="H56" s="15">
        <f>(Processed_Ratios!H56 / Processed_Ratios!$B$65) * 10</f>
        <v>2.042486446</v>
      </c>
      <c r="I56" s="15">
        <f>(Processed_Ratios!I56 / Processed_Ratios!$B$65) * 10</f>
        <v>4.19408736</v>
      </c>
      <c r="J56" s="15">
        <f>(Processed_Ratios!J56 / Processed_Ratios!$B$65) * 10</f>
        <v>0.392130119</v>
      </c>
      <c r="K56" s="15">
        <f>(Processed_Ratios!K56 / Processed_Ratios!$B$65) * 10</f>
        <v>1.804935156</v>
      </c>
      <c r="L56" s="15">
        <f>(Processed_Ratios!L56 / Processed_Ratios!$B$65) * 10</f>
        <v>1.807208375</v>
      </c>
      <c r="M56" s="15">
        <f>(Processed_Ratios!M56 / Processed_Ratios!$B$65) * 10</f>
        <v>1.122969732</v>
      </c>
    </row>
    <row r="57">
      <c r="A57" s="6" t="s">
        <v>23</v>
      </c>
      <c r="B57" s="8">
        <f>(Processed_Ratios!B57 / Processed_Ratios!$B$65) * 10</f>
        <v>0.9433855037</v>
      </c>
      <c r="C57" s="8">
        <f>(Processed_Ratios!C57 / Processed_Ratios!$B$65) * 10</f>
        <v>0.2784692149</v>
      </c>
      <c r="D57" s="8">
        <f>(Processed_Ratios!D57 / Processed_Ratios!$B$65) * 10</f>
        <v>0</v>
      </c>
      <c r="E57" s="15">
        <f>(Processed_Ratios!E57 / Processed_Ratios!$B$65) * 10</f>
        <v>0</v>
      </c>
      <c r="F57" s="15">
        <f>(Processed_Ratios!F57 / Processed_Ratios!$B$65) * 10</f>
        <v>0</v>
      </c>
      <c r="G57" s="15">
        <f>(Processed_Ratios!G57 / Processed_Ratios!$B$65) * 10</f>
        <v>0</v>
      </c>
      <c r="H57" s="15">
        <f>(Processed_Ratios!H57 / Processed_Ratios!$B$65) * 10</f>
        <v>0</v>
      </c>
      <c r="I57" s="15">
        <f>(Processed_Ratios!I57 / Processed_Ratios!$B$65) * 10</f>
        <v>0</v>
      </c>
      <c r="J57" s="15">
        <f>(Processed_Ratios!J57 / Processed_Ratios!$B$65) * 10</f>
        <v>0</v>
      </c>
      <c r="K57" s="15">
        <f>(Processed_Ratios!K57 / Processed_Ratios!$B$65) * 10</f>
        <v>0</v>
      </c>
      <c r="L57" s="15">
        <f>(Processed_Ratios!L57 / Processed_Ratios!$B$65) * 10</f>
        <v>0</v>
      </c>
      <c r="M57" s="15">
        <f>(Processed_Ratios!M57 / Processed_Ratios!$B$65) * 10</f>
        <v>0.5262499858</v>
      </c>
    </row>
    <row r="58">
      <c r="A58" s="6" t="s">
        <v>24</v>
      </c>
      <c r="B58" s="8">
        <f>(Processed_Ratios!B58 / Processed_Ratios!$B$65) * 10</f>
        <v>10</v>
      </c>
      <c r="C58" s="8">
        <f>(Processed_Ratios!C58 / Processed_Ratios!$B$65) * 10</f>
        <v>0</v>
      </c>
      <c r="D58" s="8">
        <f>(Processed_Ratios!D58 / Processed_Ratios!$B$65) * 10</f>
        <v>8.079017061</v>
      </c>
      <c r="E58" s="15">
        <f>(Processed_Ratios!E58 / Processed_Ratios!$B$65) * 10</f>
        <v>0.8501835624</v>
      </c>
      <c r="F58" s="15">
        <f>(Processed_Ratios!F58 / Processed_Ratios!$B$65) * 10</f>
        <v>1.736738614</v>
      </c>
      <c r="G58" s="15">
        <f>(Processed_Ratios!G58 / Processed_Ratios!$B$65) * 10</f>
        <v>10</v>
      </c>
      <c r="H58" s="15">
        <f>(Processed_Ratios!H58 / Processed_Ratios!$B$65) * 10</f>
        <v>1.273002125</v>
      </c>
      <c r="I58" s="15">
        <f>(Processed_Ratios!I58 / Processed_Ratios!$B$65) * 10</f>
        <v>1.045680317</v>
      </c>
      <c r="J58" s="15">
        <f>(Processed_Ratios!J58 / Processed_Ratios!$B$65) * 10</f>
        <v>0</v>
      </c>
      <c r="K58" s="15">
        <f>(Processed_Ratios!K58 / Processed_Ratios!$B$65) * 10</f>
        <v>0</v>
      </c>
      <c r="L58" s="15">
        <f>(Processed_Ratios!L58 / Processed_Ratios!$B$65) * 10</f>
        <v>0</v>
      </c>
      <c r="M58" s="15">
        <f>(Processed_Ratios!M58 / Processed_Ratios!$B$65) * 10</f>
        <v>3.069981019</v>
      </c>
    </row>
    <row r="59">
      <c r="A59" s="6" t="s">
        <v>25</v>
      </c>
      <c r="B59" s="8">
        <f>(Processed_Ratios!B59 / Processed_Ratios!$B$65) * 10</f>
        <v>10</v>
      </c>
      <c r="C59" s="8">
        <f>(Processed_Ratios!C59 / Processed_Ratios!$B$65) * 10</f>
        <v>6.222934497</v>
      </c>
      <c r="D59" s="8">
        <f>(Processed_Ratios!D59 / Processed_Ratios!$B$65) * 10</f>
        <v>10</v>
      </c>
      <c r="E59" s="15">
        <f>(Processed_Ratios!E59 / Processed_Ratios!$B$65) * 10</f>
        <v>3.948579807</v>
      </c>
      <c r="F59" s="15">
        <f>(Processed_Ratios!F59 / Processed_Ratios!$B$65) * 10</f>
        <v>3.801957241</v>
      </c>
      <c r="G59" s="15">
        <f>(Processed_Ratios!G59 / Processed_Ratios!$B$65) * 10</f>
        <v>10</v>
      </c>
      <c r="H59" s="15">
        <f>(Processed_Ratios!H59 / Processed_Ratios!$B$65) * 10</f>
        <v>3.640558757</v>
      </c>
      <c r="I59" s="15">
        <f>(Processed_Ratios!I59 / Processed_Ratios!$B$65) * 10</f>
        <v>4.084972892</v>
      </c>
      <c r="J59" s="15">
        <f>(Processed_Ratios!J59 / Processed_Ratios!$B$65) * 10</f>
        <v>3.961082506</v>
      </c>
      <c r="K59" s="15">
        <f>(Processed_Ratios!K59 / Processed_Ratios!$B$65) * 10</f>
        <v>3.742853571</v>
      </c>
      <c r="L59" s="15">
        <f>(Processed_Ratios!L59 / Processed_Ratios!$B$65) * 10</f>
        <v>8.858730862</v>
      </c>
      <c r="M59" s="15">
        <f>(Processed_Ratios!M59 / Processed_Ratios!$B$65) * 10</f>
        <v>3.716711563</v>
      </c>
    </row>
    <row r="60">
      <c r="A60" s="6" t="s">
        <v>26</v>
      </c>
      <c r="B60" s="8">
        <f>(Processed_Ratios!B60 / Processed_Ratios!$B$65) * 10</f>
        <v>10</v>
      </c>
      <c r="C60" s="8">
        <f>(Processed_Ratios!C60 / Processed_Ratios!$B$65) * 10</f>
        <v>10</v>
      </c>
      <c r="D60" s="8">
        <f>(Processed_Ratios!D60 / Processed_Ratios!$B$65) * 10</f>
        <v>10</v>
      </c>
      <c r="E60" s="15">
        <f>(Processed_Ratios!E60 / Processed_Ratios!$B$65) * 10</f>
        <v>8.129027858</v>
      </c>
      <c r="F60" s="15">
        <f>(Processed_Ratios!F60 / Processed_Ratios!$B$65) * 10</f>
        <v>4.514611109</v>
      </c>
      <c r="G60" s="15">
        <f>(Processed_Ratios!G60 / Processed_Ratios!$B$65) * 10</f>
        <v>7.021970653</v>
      </c>
      <c r="H60" s="15">
        <f>(Processed_Ratios!H60 / Processed_Ratios!$B$65) * 10</f>
        <v>3.941760153</v>
      </c>
      <c r="I60" s="15">
        <f>(Processed_Ratios!I60 / Processed_Ratios!$B$65) * 10</f>
        <v>2.822200248</v>
      </c>
      <c r="J60" s="15">
        <f>(Processed_Ratios!J60 / Processed_Ratios!$B$65) * 10</f>
        <v>5.006762824</v>
      </c>
      <c r="K60" s="15">
        <f>(Processed_Ratios!K60 / Processed_Ratios!$B$65) * 10</f>
        <v>2.106136552</v>
      </c>
      <c r="L60" s="15">
        <f>(Processed_Ratios!L60 / Processed_Ratios!$B$65) * 10</f>
        <v>2.505086325</v>
      </c>
      <c r="M60" s="15">
        <f>(Processed_Ratios!M60 / Processed_Ratios!$B$65) * 10</f>
        <v>1.751514532</v>
      </c>
    </row>
    <row r="61">
      <c r="A61" s="6" t="s">
        <v>27</v>
      </c>
      <c r="B61" s="8">
        <f>(Processed_Ratios!B61 / Processed_Ratios!$B$65) * 10</f>
        <v>3.323444835</v>
      </c>
      <c r="C61" s="8">
        <f>(Processed_Ratios!C61 / Processed_Ratios!$B$65) * 10</f>
        <v>2.886986963</v>
      </c>
      <c r="D61" s="8">
        <f>(Processed_Ratios!D61 / Processed_Ratios!$B$65) * 10</f>
        <v>2.328911924</v>
      </c>
      <c r="E61" s="15">
        <f>(Processed_Ratios!E61 / Processed_Ratios!$B$65) * 10</f>
        <v>1.856082563</v>
      </c>
      <c r="F61" s="15">
        <f>(Processed_Ratios!F61 / Processed_Ratios!$B$65) * 10</f>
        <v>4.14634978</v>
      </c>
      <c r="G61" s="15">
        <f>(Processed_Ratios!G61 / Processed_Ratios!$B$65) * 10</f>
        <v>3.359816324</v>
      </c>
      <c r="H61" s="15">
        <f>(Processed_Ratios!H61 / Processed_Ratios!$B$65) * 10</f>
        <v>2.693763426</v>
      </c>
      <c r="I61" s="15">
        <f>(Processed_Ratios!I61 / Processed_Ratios!$B$65) * 10</f>
        <v>2.320955661</v>
      </c>
      <c r="J61" s="15">
        <f>(Processed_Ratios!J61 / Processed_Ratios!$B$65) * 10</f>
        <v>0</v>
      </c>
      <c r="K61" s="15">
        <f>(Processed_Ratios!K61 / Processed_Ratios!$B$65) * 10</f>
        <v>6.730998738</v>
      </c>
      <c r="L61" s="15">
        <f>(Processed_Ratios!L61 / Processed_Ratios!$B$65) * 10</f>
        <v>2.842659211</v>
      </c>
      <c r="M61" s="15">
        <f>(Processed_Ratios!M61 / Processed_Ratios!$B$65) * 10</f>
        <v>2.882440527</v>
      </c>
    </row>
    <row r="62">
      <c r="A62" s="6" t="s">
        <v>28</v>
      </c>
      <c r="B62" s="8">
        <f>(Processed_Ratios!B62 / Processed_Ratios!$B$65) * 10</f>
        <v>0.8354076448</v>
      </c>
      <c r="C62" s="8">
        <f>(Processed_Ratios!C62 / Processed_Ratios!$B$65) * 10</f>
        <v>0.5978563553</v>
      </c>
      <c r="D62" s="8">
        <f>(Processed_Ratios!D62 / Processed_Ratios!$B$65) * 10</f>
        <v>0.9990793467</v>
      </c>
      <c r="E62" s="15">
        <f>(Processed_Ratios!E62 / Processed_Ratios!$B$65) * 10</f>
        <v>4.580534434</v>
      </c>
      <c r="F62" s="15">
        <f>(Processed_Ratios!F62 / Processed_Ratios!$B$65) * 10</f>
        <v>0</v>
      </c>
      <c r="G62" s="15">
        <f>(Processed_Ratios!G62 / Processed_Ratios!$B$65) * 10</f>
        <v>4.820358941</v>
      </c>
      <c r="H62" s="15">
        <f>(Processed_Ratios!H62 / Processed_Ratios!$B$65) * 10</f>
        <v>5.400029552</v>
      </c>
      <c r="I62" s="15">
        <f>(Processed_Ratios!I62 / Processed_Ratios!$B$65) * 10</f>
        <v>5.227264978</v>
      </c>
      <c r="J62" s="15">
        <f>(Processed_Ratios!J62 / Processed_Ratios!$B$65) * 10</f>
        <v>0</v>
      </c>
      <c r="K62" s="15">
        <f>(Processed_Ratios!K62 / Processed_Ratios!$B$65) * 10</f>
        <v>10</v>
      </c>
      <c r="L62" s="15">
        <f>(Processed_Ratios!L62 / Processed_Ratios!$B$65) * 10</f>
        <v>2.919948625</v>
      </c>
      <c r="M62" s="15">
        <f>(Processed_Ratios!M62 / Processed_Ratios!$B$65) * 10</f>
        <v>0</v>
      </c>
    </row>
    <row r="63">
      <c r="A63" s="6" t="s">
        <v>29</v>
      </c>
      <c r="B63" s="8">
        <f>(Processed_Ratios!B63 / Processed_Ratios!$B$65) * 10</f>
        <v>3.796274196</v>
      </c>
      <c r="C63" s="8">
        <f>(Processed_Ratios!C63 / Processed_Ratios!$B$65) * 10</f>
        <v>1.77651993</v>
      </c>
      <c r="D63" s="8">
        <f>(Processed_Ratios!D63 / Processed_Ratios!$B$65) * 10</f>
        <v>2.451665701</v>
      </c>
      <c r="E63" s="15">
        <f>(Processed_Ratios!E63 / Processed_Ratios!$B$65) * 10</f>
        <v>1.650356327</v>
      </c>
      <c r="F63" s="15">
        <f>(Processed_Ratios!F63 / Processed_Ratios!$B$65) * 10</f>
        <v>0.7797138018</v>
      </c>
      <c r="G63" s="15">
        <f>(Processed_Ratios!G63 / Processed_Ratios!$B$65) * 10</f>
        <v>0.7512985758</v>
      </c>
      <c r="H63" s="15">
        <f>(Processed_Ratios!H63 / Processed_Ratios!$B$65) * 10</f>
        <v>1.643536673</v>
      </c>
      <c r="I63" s="15">
        <f>(Processed_Ratios!I63 / Processed_Ratios!$B$65) * 10</f>
        <v>1.689001034</v>
      </c>
      <c r="J63" s="15">
        <f>(Processed_Ratios!J63 / Processed_Ratios!$B$65) * 10</f>
        <v>1.091144679</v>
      </c>
      <c r="K63" s="15">
        <f>(Processed_Ratios!K63 / Processed_Ratios!$B$65) * 10</f>
        <v>1.344608495</v>
      </c>
      <c r="L63" s="15">
        <f>(Processed_Ratios!L63 / Processed_Ratios!$B$65) * 10</f>
        <v>1.337788841</v>
      </c>
      <c r="M63" s="15">
        <f>(Processed_Ratios!M63 / Processed_Ratios!$B$65) * 10</f>
        <v>1.270728907</v>
      </c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>
      <c r="A65" s="14"/>
      <c r="B65" s="2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>
      <c r="A67" s="1" t="s">
        <v>59</v>
      </c>
      <c r="B67" s="16" t="s">
        <v>45</v>
      </c>
      <c r="C67" s="16" t="s">
        <v>46</v>
      </c>
      <c r="D67" s="16" t="s">
        <v>47</v>
      </c>
      <c r="E67" s="17" t="s">
        <v>48</v>
      </c>
      <c r="F67" s="17" t="s">
        <v>49</v>
      </c>
      <c r="G67" s="17" t="s">
        <v>50</v>
      </c>
      <c r="H67" s="17" t="s">
        <v>51</v>
      </c>
      <c r="I67" s="17" t="s">
        <v>52</v>
      </c>
      <c r="J67" s="17" t="s">
        <v>53</v>
      </c>
      <c r="K67" s="17" t="s">
        <v>54</v>
      </c>
      <c r="L67" s="17" t="s">
        <v>55</v>
      </c>
      <c r="M67" s="17" t="s">
        <v>56</v>
      </c>
    </row>
    <row r="68">
      <c r="A68" s="6" t="s">
        <v>1</v>
      </c>
      <c r="B68" s="8">
        <f>(Processed_Ratios!B68 / Processed_Ratios!$B$98) * 10</f>
        <v>9.391602399</v>
      </c>
      <c r="C68" s="8">
        <f>(Processed_Ratios!C68 / Processed_Ratios!$B$98) * 10</f>
        <v>10</v>
      </c>
      <c r="D68" s="8">
        <f>(Processed_Ratios!D68 / Processed_Ratios!$B$98) * 10</f>
        <v>7.483576121</v>
      </c>
      <c r="E68" s="15">
        <f>(Processed_Ratios!E68 / Processed_Ratios!$B$98) * 10</f>
        <v>10</v>
      </c>
      <c r="F68" s="15">
        <f>(Processed_Ratios!F68 / Processed_Ratios!$B$98) * 10</f>
        <v>10</v>
      </c>
      <c r="G68" s="15">
        <f>(Processed_Ratios!G68 / Processed_Ratios!$B$98) * 10</f>
        <v>4.912882034</v>
      </c>
      <c r="H68" s="15">
        <f>(Processed_Ratios!H68 / Processed_Ratios!$B$98) * 10</f>
        <v>8.191945159</v>
      </c>
      <c r="I68" s="15">
        <f>(Processed_Ratios!I68 / Processed_Ratios!$B$98) * 10</f>
        <v>7.415024279</v>
      </c>
      <c r="J68" s="15">
        <f>(Processed_Ratios!J68 / Processed_Ratios!$B$98) * 10</f>
        <v>9.528706084</v>
      </c>
      <c r="K68" s="15">
        <f>(Processed_Ratios!K68 / Processed_Ratios!$B$98) * 10</f>
        <v>8.249071694</v>
      </c>
      <c r="L68" s="15">
        <f>(Processed_Ratios!L68 / Processed_Ratios!$B$98) * 10</f>
        <v>10</v>
      </c>
      <c r="M68" s="15">
        <f>(Processed_Ratios!M68 / Processed_Ratios!$B$98) * 10</f>
        <v>9.197372179</v>
      </c>
    </row>
    <row r="69">
      <c r="A69" s="6" t="s">
        <v>2</v>
      </c>
      <c r="B69" s="8">
        <f>(Processed_Ratios!B69 / Processed_Ratios!$B$98) * 10</f>
        <v>7.552127963</v>
      </c>
      <c r="C69" s="8">
        <f>(Processed_Ratios!C69 / Processed_Ratios!$B$98) * 10</f>
        <v>8.786061125</v>
      </c>
      <c r="D69" s="8">
        <f>(Processed_Ratios!D69 / Processed_Ratios!$B$98) * 10</f>
        <v>8.774635818</v>
      </c>
      <c r="E69" s="15">
        <f>(Processed_Ratios!E69 / Processed_Ratios!$B$98) * 10</f>
        <v>10</v>
      </c>
      <c r="F69" s="15">
        <f>(Processed_Ratios!F69 / Processed_Ratios!$B$98) * 10</f>
        <v>10</v>
      </c>
      <c r="G69" s="15">
        <f>(Processed_Ratios!G69 / Processed_Ratios!$B$98) * 10</f>
        <v>9.037417881</v>
      </c>
      <c r="H69" s="15">
        <f>(Processed_Ratios!H69 / Processed_Ratios!$B$98) * 10</f>
        <v>8.500428449</v>
      </c>
      <c r="I69" s="15">
        <f>(Processed_Ratios!I69 / Processed_Ratios!$B$98) * 10</f>
        <v>7.300771208</v>
      </c>
      <c r="J69" s="15">
        <f>(Processed_Ratios!J69 / Processed_Ratios!$B$98) * 10</f>
        <v>7.792059412</v>
      </c>
      <c r="K69" s="15">
        <f>(Processed_Ratios!K69 / Processed_Ratios!$B$98) * 10</f>
        <v>6.67237932</v>
      </c>
      <c r="L69" s="15">
        <f>(Processed_Ratios!L69 / Processed_Ratios!$B$98) * 10</f>
        <v>6.249642959</v>
      </c>
      <c r="M69" s="15">
        <f>(Processed_Ratios!M69 / Processed_Ratios!$B$98) * 10</f>
        <v>4.707226507</v>
      </c>
    </row>
    <row r="70">
      <c r="A70" s="6" t="s">
        <v>3</v>
      </c>
      <c r="B70" s="8">
        <f>(Processed_Ratios!B70 / Processed_Ratios!$B$98) * 10</f>
        <v>3.061982291</v>
      </c>
      <c r="C70" s="8">
        <f>(Processed_Ratios!C70 / Processed_Ratios!$B$98) * 10</f>
        <v>3.279063125</v>
      </c>
      <c r="D70" s="8">
        <f>(Processed_Ratios!D70 / Processed_Ratios!$B$98) * 10</f>
        <v>3.450442731</v>
      </c>
      <c r="E70" s="15">
        <f>(Processed_Ratios!E70 / Processed_Ratios!$B$98) * 10</f>
        <v>3.873179092</v>
      </c>
      <c r="F70" s="15">
        <f>(Processed_Ratios!F70 / Processed_Ratios!$B$98) * 10</f>
        <v>3.770351328</v>
      </c>
      <c r="G70" s="15">
        <f>(Processed_Ratios!G70 / Processed_Ratios!$B$98) * 10</f>
        <v>1.919451585</v>
      </c>
      <c r="H70" s="15">
        <f>(Processed_Ratios!H70 / Processed_Ratios!$B$98) * 10</f>
        <v>4.067409312</v>
      </c>
      <c r="I70" s="15">
        <f>(Processed_Ratios!I70 / Processed_Ratios!$B$98) * 10</f>
        <v>3.199085975</v>
      </c>
      <c r="J70" s="15">
        <f>(Processed_Ratios!J70 / Processed_Ratios!$B$98) * 10</f>
        <v>2.970579834</v>
      </c>
      <c r="K70" s="15">
        <f>(Processed_Ratios!K70 / Processed_Ratios!$B$98) * 10</f>
        <v>2.924878606</v>
      </c>
      <c r="L70" s="15">
        <f>(Processed_Ratios!L70 / Processed_Ratios!$B$98) * 10</f>
        <v>4.250214225</v>
      </c>
      <c r="M70" s="15">
        <f>(Processed_Ratios!M70 / Processed_Ratios!$B$98) * 10</f>
        <v>2.547843473</v>
      </c>
    </row>
    <row r="71">
      <c r="A71" s="6" t="s">
        <v>4</v>
      </c>
      <c r="B71" s="8">
        <f>(Processed_Ratios!B71 / Processed_Ratios!$B$98) * 10</f>
        <v>2.730648386</v>
      </c>
      <c r="C71" s="8">
        <f>(Processed_Ratios!C71 / Processed_Ratios!$B$98) * 10</f>
        <v>2.707797772</v>
      </c>
      <c r="D71" s="8">
        <f>(Processed_Ratios!D71 / Processed_Ratios!$B$98) * 10</f>
        <v>2.810625536</v>
      </c>
      <c r="E71" s="15">
        <f>(Processed_Ratios!E71 / Processed_Ratios!$B$98) * 10</f>
        <v>4.535846901</v>
      </c>
      <c r="F71" s="15">
        <f>(Processed_Ratios!F71 / Processed_Ratios!$B$98) * 10</f>
        <v>2.902027992</v>
      </c>
      <c r="G71" s="15">
        <f>(Processed_Ratios!G71 / Processed_Ratios!$B$98) * 10</f>
        <v>1.530991145</v>
      </c>
      <c r="H71" s="15">
        <f>(Processed_Ratios!H71 / Processed_Ratios!$B$98) * 10</f>
        <v>3.004855755</v>
      </c>
      <c r="I71" s="15">
        <f>(Processed_Ratios!I71 / Processed_Ratios!$B$98) * 10</f>
        <v>2.867752071</v>
      </c>
      <c r="J71" s="15">
        <f>(Processed_Ratios!J71 / Processed_Ratios!$B$98) * 10</f>
        <v>3.02770637</v>
      </c>
      <c r="K71" s="15">
        <f>(Processed_Ratios!K71 / Processed_Ratios!$B$98) * 10</f>
        <v>3.279063125</v>
      </c>
      <c r="L71" s="15">
        <f>(Processed_Ratios!L71 / Processed_Ratios!$B$98) * 10</f>
        <v>3.324764353</v>
      </c>
      <c r="M71" s="15">
        <f>(Processed_Ratios!M71 / Processed_Ratios!$B$98) * 10</f>
        <v>2.387889175</v>
      </c>
    </row>
    <row r="72">
      <c r="A72" s="6" t="s">
        <v>5</v>
      </c>
      <c r="B72" s="8">
        <f>(Processed_Ratios!B72 / Processed_Ratios!$B$98) * 10</f>
        <v>9.105969723</v>
      </c>
      <c r="C72" s="8">
        <f>(Processed_Ratios!C72 / Processed_Ratios!$B$98) * 10</f>
        <v>9.300199943</v>
      </c>
      <c r="D72" s="8">
        <f>(Processed_Ratios!D72 / Processed_Ratios!$B$98) * 10</f>
        <v>9.368751785</v>
      </c>
      <c r="E72" s="15">
        <f>(Processed_Ratios!E72 / Processed_Ratios!$B$98) * 10</f>
        <v>10</v>
      </c>
      <c r="F72" s="15">
        <f>(Processed_Ratios!F72 / Processed_Ratios!$B$98) * 10</f>
        <v>10</v>
      </c>
      <c r="G72" s="15">
        <f>(Processed_Ratios!G72 / Processed_Ratios!$B$98) * 10</f>
        <v>5.758354756</v>
      </c>
      <c r="H72" s="15">
        <f>(Processed_Ratios!H72 / Processed_Ratios!$B$98) * 10</f>
        <v>10</v>
      </c>
      <c r="I72" s="15">
        <f>(Processed_Ratios!I72 / Processed_Ratios!$B$98) * 10</f>
        <v>8.648957441</v>
      </c>
      <c r="J72" s="15">
        <f>(Processed_Ratios!J72 / Processed_Ratios!$B$98) * 10</f>
        <v>7.357897744</v>
      </c>
      <c r="K72" s="15">
        <f>(Processed_Ratios!K72 / Processed_Ratios!$B$98) * 10</f>
        <v>5.804055984</v>
      </c>
      <c r="L72" s="15">
        <f>(Processed_Ratios!L72 / Processed_Ratios!$B$98) * 10</f>
        <v>4.353041988</v>
      </c>
      <c r="M72" s="15">
        <f>(Processed_Ratios!M72 / Processed_Ratios!$B$98) * 10</f>
        <v>2.342187946</v>
      </c>
    </row>
    <row r="73">
      <c r="A73" s="6" t="s">
        <v>6</v>
      </c>
      <c r="B73" s="8">
        <f>(Processed_Ratios!B73 / Processed_Ratios!$B$98) * 10</f>
        <v>10</v>
      </c>
      <c r="C73" s="8">
        <f>(Processed_Ratios!C73 / Processed_Ratios!$B$98) * 10</f>
        <v>8.306198229</v>
      </c>
      <c r="D73" s="8">
        <f>(Processed_Ratios!D73 / Processed_Ratios!$B$98) * 10</f>
        <v>4.592973436</v>
      </c>
      <c r="E73" s="15">
        <f>(Processed_Ratios!E73 / Processed_Ratios!$B$98) * 10</f>
        <v>3.816052556</v>
      </c>
      <c r="F73" s="15">
        <f>(Processed_Ratios!F73 / Processed_Ratios!$B$98) * 10</f>
        <v>2.467866324</v>
      </c>
      <c r="G73" s="15">
        <f>(Processed_Ratios!G73 / Processed_Ratios!$B$98) * 10</f>
        <v>1.599542988</v>
      </c>
      <c r="H73" s="15">
        <f>(Processed_Ratios!H73 / Processed_Ratios!$B$98) * 10</f>
        <v>2.136532419</v>
      </c>
      <c r="I73" s="15">
        <f>(Processed_Ratios!I73 / Processed_Ratios!$B$98) * 10</f>
        <v>3.804627249</v>
      </c>
      <c r="J73" s="15">
        <f>(Processed_Ratios!J73 / Processed_Ratios!$B$98) * 10</f>
        <v>4.604398743</v>
      </c>
      <c r="K73" s="15">
        <f>(Processed_Ratios!K73 / Processed_Ratios!$B$98) * 10</f>
        <v>4.547272208</v>
      </c>
      <c r="L73" s="15">
        <f>(Processed_Ratios!L73 / Processed_Ratios!$B$98) * 10</f>
        <v>4.318766067</v>
      </c>
      <c r="M73" s="15">
        <f>(Processed_Ratios!M73 / Processed_Ratios!$B$98) * 10</f>
        <v>1.599542988</v>
      </c>
    </row>
    <row r="74">
      <c r="A74" s="6" t="s">
        <v>7</v>
      </c>
      <c r="B74" s="8">
        <f>(Processed_Ratios!B74 / Processed_Ratios!$B$98) * 10</f>
        <v>6.626678092</v>
      </c>
      <c r="C74" s="8">
        <f>(Processed_Ratios!C74 / Processed_Ratios!$B$98) * 10</f>
        <v>5.381319623</v>
      </c>
      <c r="D74" s="8">
        <f>(Processed_Ratios!D74 / Processed_Ratios!$B$98) * 10</f>
        <v>3.484718652</v>
      </c>
      <c r="E74" s="15">
        <f>(Processed_Ratios!E74 / Processed_Ratios!$B$98) * 10</f>
        <v>4.135961154</v>
      </c>
      <c r="F74" s="15">
        <f>(Processed_Ratios!F74 / Processed_Ratios!$B$98) * 10</f>
        <v>3.22193659</v>
      </c>
      <c r="G74" s="15">
        <f>(Processed_Ratios!G74 / Processed_Ratios!$B$98) * 10</f>
        <v>3.14195944</v>
      </c>
      <c r="H74" s="15">
        <f>(Processed_Ratios!H74 / Processed_Ratios!$B$98) * 10</f>
        <v>1.885175664</v>
      </c>
      <c r="I74" s="15">
        <f>(Processed_Ratios!I74 / Processed_Ratios!$B$98) * 10</f>
        <v>2.17080834</v>
      </c>
      <c r="J74" s="15">
        <f>(Processed_Ratios!J74 / Processed_Ratios!$B$98) * 10</f>
        <v>1.66809483</v>
      </c>
      <c r="K74" s="15">
        <f>(Processed_Ratios!K74 / Processed_Ratios!$B$98) * 10</f>
        <v>1.656669523</v>
      </c>
      <c r="L74" s="15">
        <f>(Processed_Ratios!L74 / Processed_Ratios!$B$98) * 10</f>
        <v>1.873750357</v>
      </c>
      <c r="M74" s="15">
        <f>(Processed_Ratios!M74 / Processed_Ratios!$B$98) * 10</f>
        <v>1.66809483</v>
      </c>
    </row>
    <row r="75">
      <c r="A75" s="6" t="s">
        <v>8</v>
      </c>
      <c r="B75" s="8">
        <f>(Processed_Ratios!B75 / Processed_Ratios!$B$98) * 10</f>
        <v>4.215938303</v>
      </c>
      <c r="C75" s="8">
        <f>(Processed_Ratios!C75 / Processed_Ratios!$B$98) * 10</f>
        <v>4.353041988</v>
      </c>
      <c r="D75" s="8">
        <f>(Processed_Ratios!D75 / Processed_Ratios!$B$98) * 10</f>
        <v>3.324764353</v>
      </c>
      <c r="E75" s="15">
        <f>(Processed_Ratios!E75 / Processed_Ratios!$B$98) * 10</f>
        <v>4.215938303</v>
      </c>
      <c r="F75" s="15">
        <f>(Processed_Ratios!F75 / Processed_Ratios!$B$98) * 10</f>
        <v>4.044558698</v>
      </c>
      <c r="G75" s="15">
        <f>(Processed_Ratios!G75 / Processed_Ratios!$B$98) * 10</f>
        <v>1.919451585</v>
      </c>
      <c r="H75" s="15">
        <f>(Processed_Ratios!H75 / Processed_Ratios!$B$98) * 10</f>
        <v>2.787774921</v>
      </c>
      <c r="I75" s="15">
        <f>(Processed_Ratios!I75 / Processed_Ratios!$B$98) * 10</f>
        <v>3.039131677</v>
      </c>
      <c r="J75" s="15">
        <f>(Processed_Ratios!J75 / Processed_Ratios!$B$98) * 10</f>
        <v>2.993430448</v>
      </c>
      <c r="K75" s="15">
        <f>(Processed_Ratios!K75 / Processed_Ratios!$B$98) * 10</f>
        <v>4.215938303</v>
      </c>
      <c r="L75" s="15">
        <f>(Processed_Ratios!L75 / Processed_Ratios!$B$98) * 10</f>
        <v>4.03313339</v>
      </c>
      <c r="M75" s="15">
        <f>(Processed_Ratios!M75 / Processed_Ratios!$B$98) * 10</f>
        <v>3.7246501</v>
      </c>
    </row>
    <row r="76">
      <c r="A76" s="6" t="s">
        <v>9</v>
      </c>
      <c r="B76" s="8">
        <f>(Processed_Ratios!B76 / Processed_Ratios!$B$98) * 10</f>
        <v>5.324193088</v>
      </c>
      <c r="C76" s="8">
        <f>(Processed_Ratios!C76 / Processed_Ratios!$B$98) * 10</f>
        <v>4.867180805</v>
      </c>
      <c r="D76" s="8">
        <f>(Processed_Ratios!D76 / Processed_Ratios!$B$98) * 10</f>
        <v>6.352470723</v>
      </c>
      <c r="E76" s="15">
        <f>(Processed_Ratios!E76 / Processed_Ratios!$B$98) * 10</f>
        <v>7.289345901</v>
      </c>
      <c r="F76" s="15">
        <f>(Processed_Ratios!F76 / Processed_Ratios!$B$98) * 10</f>
        <v>7.780634105</v>
      </c>
      <c r="G76" s="15">
        <f>(Processed_Ratios!G76 / Processed_Ratios!$B$98) * 10</f>
        <v>4.707226507</v>
      </c>
      <c r="H76" s="15">
        <f>(Processed_Ratios!H76 / Processed_Ratios!$B$98) * 10</f>
        <v>7.277920594</v>
      </c>
      <c r="I76" s="15">
        <f>(Processed_Ratios!I76 / Processed_Ratios!$B$98) * 10</f>
        <v>6.992287918</v>
      </c>
      <c r="J76" s="15">
        <f>(Processed_Ratios!J76 / Processed_Ratios!$B$98) * 10</f>
        <v>6.08968866</v>
      </c>
      <c r="K76" s="15">
        <f>(Processed_Ratios!K76 / Processed_Ratios!$B$98) * 10</f>
        <v>5.141388175</v>
      </c>
      <c r="L76" s="15">
        <f>(Processed_Ratios!L76 / Processed_Ratios!$B$98) * 10</f>
        <v>6.043987432</v>
      </c>
      <c r="M76" s="15">
        <f>(Processed_Ratios!M76 / Processed_Ratios!$B$98) * 10</f>
        <v>4.992859183</v>
      </c>
    </row>
    <row r="77">
      <c r="A77" s="6" t="s">
        <v>10</v>
      </c>
      <c r="B77" s="8">
        <f>(Processed_Ratios!B77 / Processed_Ratios!$B$98) * 10</f>
        <v>9.608683233</v>
      </c>
      <c r="C77" s="8">
        <f>(Processed_Ratios!C77 / Processed_Ratios!$B$98) * 10</f>
        <v>9.837189374</v>
      </c>
      <c r="D77" s="8">
        <f>(Processed_Ratios!D77 / Processed_Ratios!$B$98) * 10</f>
        <v>10</v>
      </c>
      <c r="E77" s="15">
        <f>(Processed_Ratios!E77 / Processed_Ratios!$B$98) * 10</f>
        <v>10</v>
      </c>
      <c r="F77" s="15">
        <f>(Processed_Ratios!F77 / Processed_Ratios!$B$98) * 10</f>
        <v>10</v>
      </c>
      <c r="G77" s="15">
        <f>(Processed_Ratios!G77 / Processed_Ratios!$B$98) * 10</f>
        <v>10</v>
      </c>
      <c r="H77" s="15">
        <f>(Processed_Ratios!H77 / Processed_Ratios!$B$98) * 10</f>
        <v>10</v>
      </c>
      <c r="I77" s="15">
        <f>(Processed_Ratios!I77 / Processed_Ratios!$B$98) * 10</f>
        <v>9.277349329</v>
      </c>
      <c r="J77" s="15">
        <f>(Processed_Ratios!J77 / Processed_Ratios!$B$98) * 10</f>
        <v>6.775207084</v>
      </c>
      <c r="K77" s="15">
        <f>(Processed_Ratios!K77 / Processed_Ratios!$B$98) * 10</f>
        <v>6.67237932</v>
      </c>
      <c r="L77" s="15">
        <f>(Processed_Ratios!L77 / Processed_Ratios!$B$98) * 10</f>
        <v>6.75235647</v>
      </c>
      <c r="M77" s="15">
        <f>(Processed_Ratios!M77 / Processed_Ratios!$B$98) * 10</f>
        <v>5.107112254</v>
      </c>
    </row>
    <row r="78">
      <c r="A78" s="6" t="s">
        <v>11</v>
      </c>
      <c r="B78" s="8">
        <f>(Processed_Ratios!B78 / Processed_Ratios!$B$98) * 10</f>
        <v>5.884033133</v>
      </c>
      <c r="C78" s="8">
        <f>(Processed_Ratios!C78 / Processed_Ratios!$B$98) * 10</f>
        <v>5.506998001</v>
      </c>
      <c r="D78" s="8">
        <f>(Processed_Ratios!D78 / Processed_Ratios!$B$98) * 10</f>
        <v>5.78120537</v>
      </c>
      <c r="E78" s="15">
        <f>(Processed_Ratios!E78 / Processed_Ratios!$B$98) * 10</f>
        <v>6.078263353</v>
      </c>
      <c r="F78" s="15">
        <f>(Processed_Ratios!F78 / Processed_Ratios!$B$98) * 10</f>
        <v>5.152813482</v>
      </c>
      <c r="G78" s="15">
        <f>(Processed_Ratios!G78 / Processed_Ratios!$B$98) * 10</f>
        <v>2.83347615</v>
      </c>
      <c r="H78" s="15">
        <f>(Processed_Ratios!H78 / Processed_Ratios!$B$98) * 10</f>
        <v>4.078834619</v>
      </c>
      <c r="I78" s="15">
        <f>(Processed_Ratios!I78 / Processed_Ratios!$B$98) * 10</f>
        <v>3.290488432</v>
      </c>
      <c r="J78" s="15">
        <f>(Processed_Ratios!J78 / Processed_Ratios!$B$98) * 10</f>
        <v>3.02770637</v>
      </c>
      <c r="K78" s="15">
        <f>(Processed_Ratios!K78 / Processed_Ratios!$B$98) * 10</f>
        <v>2.650671237</v>
      </c>
      <c r="L78" s="15">
        <f>(Processed_Ratios!L78 / Processed_Ratios!$B$98) * 10</f>
        <v>3.804627249</v>
      </c>
      <c r="M78" s="15">
        <f>(Processed_Ratios!M78 / Processed_Ratios!$B$98) * 10</f>
        <v>3.324764353</v>
      </c>
    </row>
    <row r="79">
      <c r="A79" s="6" t="s">
        <v>12</v>
      </c>
      <c r="B79" s="8">
        <f>(Processed_Ratios!B79 / Processed_Ratios!$B$98) * 10</f>
        <v>4.558697515</v>
      </c>
      <c r="C79" s="8">
        <f>(Processed_Ratios!C79 / Processed_Ratios!$B$98) * 10</f>
        <v>4.61582405</v>
      </c>
      <c r="D79" s="8">
        <f>(Processed_Ratios!D79 / Processed_Ratios!$B$98) * 10</f>
        <v>4.604398743</v>
      </c>
      <c r="E79" s="15">
        <f>(Processed_Ratios!E79 / Processed_Ratios!$B$98) * 10</f>
        <v>7.517852042</v>
      </c>
      <c r="F79" s="15">
        <f>(Processed_Ratios!F79 / Processed_Ratios!$B$98) * 10</f>
        <v>6.603827478</v>
      </c>
      <c r="G79" s="15">
        <f>(Processed_Ratios!G79 / Processed_Ratios!$B$98) * 10</f>
        <v>3.416166809</v>
      </c>
      <c r="H79" s="15">
        <f>(Processed_Ratios!H79 / Processed_Ratios!$B$98) * 10</f>
        <v>4.455869751</v>
      </c>
      <c r="I79" s="15">
        <f>(Processed_Ratios!I79 / Processed_Ratios!$B$98) * 10</f>
        <v>3.998857469</v>
      </c>
      <c r="J79" s="15">
        <f>(Processed_Ratios!J79 / Processed_Ratios!$B$98) * 10</f>
        <v>3.896029706</v>
      </c>
      <c r="K79" s="15">
        <f>(Processed_Ratios!K79 / Processed_Ratios!$B$98) * 10</f>
        <v>5.095686947</v>
      </c>
      <c r="L79" s="15">
        <f>(Processed_Ratios!L79 / Processed_Ratios!$B$98) * 10</f>
        <v>5.438446158</v>
      </c>
      <c r="M79" s="15">
        <f>(Processed_Ratios!M79 / Processed_Ratios!$B$98) * 10</f>
        <v>4.273064839</v>
      </c>
    </row>
    <row r="80">
      <c r="A80" s="6" t="s">
        <v>13</v>
      </c>
      <c r="B80" s="8">
        <f>(Processed_Ratios!B80 / Processed_Ratios!$B$98) * 10</f>
        <v>7.780634105</v>
      </c>
      <c r="C80" s="8">
        <f>(Processed_Ratios!C80 / Processed_Ratios!$B$98) * 10</f>
        <v>8.626106827</v>
      </c>
      <c r="D80" s="8">
        <f>(Processed_Ratios!D80 / Processed_Ratios!$B$98) * 10</f>
        <v>7.677806341</v>
      </c>
      <c r="E80" s="15">
        <f>(Processed_Ratios!E80 / Processed_Ratios!$B$98) * 10</f>
        <v>5.815481291</v>
      </c>
      <c r="F80" s="15">
        <f>(Processed_Ratios!F80 / Processed_Ratios!$B$98) * 10</f>
        <v>6.238217652</v>
      </c>
      <c r="G80" s="15">
        <f>(Processed_Ratios!G80 / Processed_Ratios!$B$98) * 10</f>
        <v>4.89003142</v>
      </c>
      <c r="H80" s="15">
        <f>(Processed_Ratios!H80 / Processed_Ratios!$B$98) * 10</f>
        <v>8.591830905</v>
      </c>
      <c r="I80" s="15">
        <f>(Processed_Ratios!I80 / Processed_Ratios!$B$98) * 10</f>
        <v>8.214795773</v>
      </c>
      <c r="J80" s="15">
        <f>(Processed_Ratios!J80 / Processed_Ratios!$B$98) * 10</f>
        <v>9.094544416</v>
      </c>
      <c r="K80" s="15">
        <f>(Processed_Ratios!K80 / Processed_Ratios!$B$98) * 10</f>
        <v>7.700656955</v>
      </c>
      <c r="L80" s="15">
        <f>(Processed_Ratios!L80 / Processed_Ratios!$B$98) * 10</f>
        <v>7.677806341</v>
      </c>
      <c r="M80" s="15">
        <f>(Processed_Ratios!M80 / Processed_Ratios!$B$98) * 10</f>
        <v>9.083119109</v>
      </c>
    </row>
    <row r="81">
      <c r="A81" s="6" t="s">
        <v>14</v>
      </c>
      <c r="B81" s="8">
        <f>(Processed_Ratios!B81 / Processed_Ratios!$B$98) * 10</f>
        <v>7.506426735</v>
      </c>
      <c r="C81" s="8">
        <f>(Processed_Ratios!C81 / Processed_Ratios!$B$98) * 10</f>
        <v>7.209368752</v>
      </c>
      <c r="D81" s="8">
        <f>(Processed_Ratios!D81 / Processed_Ratios!$B$98) * 10</f>
        <v>9.334475864</v>
      </c>
      <c r="E81" s="15">
        <f>(Processed_Ratios!E81 / Processed_Ratios!$B$98) * 10</f>
        <v>10</v>
      </c>
      <c r="F81" s="15">
        <f>(Processed_Ratios!F81 / Processed_Ratios!$B$98) * 10</f>
        <v>10</v>
      </c>
      <c r="G81" s="15">
        <f>(Processed_Ratios!G81 / Processed_Ratios!$B$98) * 10</f>
        <v>8.466152528</v>
      </c>
      <c r="H81" s="15">
        <f>(Processed_Ratios!H81 / Processed_Ratios!$B$98) * 10</f>
        <v>9.734361611</v>
      </c>
      <c r="I81" s="15">
        <f>(Processed_Ratios!I81 / Processed_Ratios!$B$98) * 10</f>
        <v>9.083119109</v>
      </c>
      <c r="J81" s="15">
        <f>(Processed_Ratios!J81 / Processed_Ratios!$B$98) * 10</f>
        <v>8.214795773</v>
      </c>
      <c r="K81" s="15">
        <f>(Processed_Ratios!K81 / Processed_Ratios!$B$98) * 10</f>
        <v>6.992287918</v>
      </c>
      <c r="L81" s="15">
        <f>(Processed_Ratios!L81 / Processed_Ratios!$B$98) * 10</f>
        <v>8.694658669</v>
      </c>
      <c r="M81" s="15">
        <f>(Processed_Ratios!M81 / Processed_Ratios!$B$98) * 10</f>
        <v>5.712653528</v>
      </c>
    </row>
    <row r="82">
      <c r="A82" s="6" t="s">
        <v>15</v>
      </c>
      <c r="B82" s="8">
        <f>(Processed_Ratios!B82 / Processed_Ratios!$B$98) * 10</f>
        <v>2.147957726</v>
      </c>
      <c r="C82" s="8">
        <f>(Processed_Ratios!C82 / Processed_Ratios!$B$98) * 10</f>
        <v>2.684947158</v>
      </c>
      <c r="D82" s="8">
        <f>(Processed_Ratios!D82 / Processed_Ratios!$B$98) * 10</f>
        <v>1.896600971</v>
      </c>
      <c r="E82" s="15">
        <f>(Processed_Ratios!E82 / Processed_Ratios!$B$98) * 10</f>
        <v>1.816623822</v>
      </c>
      <c r="F82" s="15">
        <f>(Processed_Ratios!F82 / Processed_Ratios!$B$98) * 10</f>
        <v>1.679520137</v>
      </c>
      <c r="G82" s="15">
        <f>(Processed_Ratios!G82 / Processed_Ratios!$B$98) * 10</f>
        <v>0.8911739503</v>
      </c>
      <c r="H82" s="15">
        <f>(Processed_Ratios!H82 / Processed_Ratios!$B$98) * 10</f>
        <v>1.645244216</v>
      </c>
      <c r="I82" s="15">
        <f>(Processed_Ratios!I82 / Processed_Ratios!$B$98) * 10</f>
        <v>1.759497286</v>
      </c>
      <c r="J82" s="15">
        <f>(Processed_Ratios!J82 / Processed_Ratios!$B$98) * 10</f>
        <v>1.542416452</v>
      </c>
      <c r="K82" s="15">
        <f>(Processed_Ratios!K82 / Processed_Ratios!$B$98) * 10</f>
        <v>1.27963439</v>
      </c>
      <c r="L82" s="15">
        <f>(Processed_Ratios!L82 / Processed_Ratios!$B$98) * 10</f>
        <v>1.988003428</v>
      </c>
      <c r="M82" s="15">
        <f>(Processed_Ratios!M82 / Processed_Ratios!$B$98) * 10</f>
        <v>1.588117681</v>
      </c>
    </row>
    <row r="83">
      <c r="A83" s="6" t="s">
        <v>16</v>
      </c>
      <c r="B83" s="8">
        <f>(Processed_Ratios!B83 / Processed_Ratios!$B$98) * 10</f>
        <v>2.136532419</v>
      </c>
      <c r="C83" s="8">
        <f>(Processed_Ratios!C83 / Processed_Ratios!$B$98) * 10</f>
        <v>1.770922594</v>
      </c>
      <c r="D83" s="8">
        <f>(Processed_Ratios!D83 / Processed_Ratios!$B$98) * 10</f>
        <v>1.211082548</v>
      </c>
      <c r="E83" s="15">
        <f>(Processed_Ratios!E83 / Processed_Ratios!$B$98) * 10</f>
        <v>1.131105398</v>
      </c>
      <c r="F83" s="15">
        <f>(Processed_Ratios!F83 / Processed_Ratios!$B$98) * 10</f>
        <v>1.35961154</v>
      </c>
      <c r="G83" s="15">
        <f>(Processed_Ratios!G83 / Processed_Ratios!$B$98) * 10</f>
        <v>0.6780919737</v>
      </c>
      <c r="H83" s="15">
        <f>(Processed_Ratios!H83 / Processed_Ratios!$B$98) * 10</f>
        <v>0.7997714939</v>
      </c>
      <c r="I83" s="15">
        <f>(Processed_Ratios!I83 / Processed_Ratios!$B$98) * 10</f>
        <v>0.9940017138</v>
      </c>
      <c r="J83" s="15">
        <f>(Processed_Ratios!J83 / Processed_Ratios!$B$98) * 10</f>
        <v>0.9483004856</v>
      </c>
      <c r="K83" s="15">
        <f>(Processed_Ratios!K83 / Processed_Ratios!$B$98) * 10</f>
        <v>0.9825764067</v>
      </c>
      <c r="L83" s="15">
        <f>(Processed_Ratios!L83 / Processed_Ratios!$B$98) * 10</f>
        <v>1.119680091</v>
      </c>
      <c r="M83" s="15">
        <f>(Processed_Ratios!M83 / Processed_Ratios!$B$98) * 10</f>
        <v>0.8911739503</v>
      </c>
    </row>
    <row r="84">
      <c r="A84" s="6" t="s">
        <v>17</v>
      </c>
      <c r="B84" s="8">
        <f>(Processed_Ratios!B84 / Processed_Ratios!$B$98) * 10</f>
        <v>2.707797772</v>
      </c>
      <c r="C84" s="8">
        <f>(Processed_Ratios!C84 / Processed_Ratios!$B$98) * 10</f>
        <v>3.199085975</v>
      </c>
      <c r="D84" s="8">
        <f>(Processed_Ratios!D84 / Processed_Ratios!$B$98) * 10</f>
        <v>2.433590403</v>
      </c>
      <c r="E84" s="15">
        <f>(Processed_Ratios!E84 / Processed_Ratios!$B$98) * 10</f>
        <v>2.94772922</v>
      </c>
      <c r="F84" s="15">
        <f>(Processed_Ratios!F84 / Processed_Ratios!$B$98) * 10</f>
        <v>3.359040274</v>
      </c>
      <c r="G84" s="15">
        <f>(Processed_Ratios!G84 / Processed_Ratios!$B$98) * 10</f>
        <v>1.953727506</v>
      </c>
      <c r="H84" s="15">
        <f>(Processed_Ratios!H84 / Processed_Ratios!$B$98) * 10</f>
        <v>2.673521851</v>
      </c>
      <c r="I84" s="15">
        <f>(Processed_Ratios!I84 / Processed_Ratios!$B$98) * 10</f>
        <v>3.827477863</v>
      </c>
      <c r="J84" s="15">
        <f>(Processed_Ratios!J84 / Processed_Ratios!$B$98) * 10</f>
        <v>3.050556984</v>
      </c>
      <c r="K84" s="15">
        <f>(Processed_Ratios!K84 / Processed_Ratios!$B$98) * 10</f>
        <v>2.227934876</v>
      </c>
      <c r="L84" s="15">
        <f>(Processed_Ratios!L84 / Processed_Ratios!$B$98) * 10</f>
        <v>2.513567552</v>
      </c>
      <c r="M84" s="15">
        <f>(Processed_Ratios!M84 / Processed_Ratios!$B$98) * 10</f>
        <v>1.530991145</v>
      </c>
    </row>
    <row r="85">
      <c r="A85" s="6" t="s">
        <v>18</v>
      </c>
      <c r="B85" s="8">
        <f>(Processed_Ratios!B85 / Processed_Ratios!$B$98) * 10</f>
        <v>2.102256498</v>
      </c>
      <c r="C85" s="8">
        <f>(Processed_Ratios!C85 / Processed_Ratios!$B$98) * 10</f>
        <v>2.079405884</v>
      </c>
      <c r="D85" s="8">
        <f>(Processed_Ratios!D85 / Processed_Ratios!$B$98) * 10</f>
        <v>1.096829477</v>
      </c>
      <c r="E85" s="15">
        <f>(Processed_Ratios!E85 / Processed_Ratios!$B$98) * 10</f>
        <v>1.131105398</v>
      </c>
      <c r="F85" s="15">
        <f>(Processed_Ratios!F85 / Processed_Ratios!$B$98) * 10</f>
        <v>1.062553556</v>
      </c>
      <c r="G85" s="15">
        <f>(Processed_Ratios!G85 / Processed_Ratios!$B$98) * 10</f>
        <v>0.8683233362</v>
      </c>
      <c r="H85" s="15">
        <f>(Processed_Ratios!H85 / Processed_Ratios!$B$98) * 10</f>
        <v>1.530991145</v>
      </c>
      <c r="I85" s="15">
        <f>(Processed_Ratios!I85 / Processed_Ratios!$B$98) * 10</f>
        <v>1.816623822</v>
      </c>
      <c r="J85" s="15">
        <f>(Processed_Ratios!J85 / Processed_Ratios!$B$98) * 10</f>
        <v>1.908026278</v>
      </c>
      <c r="K85" s="15">
        <f>(Processed_Ratios!K85 / Processed_Ratios!$B$98) * 10</f>
        <v>1.656669523</v>
      </c>
      <c r="L85" s="15">
        <f>(Processed_Ratios!L85 / Processed_Ratios!$B$98) * 10</f>
        <v>1.725221365</v>
      </c>
      <c r="M85" s="15">
        <f>(Processed_Ratios!M85 / Processed_Ratios!$B$98) * 10</f>
        <v>1.428163382</v>
      </c>
    </row>
    <row r="86">
      <c r="A86" s="6" t="s">
        <v>19</v>
      </c>
      <c r="B86" s="8">
        <f>(Processed_Ratios!B86 / Processed_Ratios!$B$98) * 10</f>
        <v>6.740931163</v>
      </c>
      <c r="C86" s="8">
        <f>(Processed_Ratios!C86 / Processed_Ratios!$B$98) * 10</f>
        <v>6.421022565</v>
      </c>
      <c r="D86" s="8">
        <f>(Processed_Ratios!D86 / Processed_Ratios!$B$98) * 10</f>
        <v>3.941730934</v>
      </c>
      <c r="E86" s="15">
        <f>(Processed_Ratios!E86 / Processed_Ratios!$B$98) * 10</f>
        <v>4.147386461</v>
      </c>
      <c r="F86" s="15">
        <f>(Processed_Ratios!F86 / Processed_Ratios!$B$98) * 10</f>
        <v>3.256212511</v>
      </c>
      <c r="G86" s="15">
        <f>(Processed_Ratios!G86 / Processed_Ratios!$B$98) * 10</f>
        <v>2.513567552</v>
      </c>
      <c r="H86" s="15">
        <f>(Processed_Ratios!H86 / Processed_Ratios!$B$98) * 10</f>
        <v>3.381890888</v>
      </c>
      <c r="I86" s="15">
        <f>(Processed_Ratios!I86 / Processed_Ratios!$B$98) * 10</f>
        <v>3.873179092</v>
      </c>
      <c r="J86" s="15">
        <f>(Processed_Ratios!J86 / Processed_Ratios!$B$98) * 10</f>
        <v>4.581548129</v>
      </c>
      <c r="K86" s="15">
        <f>(Processed_Ratios!K86 / Processed_Ratios!$B$98) * 10</f>
        <v>4.021708083</v>
      </c>
      <c r="L86" s="15">
        <f>(Processed_Ratios!L86 / Processed_Ratios!$B$98) * 10</f>
        <v>4.912882034</v>
      </c>
      <c r="M86" s="15">
        <f>(Processed_Ratios!M86 / Processed_Ratios!$B$98) * 10</f>
        <v>4.010282776</v>
      </c>
    </row>
    <row r="87">
      <c r="A87" s="6" t="s">
        <v>20</v>
      </c>
      <c r="B87" s="8">
        <f>(Processed_Ratios!B87 / Processed_Ratios!$B$98) * 10</f>
        <v>2.045129963</v>
      </c>
      <c r="C87" s="8">
        <f>(Processed_Ratios!C87 / Processed_Ratios!$B$98) * 10</f>
        <v>2.55926878</v>
      </c>
      <c r="D87" s="8">
        <f>(Processed_Ratios!D87 / Processed_Ratios!$B$98) * 10</f>
        <v>2.05655527</v>
      </c>
      <c r="E87" s="15">
        <f>(Processed_Ratios!E87 / Processed_Ratios!$B$98) * 10</f>
        <v>2.913453299</v>
      </c>
      <c r="F87" s="15">
        <f>(Processed_Ratios!F87 / Processed_Ratios!$B$98) * 10</f>
        <v>3.164810054</v>
      </c>
      <c r="G87" s="15">
        <f>(Processed_Ratios!G87 / Processed_Ratios!$B$98) * 10</f>
        <v>1.348186233</v>
      </c>
      <c r="H87" s="15">
        <f>(Processed_Ratios!H87 / Processed_Ratios!$B$98) * 10</f>
        <v>1.622393602</v>
      </c>
      <c r="I87" s="15">
        <f>(Processed_Ratios!I87 / Processed_Ratios!$B$98) * 10</f>
        <v>1.519565838</v>
      </c>
      <c r="J87" s="15">
        <f>(Processed_Ratios!J87 / Processed_Ratios!$B$98) * 10</f>
        <v>1.462439303</v>
      </c>
      <c r="K87" s="15">
        <f>(Processed_Ratios!K87 / Processed_Ratios!$B$98) * 10</f>
        <v>1.27963439</v>
      </c>
      <c r="L87" s="15">
        <f>(Processed_Ratios!L87 / Processed_Ratios!$B$98) * 10</f>
        <v>0.7426449586</v>
      </c>
      <c r="M87" s="15">
        <f>(Processed_Ratios!M87 / Processed_Ratios!$B$98) * 10</f>
        <v>0.7197943445</v>
      </c>
    </row>
    <row r="88">
      <c r="A88" s="6" t="s">
        <v>21</v>
      </c>
      <c r="B88" s="8">
        <f>(Processed_Ratios!B88 / Processed_Ratios!$B$98) * 10</f>
        <v>1.599542988</v>
      </c>
      <c r="C88" s="8">
        <f>(Processed_Ratios!C88 / Processed_Ratios!$B$98) * 10</f>
        <v>1.748071979</v>
      </c>
      <c r="D88" s="8">
        <f>(Processed_Ratios!D88 / Processed_Ratios!$B$98) * 10</f>
        <v>1.519565838</v>
      </c>
      <c r="E88" s="15">
        <f>(Processed_Ratios!E88 / Processed_Ratios!$B$98) * 10</f>
        <v>1.736646672</v>
      </c>
      <c r="F88" s="15">
        <f>(Processed_Ratios!F88 / Processed_Ratios!$B$98) * 10</f>
        <v>1.336760925</v>
      </c>
      <c r="G88" s="15">
        <f>(Processed_Ratios!G88 / Processed_Ratios!$B$98) * 10</f>
        <v>0.7426449586</v>
      </c>
      <c r="H88" s="15">
        <f>(Processed_Ratios!H88 / Processed_Ratios!$B$98) * 10</f>
        <v>1.291059697</v>
      </c>
      <c r="I88" s="15">
        <f>(Processed_Ratios!I88 / Processed_Ratios!$B$98) * 10</f>
        <v>1.108254784</v>
      </c>
      <c r="J88" s="15">
        <f>(Processed_Ratios!J88 / Processed_Ratios!$B$98) * 10</f>
        <v>1.153956013</v>
      </c>
      <c r="K88" s="15">
        <f>(Processed_Ratios!K88 / Processed_Ratios!$B$98) * 10</f>
        <v>0.7769208797</v>
      </c>
      <c r="L88" s="15">
        <f>(Processed_Ratios!L88 / Processed_Ratios!$B$98) * 10</f>
        <v>1.096829477</v>
      </c>
      <c r="M88" s="15">
        <f>(Processed_Ratios!M88 / Processed_Ratios!$B$98) * 10</f>
        <v>0.8683233362</v>
      </c>
    </row>
    <row r="89">
      <c r="A89" s="6" t="s">
        <v>22</v>
      </c>
      <c r="B89" s="8">
        <f>(Processed_Ratios!B89 / Processed_Ratios!$B$98) * 10</f>
        <v>9.048843188</v>
      </c>
      <c r="C89" s="8">
        <f>(Processed_Ratios!C89 / Processed_Ratios!$B$98) * 10</f>
        <v>9.163096258</v>
      </c>
      <c r="D89" s="8">
        <f>(Processed_Ratios!D89 / Processed_Ratios!$B$98) * 10</f>
        <v>6.135389889</v>
      </c>
      <c r="E89" s="15">
        <f>(Processed_Ratios!E89 / Processed_Ratios!$B$98) * 10</f>
        <v>6.489574407</v>
      </c>
      <c r="F89" s="15">
        <f>(Processed_Ratios!F89 / Processed_Ratios!$B$98) * 10</f>
        <v>4.89003142</v>
      </c>
      <c r="G89" s="15">
        <f>(Processed_Ratios!G89 / Processed_Ratios!$B$98) * 10</f>
        <v>2.936303913</v>
      </c>
      <c r="H89" s="15">
        <f>(Processed_Ratios!H89 / Processed_Ratios!$B$98) * 10</f>
        <v>4.524421594</v>
      </c>
      <c r="I89" s="15">
        <f>(Processed_Ratios!I89 / Processed_Ratios!$B$98) * 10</f>
        <v>5.141388175</v>
      </c>
      <c r="J89" s="15">
        <f>(Processed_Ratios!J89 / Processed_Ratios!$B$98) * 10</f>
        <v>6.021136818</v>
      </c>
      <c r="K89" s="15">
        <f>(Processed_Ratios!K89 / Processed_Ratios!$B$98) * 10</f>
        <v>7.906312482</v>
      </c>
      <c r="L89" s="15">
        <f>(Processed_Ratios!L89 / Processed_Ratios!$B$98) * 10</f>
        <v>8.820337047</v>
      </c>
      <c r="M89" s="15">
        <f>(Processed_Ratios!M89 / Processed_Ratios!$B$98) * 10</f>
        <v>8.431876607</v>
      </c>
    </row>
    <row r="90">
      <c r="A90" s="6" t="s">
        <v>23</v>
      </c>
      <c r="B90" s="8">
        <f>(Processed_Ratios!B90 / Processed_Ratios!$B$98) * 10</f>
        <v>0.6780919737</v>
      </c>
      <c r="C90" s="8">
        <f>(Processed_Ratios!C90 / Processed_Ratios!$B$98) * 10</f>
        <v>0.9940017138</v>
      </c>
      <c r="D90" s="8">
        <f>(Processed_Ratios!D90 / Processed_Ratios!$B$98) * 10</f>
        <v>0.6780919737</v>
      </c>
      <c r="E90" s="15">
        <f>(Processed_Ratios!E90 / Processed_Ratios!$B$98) * 10</f>
        <v>0.6855184233</v>
      </c>
      <c r="F90" s="15">
        <f>(Processed_Ratios!F90 / Processed_Ratios!$B$98) * 10</f>
        <v>0.6780919737</v>
      </c>
      <c r="G90" s="15">
        <f>(Processed_Ratios!G90 / Processed_Ratios!$B$98) * 10</f>
        <v>0.6780919737</v>
      </c>
      <c r="H90" s="15">
        <f>(Processed_Ratios!H90 / Processed_Ratios!$B$98) * 10</f>
        <v>0.6780919737</v>
      </c>
      <c r="I90" s="15">
        <f>(Processed_Ratios!I90 / Processed_Ratios!$B$98) * 10</f>
        <v>0.6780919737</v>
      </c>
      <c r="J90" s="15">
        <f>(Processed_Ratios!J90 / Processed_Ratios!$B$98) * 10</f>
        <v>0.6780919737</v>
      </c>
      <c r="K90" s="15">
        <f>(Processed_Ratios!K90 / Processed_Ratios!$B$98) * 10</f>
        <v>0.6780919737</v>
      </c>
      <c r="L90" s="15">
        <f>(Processed_Ratios!L90 / Processed_Ratios!$B$98) * 10</f>
        <v>0.7654955727</v>
      </c>
      <c r="M90" s="15">
        <f>(Processed_Ratios!M90 / Processed_Ratios!$B$98) * 10</f>
        <v>0.6780919737</v>
      </c>
    </row>
    <row r="91">
      <c r="A91" s="6" t="s">
        <v>24</v>
      </c>
      <c r="B91" s="8">
        <f>(Processed_Ratios!B91 / Processed_Ratios!$B$98) * 10</f>
        <v>1.005427021</v>
      </c>
      <c r="C91" s="8">
        <f>(Processed_Ratios!C91 / Processed_Ratios!$B$98) * 10</f>
        <v>0.9711510997</v>
      </c>
      <c r="D91" s="8">
        <f>(Processed_Ratios!D91 / Processed_Ratios!$B$98) * 10</f>
        <v>0.6780919737</v>
      </c>
      <c r="E91" s="15">
        <f>(Processed_Ratios!E91 / Processed_Ratios!$B$98) * 10</f>
        <v>0.7426449586</v>
      </c>
      <c r="F91" s="15">
        <f>(Processed_Ratios!F91 / Processed_Ratios!$B$98) * 10</f>
        <v>0.7083690374</v>
      </c>
      <c r="G91" s="15">
        <f>(Processed_Ratios!G91 / Processed_Ratios!$B$98) * 10</f>
        <v>0.6780919737</v>
      </c>
      <c r="H91" s="15">
        <f>(Processed_Ratios!H91 / Processed_Ratios!$B$98) * 10</f>
        <v>0.6780919737</v>
      </c>
      <c r="I91" s="15">
        <f>(Processed_Ratios!I91 / Processed_Ratios!$B$98) * 10</f>
        <v>0.6780919737</v>
      </c>
      <c r="J91" s="15">
        <f>(Processed_Ratios!J91 / Processed_Ratios!$B$98) * 10</f>
        <v>0.6780919737</v>
      </c>
      <c r="K91" s="15">
        <f>(Processed_Ratios!K91 / Processed_Ratios!$B$98) * 10</f>
        <v>0.6780919737</v>
      </c>
      <c r="L91" s="15">
        <f>(Processed_Ratios!L91 / Processed_Ratios!$B$98) * 10</f>
        <v>0.6780919737</v>
      </c>
      <c r="M91" s="15">
        <f>(Processed_Ratios!M91 / Processed_Ratios!$B$98) * 10</f>
        <v>0.6780919737</v>
      </c>
    </row>
    <row r="92">
      <c r="A92" s="6" t="s">
        <v>25</v>
      </c>
      <c r="B92" s="8">
        <f>(Processed_Ratios!B92 / Processed_Ratios!$B$98) * 10</f>
        <v>5.838331905</v>
      </c>
      <c r="C92" s="8">
        <f>(Processed_Ratios!C92 / Processed_Ratios!$B$98) * 10</f>
        <v>6.67237932</v>
      </c>
      <c r="D92" s="8">
        <f>(Processed_Ratios!D92 / Processed_Ratios!$B$98) * 10</f>
        <v>5.941159669</v>
      </c>
      <c r="E92" s="15">
        <f>(Processed_Ratios!E92 / Processed_Ratios!$B$98) * 10</f>
        <v>8.157669237</v>
      </c>
      <c r="F92" s="15">
        <f>(Processed_Ratios!F92 / Processed_Ratios!$B$98) * 10</f>
        <v>8.180519851</v>
      </c>
      <c r="G92" s="15">
        <f>(Processed_Ratios!G92 / Processed_Ratios!$B$98) * 10</f>
        <v>4.981433876</v>
      </c>
      <c r="H92" s="15">
        <f>(Processed_Ratios!H92 / Processed_Ratios!$B$98) * 10</f>
        <v>5.849757212</v>
      </c>
      <c r="I92" s="15">
        <f>(Processed_Ratios!I92 / Processed_Ratios!$B$98) * 10</f>
        <v>5.049985718</v>
      </c>
      <c r="J92" s="15">
        <f>(Processed_Ratios!J92 / Processed_Ratios!$B$98) * 10</f>
        <v>4.638674664</v>
      </c>
      <c r="K92" s="15">
        <f>(Processed_Ratios!K92 / Processed_Ratios!$B$98) * 10</f>
        <v>5.209940017</v>
      </c>
      <c r="L92" s="15">
        <f>(Processed_Ratios!L92 / Processed_Ratios!$B$98) * 10</f>
        <v>6.021136818</v>
      </c>
      <c r="M92" s="15">
        <f>(Processed_Ratios!M92 / Processed_Ratios!$B$98) * 10</f>
        <v>5.826906598</v>
      </c>
    </row>
    <row r="93">
      <c r="A93" s="6" t="s">
        <v>26</v>
      </c>
      <c r="B93" s="8">
        <f>(Processed_Ratios!B93 / Processed_Ratios!$B$98) * 10</f>
        <v>2.707797772</v>
      </c>
      <c r="C93" s="8">
        <f>(Processed_Ratios!C93 / Processed_Ratios!$B$98) * 10</f>
        <v>2.422165096</v>
      </c>
      <c r="D93" s="8">
        <f>(Processed_Ratios!D93 / Processed_Ratios!$B$98) * 10</f>
        <v>2.079405884</v>
      </c>
      <c r="E93" s="15">
        <f>(Processed_Ratios!E93 / Processed_Ratios!$B$98) * 10</f>
        <v>3.370465581</v>
      </c>
      <c r="F93" s="15">
        <f>(Processed_Ratios!F93 / Processed_Ratios!$B$98) * 10</f>
        <v>2.616395316</v>
      </c>
      <c r="G93" s="15">
        <f>(Processed_Ratios!G93 / Processed_Ratios!$B$98) * 10</f>
        <v>1.530991145</v>
      </c>
      <c r="H93" s="15">
        <f>(Processed_Ratios!H93 / Processed_Ratios!$B$98) * 10</f>
        <v>2.262210797</v>
      </c>
      <c r="I93" s="15">
        <f>(Processed_Ratios!I93 / Processed_Ratios!$B$98) * 10</f>
        <v>2.090831191</v>
      </c>
      <c r="J93" s="15">
        <f>(Processed_Ratios!J93 / Processed_Ratios!$B$98) * 10</f>
        <v>1.576692374</v>
      </c>
      <c r="K93" s="15">
        <f>(Processed_Ratios!K93 / Processed_Ratios!$B$98) * 10</f>
        <v>1.782347901</v>
      </c>
      <c r="L93" s="15">
        <f>(Processed_Ratios!L93 / Processed_Ratios!$B$98) * 10</f>
        <v>3.050556984</v>
      </c>
      <c r="M93" s="15">
        <f>(Processed_Ratios!M93 / Processed_Ratios!$B$98) * 10</f>
        <v>2.547843473</v>
      </c>
    </row>
    <row r="94">
      <c r="A94" s="6" t="s">
        <v>27</v>
      </c>
      <c r="B94" s="8">
        <f>(Processed_Ratios!B94 / Processed_Ratios!$B$98) * 10</f>
        <v>5.152813482</v>
      </c>
      <c r="C94" s="8">
        <f>(Processed_Ratios!C94 / Processed_Ratios!$B$98) * 10</f>
        <v>7.574978578</v>
      </c>
      <c r="D94" s="8">
        <f>(Processed_Ratios!D94 / Processed_Ratios!$B$98) * 10</f>
        <v>6.306769494</v>
      </c>
      <c r="E94" s="15">
        <f>(Processed_Ratios!E94 / Processed_Ratios!$B$98) * 10</f>
        <v>8.957440731</v>
      </c>
      <c r="F94" s="15">
        <f>(Processed_Ratios!F94 / Processed_Ratios!$B$98) * 10</f>
        <v>7.312196515</v>
      </c>
      <c r="G94" s="15">
        <f>(Processed_Ratios!G94 / Processed_Ratios!$B$98) * 10</f>
        <v>4.50157098</v>
      </c>
      <c r="H94" s="15">
        <f>(Processed_Ratios!H94 / Processed_Ratios!$B$98) * 10</f>
        <v>5.838331905</v>
      </c>
      <c r="I94" s="15">
        <f>(Processed_Ratios!I94 / Processed_Ratios!$B$98) * 10</f>
        <v>5.918309055</v>
      </c>
      <c r="J94" s="15">
        <f>(Processed_Ratios!J94 / Processed_Ratios!$B$98) * 10</f>
        <v>3.53041988</v>
      </c>
      <c r="K94" s="15">
        <f>(Processed_Ratios!K94 / Processed_Ratios!$B$98) * 10</f>
        <v>3.050556984</v>
      </c>
      <c r="L94" s="15">
        <f>(Processed_Ratios!L94 / Processed_Ratios!$B$98) * 10</f>
        <v>3.33618966</v>
      </c>
      <c r="M94" s="15">
        <f>(Processed_Ratios!M94 / Processed_Ratios!$B$98) * 10</f>
        <v>2.433590403</v>
      </c>
    </row>
    <row r="95">
      <c r="A95" s="6" t="s">
        <v>28</v>
      </c>
      <c r="B95" s="8">
        <f>(Processed_Ratios!B95 / Processed_Ratios!$B$98) * 10</f>
        <v>10</v>
      </c>
      <c r="C95" s="8">
        <f>(Processed_Ratios!C95 / Processed_Ratios!$B$98) * 10</f>
        <v>10</v>
      </c>
      <c r="D95" s="8">
        <f>(Processed_Ratios!D95 / Processed_Ratios!$B$98) * 10</f>
        <v>6.775207084</v>
      </c>
      <c r="E95" s="15">
        <f>(Processed_Ratios!E95 / Processed_Ratios!$B$98) * 10</f>
        <v>10</v>
      </c>
      <c r="F95" s="15">
        <f>(Processed_Ratios!F95 / Processed_Ratios!$B$98) * 10</f>
        <v>10</v>
      </c>
      <c r="G95" s="15">
        <f>(Processed_Ratios!G95 / Processed_Ratios!$B$98) * 10</f>
        <v>5.58697515</v>
      </c>
      <c r="H95" s="15">
        <f>(Processed_Ratios!H95 / Processed_Ratios!$B$98) * 10</f>
        <v>5.19851471</v>
      </c>
      <c r="I95" s="15">
        <f>(Processed_Ratios!I95 / Processed_Ratios!$B$98) * 10</f>
        <v>6.08968866</v>
      </c>
      <c r="J95" s="15">
        <f>(Processed_Ratios!J95 / Processed_Ratios!$B$98) * 10</f>
        <v>5.564124536</v>
      </c>
      <c r="K95" s="15">
        <f>(Processed_Ratios!K95 / Processed_Ratios!$B$98) * 10</f>
        <v>3.793201942</v>
      </c>
      <c r="L95" s="15">
        <f>(Processed_Ratios!L95 / Processed_Ratios!$B$98) * 10</f>
        <v>2.44501571</v>
      </c>
      <c r="M95" s="15">
        <f>(Processed_Ratios!M95 / Processed_Ratios!$B$98) * 10</f>
        <v>1.645244216</v>
      </c>
    </row>
    <row r="96">
      <c r="A96" s="6" t="s">
        <v>29</v>
      </c>
      <c r="B96" s="8">
        <f>(Processed_Ratios!B96 / Processed_Ratios!$B$98) * 10</f>
        <v>5.095686947</v>
      </c>
      <c r="C96" s="8">
        <f>(Processed_Ratios!C96 / Processed_Ratios!$B$98) * 10</f>
        <v>4.535846901</v>
      </c>
      <c r="D96" s="8">
        <f>(Processed_Ratios!D96 / Processed_Ratios!$B$98) * 10</f>
        <v>3.976006855</v>
      </c>
      <c r="E96" s="15">
        <f>(Processed_Ratios!E96 / Processed_Ratios!$B$98) * 10</f>
        <v>4.135961154</v>
      </c>
      <c r="F96" s="15">
        <f>(Processed_Ratios!F96 / Processed_Ratios!$B$98) * 10</f>
        <v>4.970008569</v>
      </c>
      <c r="G96" s="15">
        <f>(Processed_Ratios!G96 / Processed_Ratios!$B$98) * 10</f>
        <v>2.524992859</v>
      </c>
      <c r="H96" s="15">
        <f>(Processed_Ratios!H96 / Processed_Ratios!$B$98) * 10</f>
        <v>3.016281063</v>
      </c>
      <c r="I96" s="15">
        <f>(Processed_Ratios!I96 / Processed_Ratios!$B$98) * 10</f>
        <v>3.998857469</v>
      </c>
      <c r="J96" s="15">
        <f>(Processed_Ratios!J96 / Processed_Ratios!$B$98) * 10</f>
        <v>4.935732648</v>
      </c>
      <c r="K96" s="15">
        <f>(Processed_Ratios!K96 / Processed_Ratios!$B$98) * 10</f>
        <v>4.021708083</v>
      </c>
      <c r="L96" s="15">
        <f>(Processed_Ratios!L96 / Processed_Ratios!$B$98) * 10</f>
        <v>3.701799486</v>
      </c>
      <c r="M96" s="15">
        <f>(Processed_Ratios!M96 / Processed_Ratios!$B$98) * 10</f>
        <v>3.164810054</v>
      </c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>
      <c r="A98" s="14"/>
      <c r="B98" s="2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>
      <c r="A100" s="1" t="s">
        <v>57</v>
      </c>
      <c r="B100" s="21">
        <v>2025.0</v>
      </c>
      <c r="C100" s="21">
        <v>2024.0</v>
      </c>
      <c r="D100" s="21">
        <v>2023.0</v>
      </c>
      <c r="E100" s="5">
        <v>2022.0</v>
      </c>
      <c r="F100" s="5">
        <v>2021.0</v>
      </c>
      <c r="G100" s="5">
        <v>2020.0</v>
      </c>
      <c r="H100" s="5">
        <v>2019.0</v>
      </c>
      <c r="I100" s="5">
        <v>2018.0</v>
      </c>
      <c r="J100" s="5">
        <v>2017.0</v>
      </c>
      <c r="K100" s="5">
        <v>2016.0</v>
      </c>
      <c r="L100" s="5">
        <v>2015.0</v>
      </c>
      <c r="M100" s="5">
        <v>2014.0</v>
      </c>
    </row>
    <row r="101">
      <c r="A101" s="6" t="s">
        <v>1</v>
      </c>
      <c r="B101" s="8">
        <f>(Processed_Ratios!B101 / Processed_Ratios!$B$131) * 10</f>
        <v>1.952764609</v>
      </c>
      <c r="C101" s="8">
        <f>(Processed_Ratios!C101 / Processed_Ratios!$B$131) * 10</f>
        <v>2.229999405</v>
      </c>
      <c r="D101" s="8">
        <f>(Processed_Ratios!D101 / Processed_Ratios!$B$131) * 10</f>
        <v>2.626257388</v>
      </c>
      <c r="E101" s="15">
        <f>(Processed_Ratios!E101 / Processed_Ratios!$B$131) * 10</f>
        <v>2.792766653</v>
      </c>
      <c r="F101" s="15">
        <f>(Processed_Ratios!F101 / Processed_Ratios!$B$131) * 10</f>
        <v>2.693797795</v>
      </c>
      <c r="G101" s="15">
        <f>(Processed_Ratios!G101 / Processed_Ratios!$B$131) * 10</f>
        <v>2.626257388</v>
      </c>
      <c r="H101" s="15">
        <f>(Processed_Ratios!H101 / Processed_Ratios!$B$131) * 10</f>
        <v>2.592000876</v>
      </c>
      <c r="I101" s="15">
        <f>(Processed_Ratios!I101 / Processed_Ratios!$B$131) * 10</f>
        <v>2.487209505</v>
      </c>
      <c r="J101" s="15">
        <f>(Processed_Ratios!J101 / Processed_Ratios!$B$131) * 10</f>
        <v>2.808997432</v>
      </c>
      <c r="K101" s="15">
        <f>(Processed_Ratios!K101 / Processed_Ratios!$B$131) * 10</f>
        <v>3.118988493</v>
      </c>
      <c r="L101" s="15">
        <f>(Processed_Ratios!L101 / Processed_Ratios!$B$131) * 10</f>
        <v>3.133802027</v>
      </c>
      <c r="M101" s="15">
        <f>(Processed_Ratios!M101 / Processed_Ratios!$B$131) * 10</f>
        <v>3.013532387</v>
      </c>
    </row>
    <row r="102">
      <c r="A102" s="6" t="s">
        <v>2</v>
      </c>
      <c r="B102" s="8">
        <f>(Processed_Ratios!B102 / Processed_Ratios!$B$131) * 10</f>
        <v>0.1397296646</v>
      </c>
      <c r="C102" s="8">
        <f>(Processed_Ratios!C102 / Processed_Ratios!$B$131) * 10</f>
        <v>0.207591712</v>
      </c>
      <c r="D102" s="8">
        <f>(Processed_Ratios!D102 / Processed_Ratios!$B$131) * 10</f>
        <v>0.207591712</v>
      </c>
      <c r="E102" s="15">
        <f>(Processed_Ratios!E102 / Processed_Ratios!$B$131) * 10</f>
        <v>0.207591712</v>
      </c>
      <c r="F102" s="15">
        <f>(Processed_Ratios!F102 / Processed_Ratios!$B$131) * 10</f>
        <v>0.1053076599</v>
      </c>
      <c r="G102" s="15">
        <f>(Processed_Ratios!G102 / Processed_Ratios!$B$131) * 10</f>
        <v>0.1053076599</v>
      </c>
      <c r="H102" s="15">
        <f>(Processed_Ratios!H102 / Processed_Ratios!$B$131) * 10</f>
        <v>0.2410440682</v>
      </c>
      <c r="I102" s="15">
        <f>(Processed_Ratios!I102 / Processed_Ratios!$B$131) * 10</f>
        <v>0.207591712</v>
      </c>
      <c r="J102" s="15">
        <f>(Processed_Ratios!J102 / Processed_Ratios!$B$131) * 10</f>
        <v>0.2410440682</v>
      </c>
      <c r="K102" s="15">
        <f>(Processed_Ratios!K102 / Processed_Ratios!$B$131) * 10</f>
        <v>0.173822267</v>
      </c>
      <c r="L102" s="15">
        <f>(Processed_Ratios!L102 / Processed_Ratios!$B$131) * 10</f>
        <v>0.3070209495</v>
      </c>
      <c r="M102" s="15">
        <f>(Processed_Ratios!M102 / Processed_Ratios!$B$131) * 10</f>
        <v>0.207591712</v>
      </c>
    </row>
    <row r="103">
      <c r="A103" s="6" t="s">
        <v>3</v>
      </c>
      <c r="B103" s="8">
        <f>(Processed_Ratios!B103 / Processed_Ratios!$B$131) * 10</f>
        <v>7.780120109</v>
      </c>
      <c r="C103" s="8">
        <f>(Processed_Ratios!C103 / Processed_Ratios!$B$131) * 10</f>
        <v>8.091114028</v>
      </c>
      <c r="D103" s="8">
        <f>(Processed_Ratios!D103 / Processed_Ratios!$B$131) * 10</f>
        <v>8.339606638</v>
      </c>
      <c r="E103" s="15">
        <f>(Processed_Ratios!E103 / Processed_Ratios!$B$131) * 10</f>
        <v>8.245801566</v>
      </c>
      <c r="F103" s="15">
        <f>(Processed_Ratios!F103 / Processed_Ratios!$B$131) * 10</f>
        <v>8.080067043</v>
      </c>
      <c r="G103" s="15">
        <f>(Processed_Ratios!G103 / Processed_Ratios!$B$131) * 10</f>
        <v>7.827941629</v>
      </c>
      <c r="H103" s="15">
        <f>(Processed_Ratios!H103 / Processed_Ratios!$B$131) * 10</f>
        <v>8.849881985</v>
      </c>
      <c r="I103" s="15">
        <f>(Processed_Ratios!I103 / Processed_Ratios!$B$131) * 10</f>
        <v>8.451001257</v>
      </c>
      <c r="J103" s="15">
        <f>(Processed_Ratios!J103 / Processed_Ratios!$B$131) * 10</f>
        <v>8.474189203</v>
      </c>
      <c r="K103" s="15">
        <f>(Processed_Ratios!K103 / Processed_Ratios!$B$131) * 10</f>
        <v>8.160293867</v>
      </c>
      <c r="L103" s="15">
        <f>(Processed_Ratios!L103 / Processed_Ratios!$B$131) * 10</f>
        <v>8.318973473</v>
      </c>
      <c r="M103" s="15">
        <f>(Processed_Ratios!M103 / Processed_Ratios!$B$131) * 10</f>
        <v>8.224616272</v>
      </c>
    </row>
    <row r="104">
      <c r="A104" s="6" t="s">
        <v>4</v>
      </c>
      <c r="B104" s="8">
        <f>(Processed_Ratios!B104 / Processed_Ratios!$B$131) * 10</f>
        <v>6.317490068</v>
      </c>
      <c r="C104" s="8">
        <f>(Processed_Ratios!C104 / Processed_Ratios!$B$131) * 10</f>
        <v>6.24415678</v>
      </c>
      <c r="D104" s="8">
        <f>(Processed_Ratios!D104 / Processed_Ratios!$B$131) * 10</f>
        <v>6.112075201</v>
      </c>
      <c r="E104" s="15">
        <f>(Processed_Ratios!E104 / Processed_Ratios!$B$131) * 10</f>
        <v>5.72673117</v>
      </c>
      <c r="F104" s="15">
        <f>(Processed_Ratios!F104 / Processed_Ratios!$B$131) * 10</f>
        <v>5.413493366</v>
      </c>
      <c r="G104" s="15">
        <f>(Processed_Ratios!G104 / Processed_Ratios!$B$131) * 10</f>
        <v>5.762251402</v>
      </c>
      <c r="H104" s="15">
        <f>(Processed_Ratios!H104 / Processed_Ratios!$B$131) * 10</f>
        <v>5.873593269</v>
      </c>
      <c r="I104" s="15">
        <f>(Processed_Ratios!I104 / Processed_Ratios!$B$131) * 10</f>
        <v>5.147188859</v>
      </c>
      <c r="J104" s="15">
        <f>(Processed_Ratios!J104 / Processed_Ratios!$B$131) * 10</f>
        <v>5.147188859</v>
      </c>
      <c r="K104" s="15">
        <f>(Processed_Ratios!K104 / Processed_Ratios!$B$131) * 10</f>
        <v>5.147188859</v>
      </c>
      <c r="L104" s="15">
        <f>(Processed_Ratios!L104 / Processed_Ratios!$B$131) * 10</f>
        <v>5.147188859</v>
      </c>
      <c r="M104" s="15">
        <f>(Processed_Ratios!M104 / Processed_Ratios!$B$131) * 10</f>
        <v>5.147188859</v>
      </c>
    </row>
    <row r="105">
      <c r="A105" s="6" t="s">
        <v>5</v>
      </c>
      <c r="B105" s="8">
        <f>(Processed_Ratios!B105 / Processed_Ratios!$B$131) * 10</f>
        <v>5.54361534</v>
      </c>
      <c r="C105" s="8">
        <f>(Processed_Ratios!C105 / Processed_Ratios!$B$131) * 10</f>
        <v>5.603242669</v>
      </c>
      <c r="D105" s="8">
        <f>(Processed_Ratios!D105 / Processed_Ratios!$B$131) * 10</f>
        <v>5.72673117</v>
      </c>
      <c r="E105" s="15">
        <f>(Processed_Ratios!E105 / Processed_Ratios!$B$131) * 10</f>
        <v>5.573553749</v>
      </c>
      <c r="F105" s="15">
        <f>(Processed_Ratios!F105 / Processed_Ratios!$B$131) * 10</f>
        <v>5.413493366</v>
      </c>
      <c r="G105" s="15">
        <f>(Processed_Ratios!G105 / Processed_Ratios!$B$131) * 10</f>
        <v>5.748085778</v>
      </c>
      <c r="H105" s="15">
        <f>(Processed_Ratios!H105 / Processed_Ratios!$B$131) * 10</f>
        <v>6.477170809</v>
      </c>
      <c r="I105" s="15">
        <f>(Processed_Ratios!I105 / Processed_Ratios!$B$131) * 10</f>
        <v>5.294595243</v>
      </c>
      <c r="J105" s="15">
        <f>(Processed_Ratios!J105 / Processed_Ratios!$B$131) * 10</f>
        <v>5.994829345</v>
      </c>
      <c r="K105" s="15">
        <f>(Processed_Ratios!K105 / Processed_Ratios!$B$131) * 10</f>
        <v>6.377468753</v>
      </c>
      <c r="L105" s="15">
        <f>(Processed_Ratios!L105 / Processed_Ratios!$B$131) * 10</f>
        <v>6.206916199</v>
      </c>
      <c r="M105" s="15">
        <f>(Processed_Ratios!M105 / Processed_Ratios!$B$131) * 10</f>
        <v>6.482949642</v>
      </c>
    </row>
    <row r="106">
      <c r="A106" s="6" t="s">
        <v>6</v>
      </c>
      <c r="B106" s="8">
        <f>(Processed_Ratios!B106 / Processed_Ratios!$B$131) * 10</f>
        <v>2.808997432</v>
      </c>
      <c r="C106" s="8">
        <f>(Processed_Ratios!C106 / Processed_Ratios!$B$131) * 10</f>
        <v>2.693797795</v>
      </c>
      <c r="D106" s="8">
        <f>(Processed_Ratios!D106 / Processed_Ratios!$B$131) * 10</f>
        <v>2.643262909</v>
      </c>
      <c r="E106" s="15">
        <f>(Processed_Ratios!E106 / Processed_Ratios!$B$131) * 10</f>
        <v>2.342513485</v>
      </c>
      <c r="F106" s="15">
        <f>(Processed_Ratios!F106 / Processed_Ratios!$B$131) * 10</f>
        <v>2.133444721</v>
      </c>
      <c r="G106" s="15">
        <f>(Processed_Ratios!G106 / Processed_Ratios!$B$131) * 10</f>
        <v>3.133802027</v>
      </c>
      <c r="H106" s="15">
        <f>(Processed_Ratios!H106 / Processed_Ratios!$B$131) * 10</f>
        <v>2.904859262</v>
      </c>
      <c r="I106" s="15">
        <f>(Processed_Ratios!I106 / Processed_Ratios!$B$131) * 10</f>
        <v>1.740639476</v>
      </c>
      <c r="J106" s="15">
        <f>(Processed_Ratios!J106 / Processed_Ratios!$B$131) * 10</f>
        <v>1.952764609</v>
      </c>
      <c r="K106" s="15">
        <f>(Processed_Ratios!K106 / Processed_Ratios!$B$131) * 10</f>
        <v>1.584259838</v>
      </c>
      <c r="L106" s="15">
        <f>(Processed_Ratios!L106 / Processed_Ratios!$B$131) * 10</f>
        <v>1.890442615</v>
      </c>
      <c r="M106" s="15">
        <f>(Processed_Ratios!M106 / Processed_Ratios!$B$131) * 10</f>
        <v>2.054271468</v>
      </c>
    </row>
    <row r="107">
      <c r="A107" s="6" t="s">
        <v>7</v>
      </c>
      <c r="B107" s="8">
        <f>(Processed_Ratios!B107 / Processed_Ratios!$B$131) * 10</f>
        <v>2.693797795</v>
      </c>
      <c r="C107" s="8">
        <f>(Processed_Ratios!C107 / Processed_Ratios!$B$131) * 10</f>
        <v>3.264422963</v>
      </c>
      <c r="D107" s="8">
        <f>(Processed_Ratios!D107 / Processed_Ratios!$B$131) * 10</f>
        <v>3.693530422</v>
      </c>
      <c r="E107" s="15">
        <f>(Processed_Ratios!E107 / Processed_Ratios!$B$131) * 10</f>
        <v>3.913970815</v>
      </c>
      <c r="F107" s="15">
        <f>(Processed_Ratios!F107 / Processed_Ratios!$B$131) * 10</f>
        <v>4.058227594</v>
      </c>
      <c r="G107" s="15">
        <f>(Processed_Ratios!G107 / Processed_Ratios!$B$131) * 10</f>
        <v>3.292810761</v>
      </c>
      <c r="H107" s="15">
        <f>(Processed_Ratios!H107 / Processed_Ratios!$B$131) * 10</f>
        <v>3.525388703</v>
      </c>
      <c r="I107" s="15">
        <f>(Processed_Ratios!I107 / Processed_Ratios!$B$131) * 10</f>
        <v>3.133802027</v>
      </c>
      <c r="J107" s="15">
        <f>(Processed_Ratios!J107 / Processed_Ratios!$B$131) * 10</f>
        <v>3.292810761</v>
      </c>
      <c r="K107" s="15">
        <f>(Processed_Ratios!K107 / Processed_Ratios!$B$131) * 10</f>
        <v>3.264422963</v>
      </c>
      <c r="L107" s="15">
        <f>(Processed_Ratios!L107 / Processed_Ratios!$B$131) * 10</f>
        <v>3.616911345</v>
      </c>
      <c r="M107" s="15">
        <f>(Processed_Ratios!M107 / Processed_Ratios!$B$131) * 10</f>
        <v>2.920588426</v>
      </c>
    </row>
    <row r="108">
      <c r="A108" s="6" t="s">
        <v>8</v>
      </c>
      <c r="B108" s="8">
        <f>(Processed_Ratios!B108 / Processed_Ratios!$B$131) * 10</f>
        <v>0.1053076599</v>
      </c>
      <c r="C108" s="8">
        <f>(Processed_Ratios!C108 / Processed_Ratios!$B$131) * 10</f>
        <v>0.1053076599</v>
      </c>
      <c r="D108" s="8">
        <f>(Processed_Ratios!D108 / Processed_Ratios!$B$131) * 10</f>
        <v>0.1053076599</v>
      </c>
      <c r="E108" s="15">
        <f>(Processed_Ratios!E108 / Processed_Ratios!$B$131) * 10</f>
        <v>0.207591712</v>
      </c>
      <c r="F108" s="15">
        <f>(Processed_Ratios!F108 / Processed_Ratios!$B$131) * 10</f>
        <v>0.207591712</v>
      </c>
      <c r="G108" s="15">
        <f>(Processed_Ratios!G108 / Processed_Ratios!$B$131) * 10</f>
        <v>0.3070209495</v>
      </c>
      <c r="H108" s="15">
        <f>(Processed_Ratios!H108 / Processed_Ratios!$B$131) * 10</f>
        <v>0.3070209495</v>
      </c>
      <c r="I108" s="15">
        <f>(Processed_Ratios!I108 / Processed_Ratios!$B$131) * 10</f>
        <v>0.1053076599</v>
      </c>
      <c r="J108" s="15">
        <f>(Processed_Ratios!J108 / Processed_Ratios!$B$131) * 10</f>
        <v>0.1053076599</v>
      </c>
      <c r="K108" s="15">
        <f>(Processed_Ratios!K108 / Processed_Ratios!$B$131) * 10</f>
        <v>0.1053076599</v>
      </c>
      <c r="L108" s="15">
        <f>(Processed_Ratios!L108 / Processed_Ratios!$B$131) * 10</f>
        <v>0.1053076599</v>
      </c>
      <c r="M108" s="15">
        <f>(Processed_Ratios!M108 / Processed_Ratios!$B$131) * 10</f>
        <v>0.1053076599</v>
      </c>
    </row>
    <row r="109">
      <c r="A109" s="6" t="s">
        <v>9</v>
      </c>
      <c r="B109" s="8">
        <f>(Processed_Ratios!B109 / Processed_Ratios!$B$131) * 10</f>
        <v>7.067428891</v>
      </c>
      <c r="C109" s="8">
        <f>(Processed_Ratios!C109 / Processed_Ratios!$B$131) * 10</f>
        <v>7.461364837</v>
      </c>
      <c r="D109" s="8">
        <f>(Processed_Ratios!D109 / Processed_Ratios!$B$131) * 10</f>
        <v>7.747878715</v>
      </c>
      <c r="E109" s="15">
        <f>(Processed_Ratios!E109 / Processed_Ratios!$B$131) * 10</f>
        <v>7.657680232</v>
      </c>
      <c r="F109" s="15">
        <f>(Processed_Ratios!F109 / Processed_Ratios!$B$131) * 10</f>
        <v>7.657680232</v>
      </c>
      <c r="G109" s="15">
        <f>(Processed_Ratios!G109 / Processed_Ratios!$B$131) * 10</f>
        <v>7.796132045</v>
      </c>
      <c r="H109" s="15">
        <f>(Processed_Ratios!H109 / Processed_Ratios!$B$131) * 10</f>
        <v>7.594845274</v>
      </c>
      <c r="I109" s="15">
        <f>(Processed_Ratios!I109 / Processed_Ratios!$B$131) * 10</f>
        <v>8.26336025</v>
      </c>
      <c r="J109" s="15">
        <f>(Processed_Ratios!J109 / Processed_Ratios!$B$131) * 10</f>
        <v>7.835849845</v>
      </c>
      <c r="K109" s="15">
        <f>(Processed_Ratios!K109 / Processed_Ratios!$B$131) * 10</f>
        <v>7.784129845</v>
      </c>
      <c r="L109" s="15">
        <f>(Processed_Ratios!L109 / Processed_Ratios!$B$131) * 10</f>
        <v>8.061578939</v>
      </c>
      <c r="M109" s="15">
        <f>(Processed_Ratios!M109 / Processed_Ratios!$B$131) * 10</f>
        <v>8.657589547</v>
      </c>
    </row>
    <row r="110">
      <c r="A110" s="6" t="s">
        <v>10</v>
      </c>
      <c r="B110" s="8">
        <f>(Processed_Ratios!B110 / Processed_Ratios!$B$131) * 10</f>
        <v>1.584259838</v>
      </c>
      <c r="C110" s="8">
        <f>(Processed_Ratios!C110 / Processed_Ratios!$B$131) * 10</f>
        <v>1.60702445</v>
      </c>
      <c r="D110" s="8">
        <f>(Processed_Ratios!D110 / Processed_Ratios!$B$131) * 10</f>
        <v>1.538289525</v>
      </c>
      <c r="E110" s="15">
        <f>(Processed_Ratios!E110 / Processed_Ratios!$B$131) * 10</f>
        <v>1.491718277</v>
      </c>
      <c r="F110" s="15">
        <f>(Processed_Ratios!F110 / Processed_Ratios!$B$131) * 10</f>
        <v>1.420699651</v>
      </c>
      <c r="G110" s="15">
        <f>(Processed_Ratios!G110 / Processed_Ratios!$B$131) * 10</f>
        <v>3.458545283</v>
      </c>
      <c r="H110" s="15">
        <f>(Processed_Ratios!H110 / Processed_Ratios!$B$131) * 10</f>
        <v>3.089175351</v>
      </c>
      <c r="I110" s="15">
        <f>(Processed_Ratios!I110 / Processed_Ratios!$B$131) * 10</f>
        <v>3.133802027</v>
      </c>
      <c r="J110" s="15">
        <f>(Processed_Ratios!J110 / Processed_Ratios!$B$131) * 10</f>
        <v>3.362806131</v>
      </c>
      <c r="K110" s="15">
        <f>(Processed_Ratios!K110 / Processed_Ratios!$B$131) * 10</f>
        <v>3.028790011</v>
      </c>
      <c r="L110" s="15">
        <f>(Processed_Ratios!L110 / Processed_Ratios!$B$131) * 10</f>
        <v>3.841995644</v>
      </c>
      <c r="M110" s="15">
        <f>(Processed_Ratios!M110 / Processed_Ratios!$B$131) * 10</f>
        <v>4.058227594</v>
      </c>
    </row>
    <row r="111">
      <c r="A111" s="6" t="s">
        <v>11</v>
      </c>
      <c r="B111" s="8">
        <f>(Processed_Ratios!B111 / Processed_Ratios!$B$131) * 10</f>
        <v>8.15668612</v>
      </c>
      <c r="C111" s="8">
        <f>(Processed_Ratios!C111 / Processed_Ratios!$B$131) * 10</f>
        <v>8.174688431</v>
      </c>
      <c r="D111" s="8">
        <f>(Processed_Ratios!D111 / Processed_Ratios!$B$131) * 10</f>
        <v>7.694856045</v>
      </c>
      <c r="E111" s="15">
        <f>(Processed_Ratios!E111 / Processed_Ratios!$B$131) * 10</f>
        <v>7.879034007</v>
      </c>
      <c r="F111" s="15">
        <f>(Processed_Ratios!F111 / Processed_Ratios!$B$131) * 10</f>
        <v>7.948589032</v>
      </c>
      <c r="G111" s="15">
        <f>(Processed_Ratios!G111 / Processed_Ratios!$B$131) * 10</f>
        <v>8.336176065</v>
      </c>
      <c r="H111" s="15">
        <f>(Processed_Ratios!H111 / Processed_Ratios!$B$131) * 10</f>
        <v>8.249320233</v>
      </c>
      <c r="I111" s="15">
        <f>(Processed_Ratios!I111 / Processed_Ratios!$B$131) * 10</f>
        <v>8.068985698</v>
      </c>
      <c r="J111" s="15">
        <f>(Processed_Ratios!J111 / Processed_Ratios!$B$131) * 10</f>
        <v>7.906244776</v>
      </c>
      <c r="K111" s="15">
        <f>(Processed_Ratios!K111 / Processed_Ratios!$B$131) * 10</f>
        <v>7.902370225</v>
      </c>
      <c r="L111" s="15">
        <f>(Processed_Ratios!L111 / Processed_Ratios!$B$131) * 10</f>
        <v>7.963863009</v>
      </c>
      <c r="M111" s="15">
        <f>(Processed_Ratios!M111 / Processed_Ratios!$B$131) * 10</f>
        <v>7.940927417</v>
      </c>
    </row>
    <row r="112">
      <c r="A112" s="6" t="s">
        <v>12</v>
      </c>
      <c r="B112" s="8">
        <f>(Processed_Ratios!B112 / Processed_Ratios!$B$131) * 10</f>
        <v>1.372555003</v>
      </c>
      <c r="C112" s="8">
        <f>(Processed_Ratios!C112 / Processed_Ratios!$B$131) * 10</f>
        <v>1.420699651</v>
      </c>
      <c r="D112" s="8">
        <f>(Processed_Ratios!D112 / Processed_Ratios!$B$131) * 10</f>
        <v>1.60702445</v>
      </c>
      <c r="E112" s="15">
        <f>(Processed_Ratios!E112 / Processed_Ratios!$B$131) * 10</f>
        <v>1.584259838</v>
      </c>
      <c r="F112" s="15">
        <f>(Processed_Ratios!F112 / Processed_Ratios!$B$131) * 10</f>
        <v>1.274268776</v>
      </c>
      <c r="G112" s="15">
        <f>(Processed_Ratios!G112 / Processed_Ratios!$B$131) * 10</f>
        <v>1.249267622</v>
      </c>
      <c r="H112" s="15">
        <f>(Processed_Ratios!H112 / Processed_Ratios!$B$131) * 10</f>
        <v>0.8794759992</v>
      </c>
      <c r="I112" s="15">
        <f>(Processed_Ratios!I112 / Processed_Ratios!$B$131) * 10</f>
        <v>0.7375189824</v>
      </c>
      <c r="J112" s="15">
        <f>(Processed_Ratios!J112 / Processed_Ratios!$B$131) * 10</f>
        <v>0.6197347092</v>
      </c>
      <c r="K112" s="15">
        <f>(Processed_Ratios!K112 / Processed_Ratios!$B$131) * 10</f>
        <v>0.6495478519</v>
      </c>
      <c r="L112" s="15">
        <f>(Processed_Ratios!L112 / Processed_Ratios!$B$131) * 10</f>
        <v>0.6495478519</v>
      </c>
      <c r="M112" s="15">
        <f>(Processed_Ratios!M112 / Processed_Ratios!$B$131) * 10</f>
        <v>0.8233701189</v>
      </c>
      <c r="N112" s="6"/>
    </row>
    <row r="113">
      <c r="A113" s="6" t="s">
        <v>13</v>
      </c>
      <c r="B113" s="8">
        <f>(Processed_Ratios!B113 / Processed_Ratios!$B$131) * 10</f>
        <v>0.4354186208</v>
      </c>
      <c r="C113" s="8">
        <f>(Processed_Ratios!C113 / Processed_Ratios!$B$131) * 10</f>
        <v>0.4668078086</v>
      </c>
      <c r="D113" s="8">
        <f>(Processed_Ratios!D113 / Processed_Ratios!$B$131) * 10</f>
        <v>0.7375189824</v>
      </c>
      <c r="E113" s="15">
        <f>(Processed_Ratios!E113 / Processed_Ratios!$B$131) * 10</f>
        <v>0.7663665066</v>
      </c>
      <c r="F113" s="15">
        <f>(Processed_Ratios!F113 / Processed_Ratios!$B$131) * 10</f>
        <v>0.7375189824</v>
      </c>
      <c r="G113" s="15">
        <f>(Processed_Ratios!G113 / Processed_Ratios!$B$131) * 10</f>
        <v>0.6791135798</v>
      </c>
      <c r="H113" s="15">
        <f>(Processed_Ratios!H113 / Processed_Ratios!$B$131) * 10</f>
        <v>0.7663665066</v>
      </c>
      <c r="I113" s="15">
        <f>(Processed_Ratios!I113 / Processed_Ratios!$B$131) * 10</f>
        <v>0.7375189824</v>
      </c>
      <c r="J113" s="15">
        <f>(Processed_Ratios!J113 / Processed_Ratios!$B$131) * 10</f>
        <v>0.7949823212</v>
      </c>
      <c r="K113" s="15">
        <f>(Processed_Ratios!K113 / Processed_Ratios!$B$131) * 10</f>
        <v>1.249267622</v>
      </c>
      <c r="L113" s="15">
        <f>(Processed_Ratios!L113 / Processed_Ratios!$B$131) * 10</f>
        <v>1.299095704</v>
      </c>
      <c r="M113" s="15">
        <f>(Processed_Ratios!M113 / Processed_Ratios!$B$131) * 10</f>
        <v>1.34823648</v>
      </c>
      <c r="N113" s="6"/>
    </row>
    <row r="114">
      <c r="A114" s="6" t="s">
        <v>14</v>
      </c>
      <c r="B114" s="8">
        <f>(Processed_Ratios!B114 / Processed_Ratios!$B$131) * 10</f>
        <v>6.014640238</v>
      </c>
      <c r="C114" s="8">
        <f>(Processed_Ratios!C114 / Processed_Ratios!$B$131) * 10</f>
        <v>6.329566858</v>
      </c>
      <c r="D114" s="8">
        <f>(Processed_Ratios!D114 / Processed_Ratios!$B$131) * 10</f>
        <v>6.09923681</v>
      </c>
      <c r="E114" s="15">
        <f>(Processed_Ratios!E114 / Processed_Ratios!$B$131) * 10</f>
        <v>6.09923681</v>
      </c>
      <c r="F114" s="15">
        <f>(Processed_Ratios!F114 / Processed_Ratios!$B$131) * 10</f>
        <v>6.181871107</v>
      </c>
      <c r="G114" s="15">
        <f>(Processed_Ratios!G114 / Processed_Ratios!$B$131) * 10</f>
        <v>6.568525808</v>
      </c>
      <c r="H114" s="15">
        <f>(Processed_Ratios!H114 / Processed_Ratios!$B$131) * 10</f>
        <v>6.808305255</v>
      </c>
      <c r="I114" s="15">
        <f>(Processed_Ratios!I114 / Processed_Ratios!$B$131) * 10</f>
        <v>6.860621169</v>
      </c>
      <c r="J114" s="15">
        <f>(Processed_Ratios!J114 / Processed_Ratios!$B$131) * 10</f>
        <v>7.023049289</v>
      </c>
      <c r="K114" s="15">
        <f>(Processed_Ratios!K114 / Processed_Ratios!$B$131) * 10</f>
        <v>7.101568164</v>
      </c>
      <c r="L114" s="15">
        <f>(Processed_Ratios!L114 / Processed_Ratios!$B$131) * 10</f>
        <v>6.978109873</v>
      </c>
      <c r="M114" s="15">
        <f>(Processed_Ratios!M114 / Processed_Ratios!$B$131) * 10</f>
        <v>7.202065956</v>
      </c>
    </row>
    <row r="115">
      <c r="A115" s="6" t="s">
        <v>15</v>
      </c>
      <c r="B115" s="8">
        <f>(Processed_Ratios!B115 / Processed_Ratios!$B$131) * 10</f>
        <v>3.013532387</v>
      </c>
      <c r="C115" s="8">
        <f>(Processed_Ratios!C115 / Processed_Ratios!$B$131) * 10</f>
        <v>2.998209138</v>
      </c>
      <c r="D115" s="8">
        <f>(Processed_Ratios!D115 / Processed_Ratios!$B$131) * 10</f>
        <v>3.013532387</v>
      </c>
      <c r="E115" s="15">
        <f>(Processed_Ratios!E115 / Processed_Ratios!$B$131) * 10</f>
        <v>3.264422963</v>
      </c>
      <c r="F115" s="15">
        <f>(Processed_Ratios!F115 / Processed_Ratios!$B$131) * 10</f>
        <v>3.577974894</v>
      </c>
      <c r="G115" s="15">
        <f>(Processed_Ratios!G115 / Processed_Ratios!$B$131) * 10</f>
        <v>4.019278475</v>
      </c>
      <c r="H115" s="15">
        <f>(Processed_Ratios!H115 / Processed_Ratios!$B$131) * 10</f>
        <v>3.937642993</v>
      </c>
      <c r="I115" s="15">
        <f>(Processed_Ratios!I115 / Processed_Ratios!$B$131) * 10</f>
        <v>3.485433334</v>
      </c>
      <c r="J115" s="15">
        <f>(Processed_Ratios!J115 / Processed_Ratios!$B$131) * 10</f>
        <v>3.512119974</v>
      </c>
      <c r="K115" s="15">
        <f>(Processed_Ratios!K115 / Processed_Ratios!$B$131) * 10</f>
        <v>3.902075479</v>
      </c>
      <c r="L115" s="15">
        <f>(Processed_Ratios!L115 / Processed_Ratios!$B$131) * 10</f>
        <v>3.925826565</v>
      </c>
      <c r="M115" s="15">
        <f>(Processed_Ratios!M115 / Processed_Ratios!$B$131) * 10</f>
        <v>4.058227594</v>
      </c>
      <c r="N115" s="6"/>
    </row>
    <row r="116">
      <c r="A116" s="6" t="s">
        <v>16</v>
      </c>
      <c r="B116" s="8">
        <f>(Processed_Ratios!B116 / Processed_Ratios!$B$131) * 10</f>
        <v>3.362806131</v>
      </c>
      <c r="C116" s="8">
        <f>(Processed_Ratios!C116 / Processed_Ratios!$B$131) * 10</f>
        <v>3.348916641</v>
      </c>
      <c r="D116" s="8">
        <f>(Processed_Ratios!D116 / Processed_Ratios!$B$131) * 10</f>
        <v>3.362806131</v>
      </c>
      <c r="E116" s="15">
        <f>(Processed_Ratios!E116 / Processed_Ratios!$B$131) * 10</f>
        <v>3.376641682</v>
      </c>
      <c r="F116" s="15">
        <f>(Processed_Ratios!F116 / Processed_Ratios!$B$131) * 10</f>
        <v>3.163245581</v>
      </c>
      <c r="G116" s="15">
        <f>(Processed_Ratios!G116 / Processed_Ratios!$B$131) * 10</f>
        <v>3.348916641</v>
      </c>
      <c r="H116" s="15">
        <f>(Processed_Ratios!H116 / Processed_Ratios!$B$131) * 10</f>
        <v>3.04398257</v>
      </c>
      <c r="I116" s="15">
        <f>(Processed_Ratios!I116 / Processed_Ratios!$B$131) * 10</f>
        <v>2.857250762</v>
      </c>
      <c r="J116" s="15">
        <f>(Processed_Ratios!J116 / Processed_Ratios!$B$131) * 10</f>
        <v>3.04398257</v>
      </c>
      <c r="K116" s="15">
        <f>(Processed_Ratios!K116 / Processed_Ratios!$B$131) * 10</f>
        <v>2.743625877</v>
      </c>
      <c r="L116" s="15">
        <f>(Processed_Ratios!L116 / Processed_Ratios!$B$131) * 10</f>
        <v>2.71048471</v>
      </c>
      <c r="M116" s="15">
        <f>(Processed_Ratios!M116 / Processed_Ratios!$B$131) * 10</f>
        <v>2.825154601</v>
      </c>
      <c r="N116" s="6"/>
    </row>
    <row r="117">
      <c r="A117" s="6" t="s">
        <v>17</v>
      </c>
      <c r="B117" s="8">
        <f>(Processed_Ratios!B117 / Processed_Ratios!$B$131) * 10</f>
        <v>0.9347119858</v>
      </c>
      <c r="C117" s="8">
        <f>(Processed_Ratios!C117 / Processed_Ratios!$B$131) * 10</f>
        <v>1.095460294</v>
      </c>
      <c r="D117" s="8">
        <f>(Processed_Ratios!D117 / Processed_Ratios!$B$131) * 10</f>
        <v>1.095460294</v>
      </c>
      <c r="E117" s="15">
        <f>(Processed_Ratios!E117 / Processed_Ratios!$B$131) * 10</f>
        <v>1.042679332</v>
      </c>
      <c r="F117" s="15">
        <f>(Processed_Ratios!F117 / Processed_Ratios!$B$131) * 10</f>
        <v>1.015992692</v>
      </c>
      <c r="G117" s="15">
        <f>(Processed_Ratios!G117 / Processed_Ratios!$B$131) * 10</f>
        <v>0.8515335049</v>
      </c>
      <c r="H117" s="15">
        <f>(Processed_Ratios!H117 / Processed_Ratios!$B$131) * 10</f>
        <v>0.9620121176</v>
      </c>
      <c r="I117" s="15">
        <f>(Processed_Ratios!I117 / Processed_Ratios!$B$131) * 10</f>
        <v>1.042679332</v>
      </c>
      <c r="J117" s="15">
        <f>(Processed_Ratios!J117 / Processed_Ratios!$B$131) * 10</f>
        <v>1.069167556</v>
      </c>
      <c r="K117" s="15">
        <f>(Processed_Ratios!K117 / Processed_Ratios!$B$131) * 10</f>
        <v>1.22408978</v>
      </c>
      <c r="L117" s="15">
        <f>(Processed_Ratios!L117 / Processed_Ratios!$B$131) * 10</f>
        <v>1.538289525</v>
      </c>
      <c r="M117" s="15">
        <f>(Processed_Ratios!M117 / Processed_Ratios!$B$131) * 10</f>
        <v>1.718715408</v>
      </c>
      <c r="N117" s="6"/>
    </row>
    <row r="118">
      <c r="A118" s="6" t="s">
        <v>18</v>
      </c>
      <c r="B118" s="8">
        <f>(Processed_Ratios!B118 / Processed_Ratios!$B$131) * 10</f>
        <v>2.72709383</v>
      </c>
      <c r="C118" s="8">
        <f>(Processed_Ratios!C118 / Processed_Ratios!$B$131) * 10</f>
        <v>2.873191056</v>
      </c>
      <c r="D118" s="8">
        <f>(Processed_Ratios!D118 / Processed_Ratios!$B$131) * 10</f>
        <v>3.013532387</v>
      </c>
      <c r="E118" s="15">
        <f>(Processed_Ratios!E118 / Processed_Ratios!$B$131) * 10</f>
        <v>3.013532387</v>
      </c>
      <c r="F118" s="15">
        <f>(Processed_Ratios!F118 / Processed_Ratios!$B$131) * 10</f>
        <v>3.089175351</v>
      </c>
      <c r="G118" s="15">
        <f>(Processed_Ratios!G118 / Processed_Ratios!$B$131) * 10</f>
        <v>3.133802027</v>
      </c>
      <c r="H118" s="15">
        <f>(Processed_Ratios!H118 / Processed_Ratios!$B$131) * 10</f>
        <v>2.904859262</v>
      </c>
      <c r="I118" s="15">
        <f>(Processed_Ratios!I118 / Processed_Ratios!$B$131) * 10</f>
        <v>2.693797795</v>
      </c>
      <c r="J118" s="15">
        <f>(Processed_Ratios!J118 / Processed_Ratios!$B$131) * 10</f>
        <v>2.539990467</v>
      </c>
      <c r="K118" s="15">
        <f>(Processed_Ratios!K118 / Processed_Ratios!$B$131) * 10</f>
        <v>2.379242159</v>
      </c>
      <c r="L118" s="15">
        <f>(Processed_Ratios!L118 / Processed_Ratios!$B$131) * 10</f>
        <v>2.397465471</v>
      </c>
      <c r="M118" s="15">
        <f>(Processed_Ratios!M118 / Processed_Ratios!$B$131) * 10</f>
        <v>1.952764609</v>
      </c>
      <c r="N118" s="6"/>
    </row>
    <row r="119">
      <c r="A119" s="6" t="s">
        <v>19</v>
      </c>
      <c r="B119" s="8">
        <f>(Processed_Ratios!B119 / Processed_Ratios!$B$131) * 10</f>
        <v>3.133802027</v>
      </c>
      <c r="C119" s="8">
        <f>(Processed_Ratios!C119 / Processed_Ratios!$B$131) * 10</f>
        <v>3.148554221</v>
      </c>
      <c r="D119" s="8">
        <f>(Processed_Ratios!D119 / Processed_Ratios!$B$131) * 10</f>
        <v>3.292810761</v>
      </c>
      <c r="E119" s="15">
        <f>(Processed_Ratios!E119 / Processed_Ratios!$B$131) * 10</f>
        <v>3.629796168</v>
      </c>
      <c r="F119" s="15">
        <f>(Processed_Ratios!F119 / Processed_Ratios!$B$131) * 10</f>
        <v>3.756144508</v>
      </c>
      <c r="G119" s="15">
        <f>(Processed_Ratios!G119 / Processed_Ratios!$B$131) * 10</f>
        <v>4.058227594</v>
      </c>
      <c r="H119" s="15">
        <f>(Processed_Ratios!H119 / Processed_Ratios!$B$131) * 10</f>
        <v>4.058227594</v>
      </c>
      <c r="I119" s="15">
        <f>(Processed_Ratios!I119 / Processed_Ratios!$B$131) * 10</f>
        <v>4.058227594</v>
      </c>
      <c r="J119" s="15">
        <f>(Processed_Ratios!J119 / Processed_Ratios!$B$131) * 10</f>
        <v>4.058227594</v>
      </c>
      <c r="K119" s="15">
        <f>(Processed_Ratios!K119 / Processed_Ratios!$B$131) * 10</f>
        <v>4.058227594</v>
      </c>
      <c r="L119" s="15">
        <f>(Processed_Ratios!L119 / Processed_Ratios!$B$131) * 10</f>
        <v>4.058227594</v>
      </c>
      <c r="M119" s="15">
        <f>(Processed_Ratios!M119 / Processed_Ratios!$B$131) * 10</f>
        <v>4.058227594</v>
      </c>
      <c r="N119" s="6"/>
    </row>
    <row r="120">
      <c r="A120" s="6" t="s">
        <v>20</v>
      </c>
      <c r="B120" s="8">
        <f>(Processed_Ratios!B120 / Processed_Ratios!$B$131) * 10</f>
        <v>1.22408978</v>
      </c>
      <c r="C120" s="8">
        <f>(Processed_Ratios!C120 / Processed_Ratios!$B$131) * 10</f>
        <v>1.22408978</v>
      </c>
      <c r="D120" s="8">
        <f>(Processed_Ratios!D120 / Processed_Ratios!$B$131) * 10</f>
        <v>1.299095704</v>
      </c>
      <c r="E120" s="15">
        <f>(Processed_Ratios!E120 / Processed_Ratios!$B$131) * 10</f>
        <v>1.042679332</v>
      </c>
      <c r="F120" s="15">
        <f>(Processed_Ratios!F120 / Processed_Ratios!$B$131) * 10</f>
        <v>0.9891046418</v>
      </c>
      <c r="G120" s="15">
        <f>(Processed_Ratios!G120 / Processed_Ratios!$B$131) * 10</f>
        <v>1.784086963</v>
      </c>
      <c r="H120" s="15">
        <f>(Processed_Ratios!H120 / Processed_Ratios!$B$131) * 10</f>
        <v>1.890442615</v>
      </c>
      <c r="I120" s="15">
        <f>(Processed_Ratios!I120 / Processed_Ratios!$B$131) * 10</f>
        <v>1.718715408</v>
      </c>
      <c r="J120" s="15">
        <f>(Processed_Ratios!J120 / Processed_Ratios!$B$131) * 10</f>
        <v>1.890442615</v>
      </c>
      <c r="K120" s="15">
        <f>(Processed_Ratios!K120 / Processed_Ratios!$B$131) * 10</f>
        <v>1.932111509</v>
      </c>
      <c r="L120" s="15">
        <f>(Processed_Ratios!L120 / Processed_Ratios!$B$131) * 10</f>
        <v>1.848280587</v>
      </c>
      <c r="M120" s="15">
        <f>(Processed_Ratios!M120 / Processed_Ratios!$B$131) * 10</f>
        <v>1.848280587</v>
      </c>
      <c r="N120" s="6"/>
    </row>
    <row r="121">
      <c r="A121" s="6" t="s">
        <v>21</v>
      </c>
      <c r="B121" s="8">
        <f>(Processed_Ratios!B121 / Processed_Ratios!$B$131) * 10</f>
        <v>9.64308105</v>
      </c>
      <c r="C121" s="8">
        <f>(Processed_Ratios!C121 / Processed_Ratios!$B$131) * 10</f>
        <v>9.919819809</v>
      </c>
      <c r="D121" s="8">
        <f>(Processed_Ratios!D121 / Processed_Ratios!$B$131) * 10</f>
        <v>9.998170793</v>
      </c>
      <c r="E121" s="15">
        <f>(Processed_Ratios!E121 / Processed_Ratios!$B$131) * 10</f>
        <v>10</v>
      </c>
      <c r="F121" s="15">
        <f>(Processed_Ratios!F121 / Processed_Ratios!$B$131) * 10</f>
        <v>10</v>
      </c>
      <c r="G121" s="15">
        <f>(Processed_Ratios!G121 / Processed_Ratios!$B$131) * 10</f>
        <v>10</v>
      </c>
      <c r="H121" s="15">
        <f>(Processed_Ratios!H121 / Processed_Ratios!$B$131) * 10</f>
        <v>10</v>
      </c>
      <c r="I121" s="15">
        <f>(Processed_Ratios!I121 / Processed_Ratios!$B$131) * 10</f>
        <v>9.805787396</v>
      </c>
      <c r="J121" s="15">
        <f>(Processed_Ratios!J121 / Processed_Ratios!$B$131) * 10</f>
        <v>9.839706882</v>
      </c>
      <c r="K121" s="15">
        <f>(Processed_Ratios!K121 / Processed_Ratios!$B$131) * 10</f>
        <v>9.970075745</v>
      </c>
      <c r="L121" s="15">
        <f>(Processed_Ratios!L121 / Processed_Ratios!$B$131) * 10</f>
        <v>10</v>
      </c>
      <c r="M121" s="15">
        <f>(Processed_Ratios!M121 / Processed_Ratios!$B$131) * 10</f>
        <v>9.928611053</v>
      </c>
    </row>
    <row r="122">
      <c r="A122" s="6" t="s">
        <v>22</v>
      </c>
      <c r="B122" s="8">
        <f>(Processed_Ratios!B122 / Processed_Ratios!$B$131) * 10</f>
        <v>0.8515335049</v>
      </c>
      <c r="C122" s="8">
        <f>(Processed_Ratios!C122 / Processed_Ratios!$B$131) * 10</f>
        <v>1.042679332</v>
      </c>
      <c r="D122" s="8">
        <f>(Processed_Ratios!D122 / Processed_Ratios!$B$131) * 10</f>
        <v>1.173193918</v>
      </c>
      <c r="E122" s="15">
        <f>(Processed_Ratios!E122 / Processed_Ratios!$B$131) * 10</f>
        <v>1.173193918</v>
      </c>
      <c r="F122" s="15">
        <f>(Processed_Ratios!F122 / Processed_Ratios!$B$131) * 10</f>
        <v>1.173193918</v>
      </c>
      <c r="G122" s="15">
        <f>(Processed_Ratios!G122 / Processed_Ratios!$B$131) * 10</f>
        <v>1.274268776</v>
      </c>
      <c r="H122" s="15">
        <f>(Processed_Ratios!H122 / Processed_Ratios!$B$131) * 10</f>
        <v>1.198732736</v>
      </c>
      <c r="I122" s="15">
        <f>(Processed_Ratios!I122 / Processed_Ratios!$B$131) * 10</f>
        <v>1.22408978</v>
      </c>
      <c r="J122" s="15">
        <f>(Processed_Ratios!J122 / Processed_Ratios!$B$131) * 10</f>
        <v>1.015992692</v>
      </c>
      <c r="K122" s="15">
        <f>(Processed_Ratios!K122 / Processed_Ratios!$B$131) * 10</f>
        <v>1.015992692</v>
      </c>
      <c r="L122" s="15">
        <f>(Processed_Ratios!L122 / Processed_Ratios!$B$131) * 10</f>
        <v>1.249267622</v>
      </c>
      <c r="M122" s="15">
        <f>(Processed_Ratios!M122 / Processed_Ratios!$B$131) * 10</f>
        <v>0.9347119858</v>
      </c>
    </row>
    <row r="123">
      <c r="A123" s="6" t="s">
        <v>23</v>
      </c>
      <c r="B123" s="8">
        <f>(Processed_Ratios!B123 / Processed_Ratios!$B$131) * 10</f>
        <v>1.538289525</v>
      </c>
      <c r="C123" s="8">
        <f>(Processed_Ratios!C123 / Processed_Ratios!$B$131) * 10</f>
        <v>2.743625877</v>
      </c>
      <c r="D123" s="8">
        <f>(Processed_Ratios!D123 / Processed_Ratios!$B$131) * 10</f>
        <v>4.058227594</v>
      </c>
      <c r="E123" s="15">
        <f>(Processed_Ratios!E123 / Processed_Ratios!$B$131) * 10</f>
        <v>4.058227594</v>
      </c>
      <c r="F123" s="15">
        <f>(Processed_Ratios!F123 / Processed_Ratios!$B$131) * 10</f>
        <v>4.007730167</v>
      </c>
      <c r="G123" s="15">
        <f>(Processed_Ratios!G123 / Processed_Ratios!$B$131) * 10</f>
        <v>3.376641682</v>
      </c>
      <c r="H123" s="15">
        <f>(Processed_Ratios!H123 / Processed_Ratios!$B$131) * 10</f>
        <v>3.278645136</v>
      </c>
      <c r="I123" s="15">
        <f>(Processed_Ratios!I123 / Processed_Ratios!$B$131) * 10</f>
        <v>2.133444721</v>
      </c>
      <c r="J123" s="15">
        <f>(Processed_Ratios!J123 / Processed_Ratios!$B$131) * 10</f>
        <v>2.93624845</v>
      </c>
      <c r="K123" s="15">
        <f>(Processed_Ratios!K123 / Processed_Ratios!$B$131) * 10</f>
        <v>2.054271468</v>
      </c>
      <c r="L123" s="15">
        <f>(Processed_Ratios!L123 / Processed_Ratios!$B$131) * 10</f>
        <v>2.857250762</v>
      </c>
      <c r="M123" s="15">
        <f>(Processed_Ratios!M123 / Processed_Ratios!$B$131) * 10</f>
        <v>2.172381172</v>
      </c>
    </row>
    <row r="124">
      <c r="A124" s="6" t="s">
        <v>24</v>
      </c>
      <c r="B124" s="8">
        <f>(Processed_Ratios!B124 / Processed_Ratios!$B$131) * 10</f>
        <v>2.433634815</v>
      </c>
      <c r="C124" s="8">
        <f>(Processed_Ratios!C124 / Processed_Ratios!$B$131) * 10</f>
        <v>2.267900292</v>
      </c>
      <c r="D124" s="8">
        <f>(Processed_Ratios!D124 / Processed_Ratios!$B$131) * 10</f>
        <v>2.01401511</v>
      </c>
      <c r="E124" s="15">
        <f>(Processed_Ratios!E124 / Processed_Ratios!$B$131) * 10</f>
        <v>1.67445832</v>
      </c>
      <c r="F124" s="15">
        <f>(Processed_Ratios!F124 / Processed_Ratios!$B$131) * 10</f>
        <v>2.643262909</v>
      </c>
      <c r="G124" s="15">
        <f>(Processed_Ratios!G124 / Processed_Ratios!$B$131) * 10</f>
        <v>3.39042371</v>
      </c>
      <c r="H124" s="15">
        <f>(Processed_Ratios!H124 / Processed_Ratios!$B$131) * 10</f>
        <v>3.074174698</v>
      </c>
      <c r="I124" s="15">
        <f>(Processed_Ratios!I124 / Processed_Ratios!$B$131) * 10</f>
        <v>3.278645136</v>
      </c>
      <c r="J124" s="15">
        <f>(Processed_Ratios!J124 / Processed_Ratios!$B$131) * 10</f>
        <v>4.058227594</v>
      </c>
      <c r="K124" s="15">
        <f>(Processed_Ratios!K124 / Processed_Ratios!$B$131) * 10</f>
        <v>3.841995644</v>
      </c>
      <c r="L124" s="15">
        <f>(Processed_Ratios!L124 / Processed_Ratios!$B$131) * 10</f>
        <v>4.058227594</v>
      </c>
      <c r="M124" s="15">
        <f>(Processed_Ratios!M124 / Processed_Ratios!$B$131) * 10</f>
        <v>3.525388703</v>
      </c>
    </row>
    <row r="125">
      <c r="A125" s="6" t="s">
        <v>25</v>
      </c>
      <c r="B125" s="8">
        <f>(Processed_Ratios!B125 / Processed_Ratios!$B$131) * 10</f>
        <v>1.869423972</v>
      </c>
      <c r="C125" s="8">
        <f>(Processed_Ratios!C125 / Processed_Ratios!$B$131) * 10</f>
        <v>1.827010973</v>
      </c>
      <c r="D125" s="8">
        <f>(Processed_Ratios!D125 / Processed_Ratios!$B$131) * 10</f>
        <v>1.652121885</v>
      </c>
      <c r="E125" s="15">
        <f>(Processed_Ratios!E125 / Processed_Ratios!$B$131) * 10</f>
        <v>1.629644525</v>
      </c>
      <c r="F125" s="15">
        <f>(Processed_Ratios!F125 / Processed_Ratios!$B$131) * 10</f>
        <v>1.444530173</v>
      </c>
      <c r="G125" s="15">
        <f>(Processed_Ratios!G125 / Processed_Ratios!$B$131) * 10</f>
        <v>1.249267622</v>
      </c>
      <c r="H125" s="15">
        <f>(Processed_Ratios!H125 / Processed_Ratios!$B$131) * 10</f>
        <v>0.8233701189</v>
      </c>
      <c r="I125" s="15">
        <f>(Processed_Ratios!I125 / Processed_Ratios!$B$131) * 10</f>
        <v>0.8233701189</v>
      </c>
      <c r="J125" s="15">
        <f>(Processed_Ratios!J125 / Processed_Ratios!$B$131) * 10</f>
        <v>0.6197347092</v>
      </c>
      <c r="K125" s="15">
        <f>(Processed_Ratios!K125 / Processed_Ratios!$B$131) * 10</f>
        <v>0.7084359657</v>
      </c>
      <c r="L125" s="15">
        <f>(Processed_Ratios!L125 / Processed_Ratios!$B$131) * 10</f>
        <v>0.8233701189</v>
      </c>
      <c r="M125" s="15">
        <f>(Processed_Ratios!M125 / Processed_Ratios!$B$131) * 10</f>
        <v>0.8515335049</v>
      </c>
    </row>
    <row r="126">
      <c r="A126" s="6" t="s">
        <v>26</v>
      </c>
      <c r="B126" s="8">
        <f>(Processed_Ratios!B126 / Processed_Ratios!$B$131) * 10</f>
        <v>0.1053076599</v>
      </c>
      <c r="C126" s="8">
        <f>(Processed_Ratios!C126 / Processed_Ratios!$B$131) * 10</f>
        <v>0.207591712</v>
      </c>
      <c r="D126" s="8">
        <f>(Processed_Ratios!D126 / Processed_Ratios!$B$131) * 10</f>
        <v>0.207591712</v>
      </c>
      <c r="E126" s="15">
        <f>(Processed_Ratios!E126 / Processed_Ratios!$B$131) * 10</f>
        <v>0.207591712</v>
      </c>
      <c r="F126" s="15">
        <f>(Processed_Ratios!F126 / Processed_Ratios!$B$131) * 10</f>
        <v>0.2410440682</v>
      </c>
      <c r="G126" s="15">
        <f>(Processed_Ratios!G126 / Processed_Ratios!$B$131) * 10</f>
        <v>0.3717981843</v>
      </c>
      <c r="H126" s="15">
        <f>(Processed_Ratios!H126 / Processed_Ratios!$B$131) * 10</f>
        <v>0.2410440682</v>
      </c>
      <c r="I126" s="15">
        <f>(Processed_Ratios!I126 / Processed_Ratios!$B$131) * 10</f>
        <v>0.3070209495</v>
      </c>
      <c r="J126" s="15">
        <f>(Processed_Ratios!J126 / Processed_Ratios!$B$131) * 10</f>
        <v>0.2410440682</v>
      </c>
      <c r="K126" s="15">
        <f>(Processed_Ratios!K126 / Processed_Ratios!$B$131) * 10</f>
        <v>0.2410440682</v>
      </c>
      <c r="L126" s="15">
        <f>(Processed_Ratios!L126 / Processed_Ratios!$B$131) * 10</f>
        <v>0.207591712</v>
      </c>
      <c r="M126" s="15">
        <f>(Processed_Ratios!M126 / Processed_Ratios!$B$131) * 10</f>
        <v>0.1053076599</v>
      </c>
    </row>
    <row r="127">
      <c r="A127" s="6" t="s">
        <v>27</v>
      </c>
      <c r="B127" s="8">
        <f>(Processed_Ratios!B127 / Processed_Ratios!$B$131) * 10</f>
        <v>3.348916641</v>
      </c>
      <c r="C127" s="8">
        <f>(Processed_Ratios!C127 / Processed_Ratios!$B$131) * 10</f>
        <v>3.118988493</v>
      </c>
      <c r="D127" s="8">
        <f>(Processed_Ratios!D127 / Processed_Ratios!$B$131) * 10</f>
        <v>1.740639476</v>
      </c>
      <c r="E127" s="15">
        <f>(Processed_Ratios!E127 / Processed_Ratios!$B$131) * 10</f>
        <v>0.207591712</v>
      </c>
      <c r="F127" s="15">
        <f>(Processed_Ratios!F127 / Processed_Ratios!$B$131) * 10</f>
        <v>1.629644525</v>
      </c>
      <c r="G127" s="15">
        <f>(Processed_Ratios!G127 / Processed_Ratios!$B$131) * 10</f>
        <v>1.069167556</v>
      </c>
      <c r="H127" s="15">
        <f>(Processed_Ratios!H127 / Processed_Ratios!$B$131) * 10</f>
        <v>1.173193918</v>
      </c>
      <c r="I127" s="15">
        <f>(Processed_Ratios!I127 / Processed_Ratios!$B$131) * 10</f>
        <v>1.015992692</v>
      </c>
      <c r="J127" s="15">
        <f>(Processed_Ratios!J127 / Processed_Ratios!$B$131) * 10</f>
        <v>1.299095704</v>
      </c>
      <c r="K127" s="15">
        <f>(Processed_Ratios!K127 / Processed_Ratios!$B$131) * 10</f>
        <v>0.1053076599</v>
      </c>
      <c r="L127" s="15">
        <f>(Processed_Ratios!L127 / Processed_Ratios!$B$131) * 10</f>
        <v>0.1053076599</v>
      </c>
      <c r="M127" s="15">
        <f>(Processed_Ratios!M127 / Processed_Ratios!$B$131) * 10</f>
        <v>0.9891046418</v>
      </c>
    </row>
    <row r="128">
      <c r="A128" s="6" t="s">
        <v>28</v>
      </c>
      <c r="B128" s="8">
        <f>(Processed_Ratios!B128 / Processed_Ratios!$B$131) * 10</f>
        <v>0.3070209495</v>
      </c>
      <c r="C128" s="8">
        <f>(Processed_Ratios!C128 / Processed_Ratios!$B$131) * 10</f>
        <v>0.4037504143</v>
      </c>
      <c r="D128" s="8">
        <f>(Processed_Ratios!D128 / Processed_Ratios!$B$131) * 10</f>
        <v>0.6197347092</v>
      </c>
      <c r="E128" s="15">
        <f>(Processed_Ratios!E128 / Processed_Ratios!$B$131) * 10</f>
        <v>0.6791135798</v>
      </c>
      <c r="F128" s="15">
        <f>(Processed_Ratios!F128 / Processed_Ratios!$B$131) * 10</f>
        <v>0.1053076599</v>
      </c>
      <c r="G128" s="15">
        <f>(Processed_Ratios!G128 / Processed_Ratios!$B$131) * 10</f>
        <v>0.4354186208</v>
      </c>
      <c r="H128" s="15">
        <f>(Processed_Ratios!H128 / Processed_Ratios!$B$131) * 10</f>
        <v>0.7663665066</v>
      </c>
      <c r="I128" s="15">
        <f>(Processed_Ratios!I128 / Processed_Ratios!$B$131) * 10</f>
        <v>0.7949823212</v>
      </c>
      <c r="J128" s="15">
        <f>(Processed_Ratios!J128 / Processed_Ratios!$B$131) * 10</f>
        <v>0.6197347092</v>
      </c>
      <c r="K128" s="15">
        <f>(Processed_Ratios!K128 / Processed_Ratios!$B$131) * 10</f>
        <v>0.2410440682</v>
      </c>
      <c r="L128" s="15">
        <f>(Processed_Ratios!L128 / Processed_Ratios!$B$131) * 10</f>
        <v>0.2741852353</v>
      </c>
      <c r="M128" s="15">
        <f>(Processed_Ratios!M128 / Processed_Ratios!$B$131) * 10</f>
        <v>1.015992692</v>
      </c>
    </row>
    <row r="129">
      <c r="A129" s="6" t="s">
        <v>29</v>
      </c>
      <c r="B129" s="8">
        <f>(Processed_Ratios!B129 / Processed_Ratios!$B$131) * 10</f>
        <v>1.015992692</v>
      </c>
      <c r="C129" s="8">
        <f>(Processed_Ratios!C129 / Processed_Ratios!$B$131) * 10</f>
        <v>0.5593493692</v>
      </c>
      <c r="D129" s="8">
        <f>(Processed_Ratios!D129 / Processed_Ratios!$B$131) * 10</f>
        <v>0.5896699757</v>
      </c>
      <c r="E129" s="15">
        <f>(Processed_Ratios!E129 / Processed_Ratios!$B$131) * 10</f>
        <v>0.6495478519</v>
      </c>
      <c r="F129" s="15">
        <f>(Processed_Ratios!F129 / Processed_Ratios!$B$131) * 10</f>
        <v>1.198732736</v>
      </c>
      <c r="G129" s="15">
        <f>(Processed_Ratios!G129 / Processed_Ratios!$B$131) * 10</f>
        <v>1.561348828</v>
      </c>
      <c r="H129" s="15">
        <f>(Processed_Ratios!H129 / Processed_Ratios!$B$131) * 10</f>
        <v>2.21089668</v>
      </c>
      <c r="I129" s="15">
        <f>(Processed_Ratios!I129 / Processed_Ratios!$B$131) * 10</f>
        <v>1.911337982</v>
      </c>
      <c r="J129" s="15">
        <f>(Processed_Ratios!J129 / Processed_Ratios!$B$131) * 10</f>
        <v>0.9620121176</v>
      </c>
      <c r="K129" s="15">
        <f>(Processed_Ratios!K129 / Processed_Ratios!$B$131) * 10</f>
        <v>1.042679332</v>
      </c>
      <c r="L129" s="15">
        <f>(Processed_Ratios!L129 / Processed_Ratios!$B$131) * 10</f>
        <v>1.198732736</v>
      </c>
      <c r="M129" s="15">
        <f>(Processed_Ratios!M129 / Processed_Ratios!$B$131) * 10</f>
        <v>1.22408978</v>
      </c>
    </row>
    <row r="131">
      <c r="A131" s="22"/>
      <c r="B131" s="23"/>
    </row>
    <row r="137">
      <c r="P137" s="25" t="s">
        <v>15</v>
      </c>
      <c r="Q137" s="25" t="s">
        <v>16</v>
      </c>
      <c r="R137" s="25" t="s">
        <v>17</v>
      </c>
      <c r="S137" s="25" t="s">
        <v>18</v>
      </c>
      <c r="T137" s="25" t="s">
        <v>19</v>
      </c>
      <c r="U137" s="25" t="s">
        <v>20</v>
      </c>
      <c r="V137" s="25" t="s">
        <v>21</v>
      </c>
      <c r="W137" s="25" t="s">
        <v>22</v>
      </c>
      <c r="X137" s="25" t="s">
        <v>23</v>
      </c>
      <c r="Y137" s="25" t="s">
        <v>24</v>
      </c>
      <c r="Z137" s="25" t="s">
        <v>25</v>
      </c>
      <c r="AA137" s="25" t="s">
        <v>26</v>
      </c>
      <c r="AB137" s="25" t="s">
        <v>27</v>
      </c>
      <c r="AC137" s="25" t="s">
        <v>28</v>
      </c>
      <c r="AD137" s="25" t="s">
        <v>29</v>
      </c>
    </row>
    <row r="141">
      <c r="P141" s="25">
        <v>2.0568208499647804</v>
      </c>
      <c r="Q141" s="25">
        <v>1.8721139547624641</v>
      </c>
      <c r="R141" s="25">
        <v>1.3148626438131017</v>
      </c>
      <c r="S141" s="25">
        <v>3.7598810362369885</v>
      </c>
      <c r="T141" s="25">
        <v>10.0</v>
      </c>
      <c r="U141" s="25">
        <v>3.021053455427722</v>
      </c>
      <c r="V141" s="25">
        <v>3.92267355404242</v>
      </c>
      <c r="W141" s="25">
        <v>2.7580809266651016</v>
      </c>
      <c r="X141" s="25">
        <v>0.2088127103388902</v>
      </c>
      <c r="Y141" s="25">
        <v>5.271973076622055</v>
      </c>
      <c r="Z141" s="25">
        <v>6.276903811536355</v>
      </c>
      <c r="AA141" s="25">
        <v>3.944587931439305</v>
      </c>
      <c r="AB141" s="25">
        <v>2.388667136260468</v>
      </c>
      <c r="AC141" s="25">
        <v>0.2088127103388902</v>
      </c>
      <c r="AD141" s="25">
        <v>4.364091727322533</v>
      </c>
    </row>
    <row r="142">
      <c r="P142" s="25">
        <v>2.970963449949128</v>
      </c>
      <c r="Q142" s="25">
        <v>0.2088127103388902</v>
      </c>
      <c r="R142" s="25">
        <v>1.875244580104876</v>
      </c>
      <c r="S142" s="25">
        <v>4.007200438287548</v>
      </c>
      <c r="T142" s="25">
        <v>9.335524771073022</v>
      </c>
      <c r="U142" s="25">
        <v>3.5657822650074356</v>
      </c>
      <c r="V142" s="25">
        <v>2.7330359239258044</v>
      </c>
      <c r="W142" s="25">
        <v>2.1350864835250842</v>
      </c>
      <c r="X142" s="25">
        <v>0.2088127103388902</v>
      </c>
      <c r="Y142" s="25">
        <v>1.5715739218908975</v>
      </c>
      <c r="Z142" s="25">
        <v>6.208030054003287</v>
      </c>
      <c r="AA142" s="25">
        <v>3.597088518431557</v>
      </c>
      <c r="AB142" s="25">
        <v>1.4150426547702901</v>
      </c>
      <c r="AC142" s="25">
        <v>0.2088127103388902</v>
      </c>
      <c r="AD142" s="25">
        <v>3.819362917742819</v>
      </c>
    </row>
    <row r="143">
      <c r="P143" s="25">
        <v>2.3291852547546372</v>
      </c>
      <c r="Q143" s="25">
        <v>0.2088127103388902</v>
      </c>
      <c r="R143" s="25">
        <v>2.2978790013305157</v>
      </c>
      <c r="S143" s="25">
        <v>3.2871566095327545</v>
      </c>
      <c r="T143" s="25">
        <v>9.044376614228693</v>
      </c>
      <c r="U143" s="25">
        <v>2.0818658527040776</v>
      </c>
      <c r="V143" s="25">
        <v>2.106910855443375</v>
      </c>
      <c r="W143" s="25">
        <v>3.9915473115754874</v>
      </c>
      <c r="X143" s="25">
        <v>0.2088127103388902</v>
      </c>
      <c r="Y143" s="25">
        <v>0.2088127103388902</v>
      </c>
      <c r="Z143" s="25">
        <v>6.471002582765908</v>
      </c>
      <c r="AA143" s="25">
        <v>3.3122016122720517</v>
      </c>
      <c r="AB143" s="25">
        <v>2.222743993112624</v>
      </c>
      <c r="AC143" s="25">
        <v>1.2240745088831495</v>
      </c>
      <c r="AD143" s="25">
        <v>4.24199733896846</v>
      </c>
    </row>
    <row r="144">
      <c r="P144" s="25">
        <v>2.369883384205995</v>
      </c>
      <c r="Q144" s="25">
        <v>1.3899976520309933</v>
      </c>
      <c r="R144" s="25">
        <v>2.7236440478985675</v>
      </c>
      <c r="S144" s="25">
        <v>4.16999295609298</v>
      </c>
      <c r="T144" s="25">
        <v>8.844016592314315</v>
      </c>
      <c r="U144" s="25">
        <v>2.1851764890036787</v>
      </c>
      <c r="V144" s="25">
        <v>0.37880566643186975</v>
      </c>
      <c r="W144" s="25">
        <v>3.45621037802301</v>
      </c>
      <c r="X144" s="25">
        <v>0.2088127103388902</v>
      </c>
      <c r="Y144" s="25">
        <v>1.7594114424356266</v>
      </c>
      <c r="Z144" s="25">
        <v>6.743366987555764</v>
      </c>
      <c r="AA144" s="25">
        <v>3.92267355404242</v>
      </c>
      <c r="AB144" s="25">
        <v>2.2008296157157394</v>
      </c>
      <c r="AC144" s="25">
        <v>1.2647726383345073</v>
      </c>
      <c r="AD144" s="25">
        <v>1.8032401972293965</v>
      </c>
    </row>
    <row r="145">
      <c r="P145" s="25">
        <v>2.2070908664005633</v>
      </c>
      <c r="Q145" s="25">
        <v>2.326054629412225</v>
      </c>
      <c r="R145" s="25">
        <v>3.024184080770134</v>
      </c>
      <c r="S145" s="25">
        <v>3.57204351569226</v>
      </c>
      <c r="T145" s="25">
        <v>8.418251545746264</v>
      </c>
      <c r="U145" s="25">
        <v>2.8770446896767625</v>
      </c>
      <c r="V145" s="25">
        <v>0.2088127103388902</v>
      </c>
      <c r="W145" s="25">
        <v>3.1212334663849104</v>
      </c>
      <c r="X145" s="25">
        <v>0.723174454097206</v>
      </c>
      <c r="Y145" s="25">
        <v>4.163731705408155</v>
      </c>
      <c r="Z145" s="25">
        <v>6.580574469750333</v>
      </c>
      <c r="AA145" s="25">
        <v>3.850669171166941</v>
      </c>
      <c r="AB145" s="25">
        <v>2.1444783595523207</v>
      </c>
      <c r="AC145" s="25">
        <v>1.5903576739453706</v>
      </c>
      <c r="AD145" s="25">
        <v>2.2477889958519217</v>
      </c>
    </row>
    <row r="146">
      <c r="P146" s="25">
        <v>1.9691633403772404</v>
      </c>
      <c r="Q146" s="25">
        <v>1.1771151287469672</v>
      </c>
      <c r="R146" s="25">
        <v>3.371683493777882</v>
      </c>
      <c r="S146" s="25">
        <v>3.847538545824528</v>
      </c>
      <c r="T146" s="25">
        <v>8.903498473820147</v>
      </c>
      <c r="U146" s="25">
        <v>3.0680128355639043</v>
      </c>
      <c r="V146" s="25">
        <v>0.2088127103388902</v>
      </c>
      <c r="W146" s="25">
        <v>7.832824606715192</v>
      </c>
      <c r="X146" s="25">
        <v>0.701260076700321</v>
      </c>
      <c r="Y146" s="25">
        <v>0.2088127103388902</v>
      </c>
      <c r="Z146" s="25">
        <v>6.993817014948736</v>
      </c>
      <c r="AA146" s="25">
        <v>3.0648822102214917</v>
      </c>
      <c r="AB146" s="25">
        <v>1.6498395554512013</v>
      </c>
      <c r="AC146" s="25">
        <v>1.621663927369492</v>
      </c>
      <c r="AD146" s="25">
        <v>3.346638491038585</v>
      </c>
    </row>
    <row r="147">
      <c r="P147" s="25">
        <v>1.7124520622994444</v>
      </c>
      <c r="Q147" s="25">
        <v>1.1176332472411363</v>
      </c>
      <c r="R147" s="25">
        <v>2.920873444470533</v>
      </c>
      <c r="S147" s="25">
        <v>4.536276121155201</v>
      </c>
      <c r="T147" s="25">
        <v>8.856539093683963</v>
      </c>
      <c r="U147" s="25">
        <v>3.384205995147531</v>
      </c>
      <c r="V147" s="25">
        <v>1.8063708225718087</v>
      </c>
      <c r="W147" s="25">
        <v>6.214291304688112</v>
      </c>
      <c r="X147" s="25">
        <v>1.2710338890193316</v>
      </c>
      <c r="Y147" s="25">
        <v>0.2088127103388902</v>
      </c>
      <c r="Z147" s="25">
        <v>7.0126007670032084</v>
      </c>
      <c r="AA147" s="25">
        <v>3.57204351569226</v>
      </c>
      <c r="AB147" s="25">
        <v>1.875244580104876</v>
      </c>
      <c r="AC147" s="25">
        <v>0.9235344760115833</v>
      </c>
      <c r="AD147" s="25">
        <v>3.0836659622759646</v>
      </c>
    </row>
    <row r="148">
      <c r="P148" s="25">
        <v>1.6780151835329107</v>
      </c>
      <c r="Q148" s="25">
        <v>1.127025123268373</v>
      </c>
      <c r="R148" s="25">
        <v>2.3354465054394615</v>
      </c>
      <c r="S148" s="25">
        <v>3.8788447992486503</v>
      </c>
      <c r="T148" s="25">
        <v>8.944196603271504</v>
      </c>
      <c r="U148" s="25">
        <v>1.9691633403772404</v>
      </c>
      <c r="V148" s="25">
        <v>2.6359865383110277</v>
      </c>
      <c r="W148" s="25">
        <v>6.261250684824295</v>
      </c>
      <c r="X148" s="25">
        <v>1.6748845581904983</v>
      </c>
      <c r="Y148" s="25">
        <v>0.2088127103388902</v>
      </c>
      <c r="Z148" s="25">
        <v>6.633795100571341</v>
      </c>
      <c r="AA148" s="25">
        <v>3.6784847773342726</v>
      </c>
      <c r="AB148" s="25">
        <v>2.1444783595523207</v>
      </c>
      <c r="AC148" s="25">
        <v>1.7719339438052752</v>
      </c>
      <c r="AD148" s="25">
        <v>2.701729670501683</v>
      </c>
    </row>
    <row r="149">
      <c r="P149" s="25">
        <v>1.7844564451749236</v>
      </c>
      <c r="Q149" s="25">
        <v>1.8282851999686938</v>
      </c>
      <c r="R149" s="25">
        <v>1.9942083431165374</v>
      </c>
      <c r="S149" s="25">
        <v>4.52062299444314</v>
      </c>
      <c r="T149" s="25">
        <v>9.081944118337638</v>
      </c>
      <c r="U149" s="25">
        <v>1.621663927369492</v>
      </c>
      <c r="V149" s="25">
        <v>2.3980590122877046</v>
      </c>
      <c r="W149" s="25">
        <v>7.551068325898099</v>
      </c>
      <c r="X149" s="25">
        <v>1.8940283321593487</v>
      </c>
      <c r="Y149" s="25">
        <v>0.7701338342333881</v>
      </c>
      <c r="Z149" s="25">
        <v>7.397667684119903</v>
      </c>
      <c r="AA149" s="25">
        <v>5.090396806762152</v>
      </c>
      <c r="AB149" s="25">
        <v>2.1037802301009627</v>
      </c>
      <c r="AC149" s="25">
        <v>0.2088127103388902</v>
      </c>
      <c r="AD149" s="25">
        <v>3.196368474602802</v>
      </c>
    </row>
    <row r="150">
      <c r="A150" s="26" t="s">
        <v>57</v>
      </c>
      <c r="B150" s="25">
        <v>2025.0</v>
      </c>
      <c r="C150" s="25">
        <v>2024.0</v>
      </c>
      <c r="D150" s="25">
        <v>2023.0</v>
      </c>
      <c r="E150" s="25">
        <v>2022.0</v>
      </c>
      <c r="F150" s="25">
        <v>2021.0</v>
      </c>
      <c r="G150" s="25">
        <v>2020.0</v>
      </c>
      <c r="H150" s="25">
        <v>2019.0</v>
      </c>
      <c r="I150" s="25">
        <v>2018.0</v>
      </c>
      <c r="J150" s="25">
        <v>2017.0</v>
      </c>
      <c r="K150" s="25">
        <v>2016.0</v>
      </c>
      <c r="L150" s="25">
        <v>2015.0</v>
      </c>
      <c r="M150" s="25">
        <v>2014.0</v>
      </c>
      <c r="P150" s="25" t="s">
        <v>15</v>
      </c>
      <c r="Q150" s="25" t="s">
        <v>16</v>
      </c>
      <c r="R150" s="25" t="s">
        <v>17</v>
      </c>
      <c r="S150" s="25" t="s">
        <v>18</v>
      </c>
      <c r="T150" s="25" t="s">
        <v>19</v>
      </c>
      <c r="U150" s="25" t="s">
        <v>20</v>
      </c>
      <c r="V150" s="25" t="s">
        <v>21</v>
      </c>
      <c r="W150" s="25" t="s">
        <v>22</v>
      </c>
      <c r="X150" s="25" t="s">
        <v>23</v>
      </c>
      <c r="Y150" s="25" t="s">
        <v>24</v>
      </c>
      <c r="Z150" s="25" t="s">
        <v>25</v>
      </c>
      <c r="AA150" s="25" t="s">
        <v>26</v>
      </c>
      <c r="AB150" s="25" t="s">
        <v>27</v>
      </c>
      <c r="AC150" s="25" t="s">
        <v>28</v>
      </c>
      <c r="AD150" s="25" t="s">
        <v>29</v>
      </c>
    </row>
    <row r="151">
      <c r="A151" s="25" t="s">
        <v>1</v>
      </c>
      <c r="B151" s="25">
        <v>1.9527646085303059</v>
      </c>
      <c r="C151" s="25">
        <v>2.229999405129023</v>
      </c>
      <c r="D151" s="25">
        <v>2.626257388182631</v>
      </c>
      <c r="E151" s="25">
        <v>2.7927666527795014</v>
      </c>
      <c r="F151" s="25">
        <v>2.6937977951751417</v>
      </c>
      <c r="G151" s="25">
        <v>2.626257388182631</v>
      </c>
      <c r="H151" s="25">
        <v>2.5920008764836853</v>
      </c>
      <c r="I151" s="25">
        <v>2.4872095051953518</v>
      </c>
      <c r="J151" s="25">
        <v>2.8089974315012727</v>
      </c>
      <c r="K151" s="25">
        <v>3.118988493493944</v>
      </c>
      <c r="L151" s="25">
        <v>3.1338020273828997</v>
      </c>
      <c r="M151" s="25">
        <v>3.013532386730711</v>
      </c>
      <c r="P151" s="25">
        <v>2.1632621116067936</v>
      </c>
      <c r="Q151" s="25">
        <v>2.470063395163184</v>
      </c>
      <c r="R151" s="25">
        <v>2.9177428191281214</v>
      </c>
      <c r="S151" s="25">
        <v>3.6158722704860295</v>
      </c>
      <c r="T151" s="25">
        <v>10.0</v>
      </c>
      <c r="U151" s="25">
        <v>2.620333411598967</v>
      </c>
      <c r="V151" s="25">
        <v>5.037176175941145</v>
      </c>
      <c r="W151" s="25">
        <v>6.536745714956562</v>
      </c>
      <c r="X151" s="25">
        <v>1.9816858417468892</v>
      </c>
      <c r="Y151" s="25">
        <v>0.42576504656805203</v>
      </c>
      <c r="Z151" s="25">
        <v>5.982625029349613</v>
      </c>
      <c r="AA151" s="25">
        <v>2.5076308992721295</v>
      </c>
      <c r="AB151" s="25">
        <v>1.724974563669093</v>
      </c>
      <c r="AC151" s="25">
        <v>2.645378414338264</v>
      </c>
      <c r="AD151" s="25">
        <v>2.4919777725600687</v>
      </c>
    </row>
    <row r="152">
      <c r="A152" s="25" t="s">
        <v>2</v>
      </c>
      <c r="B152" s="25">
        <v>0.13972966459253558</v>
      </c>
      <c r="C152" s="25">
        <v>0.20759171197414183</v>
      </c>
      <c r="D152" s="25">
        <v>0.20759171197414183</v>
      </c>
      <c r="E152" s="25">
        <v>0.20759171197414183</v>
      </c>
      <c r="F152" s="25">
        <v>0.1053076599302617</v>
      </c>
      <c r="G152" s="25">
        <v>0.1053076599302617</v>
      </c>
      <c r="H152" s="25">
        <v>0.241044068247379</v>
      </c>
      <c r="I152" s="25">
        <v>0.20759171197414183</v>
      </c>
      <c r="J152" s="25">
        <v>0.241044068247379</v>
      </c>
      <c r="K152" s="25">
        <v>0.17382226702930614</v>
      </c>
      <c r="L152" s="25">
        <v>0.30702094946767255</v>
      </c>
      <c r="M152" s="25">
        <v>0.20759171197414183</v>
      </c>
      <c r="P152" s="25">
        <v>2.2039602410581516</v>
      </c>
      <c r="Q152" s="25">
        <v>2.52328402598419</v>
      </c>
      <c r="R152" s="25">
        <v>2.9177428191281214</v>
      </c>
      <c r="S152" s="25">
        <v>3.4530797526805976</v>
      </c>
      <c r="T152" s="25">
        <v>10.0</v>
      </c>
      <c r="U152" s="25">
        <v>2.7299052985833923</v>
      </c>
      <c r="V152" s="25">
        <v>4.85559990608124</v>
      </c>
      <c r="W152" s="25">
        <v>6.226813806057761</v>
      </c>
      <c r="X152" s="25">
        <v>2.222743993112624</v>
      </c>
      <c r="Y152" s="25">
        <v>0.2088127103388902</v>
      </c>
      <c r="Z152" s="25">
        <v>5.9888862800344365</v>
      </c>
      <c r="AA152" s="25">
        <v>1.4338264068247633</v>
      </c>
      <c r="AB152" s="25">
        <v>2.1413477342099085</v>
      </c>
      <c r="AC152" s="25">
        <v>3.4249041245988887</v>
      </c>
      <c r="AD152" s="25">
        <v>3.0805353369335524</v>
      </c>
    </row>
    <row r="153">
      <c r="A153" s="25" t="s">
        <v>3</v>
      </c>
      <c r="B153" s="25">
        <v>7.780120109093625</v>
      </c>
      <c r="C153" s="25">
        <v>8.091114028170297</v>
      </c>
      <c r="D153" s="25">
        <v>8.339606637783147</v>
      </c>
      <c r="E153" s="25">
        <v>8.24580156617693</v>
      </c>
      <c r="F153" s="25">
        <v>8.08006704329615</v>
      </c>
      <c r="G153" s="25">
        <v>7.827941629357641</v>
      </c>
      <c r="H153" s="25">
        <v>8.84988198533619</v>
      </c>
      <c r="I153" s="25">
        <v>8.45100125688127</v>
      </c>
      <c r="J153" s="25">
        <v>8.474189203333431</v>
      </c>
      <c r="K153" s="25">
        <v>8.160293867232323</v>
      </c>
      <c r="L153" s="25">
        <v>8.318973473349713</v>
      </c>
      <c r="M153" s="25">
        <v>8.224616272228975</v>
      </c>
      <c r="P153" s="25">
        <v>2.153870235579557</v>
      </c>
      <c r="Q153" s="25">
        <v>2.545198403381076</v>
      </c>
      <c r="R153" s="25">
        <v>2.1382171088674964</v>
      </c>
      <c r="S153" s="25">
        <v>2.9020896924160597</v>
      </c>
      <c r="T153" s="25">
        <v>10.0</v>
      </c>
      <c r="U153" s="25">
        <v>2.63911716365344</v>
      </c>
      <c r="V153" s="25">
        <v>5.04656805196838</v>
      </c>
      <c r="W153" s="25">
        <v>6.104719417703687</v>
      </c>
      <c r="X153" s="25">
        <v>0.21288252328402602</v>
      </c>
      <c r="Y153" s="25">
        <v>0.9830163575174142</v>
      </c>
      <c r="Z153" s="25">
        <v>5.873053142365188</v>
      </c>
      <c r="AA153" s="25">
        <v>2.8676528136495265</v>
      </c>
      <c r="AB153" s="25">
        <v>2.52328402598419</v>
      </c>
      <c r="AC153" s="25">
        <v>1.1771151287469672</v>
      </c>
      <c r="AD153" s="25">
        <v>2.5076308992721295</v>
      </c>
    </row>
    <row r="154">
      <c r="A154" s="25" t="s">
        <v>4</v>
      </c>
      <c r="B154" s="25">
        <v>6.317490067604558</v>
      </c>
      <c r="C154" s="25">
        <v>6.244156779981271</v>
      </c>
      <c r="D154" s="25">
        <v>6.112075201341684</v>
      </c>
      <c r="E154" s="25">
        <v>5.726731170018251</v>
      </c>
      <c r="F154" s="25">
        <v>5.413493366009754</v>
      </c>
      <c r="G154" s="25">
        <v>5.762251402114434</v>
      </c>
      <c r="H154" s="25">
        <v>5.87359326895978</v>
      </c>
      <c r="I154" s="25">
        <v>5.14718885871601</v>
      </c>
      <c r="J154" s="25">
        <v>5.14718885871601</v>
      </c>
      <c r="K154" s="25">
        <v>5.14718885871601</v>
      </c>
      <c r="L154" s="25">
        <v>5.14718885871601</v>
      </c>
      <c r="M154" s="25">
        <v>5.14718885871601</v>
      </c>
      <c r="P154" s="25">
        <v>2.0568208499647804</v>
      </c>
      <c r="Q154" s="25">
        <v>1.8721139547624641</v>
      </c>
      <c r="R154" s="25">
        <v>1.3148626438131017</v>
      </c>
      <c r="S154" s="25">
        <v>3.7598810362369885</v>
      </c>
      <c r="T154" s="25">
        <v>10.0</v>
      </c>
      <c r="U154" s="25">
        <v>3.021053455427722</v>
      </c>
      <c r="V154" s="25">
        <v>3.92267355404242</v>
      </c>
      <c r="W154" s="25">
        <v>2.7580809266651016</v>
      </c>
      <c r="X154" s="25">
        <v>0.2088127103388902</v>
      </c>
      <c r="Y154" s="25">
        <v>5.271973076622055</v>
      </c>
      <c r="Z154" s="25">
        <v>6.276903811536355</v>
      </c>
      <c r="AA154" s="25">
        <v>3.944587931439305</v>
      </c>
      <c r="AB154" s="25">
        <v>2.388667136260468</v>
      </c>
      <c r="AC154" s="25">
        <v>0.2088127103388902</v>
      </c>
      <c r="AD154" s="25">
        <v>4.364091727322533</v>
      </c>
    </row>
    <row r="155">
      <c r="A155" s="25" t="s">
        <v>5</v>
      </c>
      <c r="B155" s="25">
        <v>5.543615339581768</v>
      </c>
      <c r="C155" s="25">
        <v>5.603242668974085</v>
      </c>
      <c r="D155" s="25">
        <v>5.726731170018251</v>
      </c>
      <c r="E155" s="25">
        <v>5.5735537491008</v>
      </c>
      <c r="F155" s="25">
        <v>5.413493366009754</v>
      </c>
      <c r="G155" s="25">
        <v>5.748085778014591</v>
      </c>
      <c r="H155" s="25">
        <v>6.477170808625312</v>
      </c>
      <c r="I155" s="25">
        <v>5.294595242587531</v>
      </c>
      <c r="J155" s="25">
        <v>5.994829344845254</v>
      </c>
      <c r="K155" s="25">
        <v>6.377468753028208</v>
      </c>
      <c r="L155" s="25">
        <v>6.206916199418627</v>
      </c>
      <c r="M155" s="25">
        <v>6.482949641631846</v>
      </c>
      <c r="P155" s="25">
        <v>2.970963449949128</v>
      </c>
      <c r="Q155" s="25">
        <v>0.2088127103388902</v>
      </c>
      <c r="R155" s="25">
        <v>1.875244580104876</v>
      </c>
      <c r="S155" s="25">
        <v>4.007200438287548</v>
      </c>
      <c r="T155" s="25">
        <v>9.335524771073022</v>
      </c>
      <c r="U155" s="25">
        <v>3.5657822650074356</v>
      </c>
      <c r="V155" s="25">
        <v>2.7330359239258044</v>
      </c>
      <c r="W155" s="25">
        <v>2.1350864835250842</v>
      </c>
      <c r="X155" s="25">
        <v>0.2088127103388902</v>
      </c>
      <c r="Y155" s="25">
        <v>1.5715739218908975</v>
      </c>
      <c r="Z155" s="25">
        <v>6.208030054003287</v>
      </c>
      <c r="AA155" s="25">
        <v>3.597088518431557</v>
      </c>
      <c r="AB155" s="25">
        <v>1.4150426547702901</v>
      </c>
      <c r="AC155" s="25">
        <v>0.2088127103388902</v>
      </c>
      <c r="AD155" s="25">
        <v>3.819362917742819</v>
      </c>
    </row>
    <row r="156">
      <c r="A156" s="25" t="s">
        <v>6</v>
      </c>
      <c r="B156" s="25">
        <v>2.8089974315012727</v>
      </c>
      <c r="C156" s="25">
        <v>2.6937977951751417</v>
      </c>
      <c r="D156" s="25">
        <v>2.643262908620491</v>
      </c>
      <c r="E156" s="25">
        <v>2.342513485447934</v>
      </c>
      <c r="F156" s="25">
        <v>2.1334447213102656</v>
      </c>
      <c r="G156" s="25">
        <v>3.1338020273828997</v>
      </c>
      <c r="H156" s="25">
        <v>2.9048592623875855</v>
      </c>
      <c r="I156" s="25">
        <v>1.7406394761467345</v>
      </c>
      <c r="J156" s="25">
        <v>1.9527646085303059</v>
      </c>
      <c r="K156" s="25">
        <v>1.5842598376801713</v>
      </c>
      <c r="L156" s="25">
        <v>1.8904426152189346</v>
      </c>
      <c r="M156" s="25">
        <v>2.0542714682134697</v>
      </c>
      <c r="P156" s="25">
        <v>2.3291852547546372</v>
      </c>
      <c r="Q156" s="25">
        <v>0.2088127103388902</v>
      </c>
      <c r="R156" s="25">
        <v>2.2978790013305157</v>
      </c>
      <c r="S156" s="25">
        <v>3.2871566095327545</v>
      </c>
      <c r="T156" s="25">
        <v>9.044376614228693</v>
      </c>
      <c r="U156" s="25">
        <v>2.0818658527040776</v>
      </c>
      <c r="V156" s="25">
        <v>2.106910855443375</v>
      </c>
      <c r="W156" s="25">
        <v>3.9915473115754874</v>
      </c>
      <c r="X156" s="25">
        <v>0.2088127103388902</v>
      </c>
      <c r="Y156" s="25">
        <v>0.2088127103388902</v>
      </c>
      <c r="Z156" s="25">
        <v>6.471002582765908</v>
      </c>
      <c r="AA156" s="25">
        <v>3.3122016122720517</v>
      </c>
      <c r="AB156" s="25">
        <v>2.222743993112624</v>
      </c>
      <c r="AC156" s="25">
        <v>1.2240745088831495</v>
      </c>
      <c r="AD156" s="25">
        <v>4.24199733896846</v>
      </c>
    </row>
    <row r="157">
      <c r="A157" s="25" t="s">
        <v>7</v>
      </c>
      <c r="B157" s="25">
        <v>2.6937977951751417</v>
      </c>
      <c r="C157" s="25">
        <v>3.2644229627760604</v>
      </c>
      <c r="D157" s="25">
        <v>3.6935304220152116</v>
      </c>
      <c r="E157" s="25">
        <v>3.9139708146788204</v>
      </c>
      <c r="F157" s="25">
        <v>4.058227594208485</v>
      </c>
      <c r="G157" s="25">
        <v>3.2928107605232504</v>
      </c>
      <c r="H157" s="25">
        <v>3.525388703254069</v>
      </c>
      <c r="I157" s="25">
        <v>3.1338020273828997</v>
      </c>
      <c r="J157" s="25">
        <v>3.2928107605232504</v>
      </c>
      <c r="K157" s="25">
        <v>3.2644229627760604</v>
      </c>
      <c r="L157" s="25">
        <v>3.616911344987233</v>
      </c>
      <c r="M157" s="25">
        <v>2.920588425983333</v>
      </c>
      <c r="P157" s="25">
        <v>2.369883384205995</v>
      </c>
      <c r="Q157" s="25">
        <v>1.3899976520309933</v>
      </c>
      <c r="R157" s="25">
        <v>2.7236440478985675</v>
      </c>
      <c r="S157" s="25">
        <v>4.16999295609298</v>
      </c>
      <c r="T157" s="25">
        <v>8.844016592314315</v>
      </c>
      <c r="U157" s="25">
        <v>2.1851764890036787</v>
      </c>
      <c r="V157" s="25">
        <v>0.37880566643186975</v>
      </c>
      <c r="W157" s="25">
        <v>3.45621037802301</v>
      </c>
      <c r="X157" s="25">
        <v>0.2088127103388902</v>
      </c>
      <c r="Y157" s="25">
        <v>1.7594114424356266</v>
      </c>
      <c r="Z157" s="25">
        <v>6.743366987555764</v>
      </c>
      <c r="AA157" s="25">
        <v>3.92267355404242</v>
      </c>
      <c r="AB157" s="25">
        <v>2.2008296157157394</v>
      </c>
      <c r="AC157" s="25">
        <v>1.2647726383345073</v>
      </c>
      <c r="AD157" s="25">
        <v>1.8032401972293965</v>
      </c>
    </row>
    <row r="158">
      <c r="A158" s="25" t="s">
        <v>8</v>
      </c>
      <c r="B158" s="25">
        <v>0.1053076599302617</v>
      </c>
      <c r="C158" s="25">
        <v>0.1053076599302617</v>
      </c>
      <c r="D158" s="25">
        <v>0.1053076599302617</v>
      </c>
      <c r="E158" s="25">
        <v>0.20759171197414183</v>
      </c>
      <c r="F158" s="25">
        <v>0.20759171197414183</v>
      </c>
      <c r="G158" s="25">
        <v>0.30702094946767255</v>
      </c>
      <c r="H158" s="25">
        <v>0.30702094946767255</v>
      </c>
      <c r="I158" s="25">
        <v>0.1053076599302617</v>
      </c>
      <c r="J158" s="25">
        <v>0.1053076599302617</v>
      </c>
      <c r="K158" s="25">
        <v>0.1053076599302617</v>
      </c>
      <c r="L158" s="25">
        <v>0.1053076599302617</v>
      </c>
      <c r="M158" s="25">
        <v>0.1053076599302617</v>
      </c>
      <c r="P158" s="25">
        <v>2.2070908664005633</v>
      </c>
      <c r="Q158" s="25">
        <v>2.326054629412225</v>
      </c>
      <c r="R158" s="25">
        <v>3.024184080770134</v>
      </c>
      <c r="S158" s="25">
        <v>3.57204351569226</v>
      </c>
      <c r="T158" s="25">
        <v>8.418251545746264</v>
      </c>
      <c r="U158" s="25">
        <v>2.8770446896767625</v>
      </c>
      <c r="V158" s="25">
        <v>0.2088127103388902</v>
      </c>
      <c r="W158" s="25">
        <v>3.1212334663849104</v>
      </c>
      <c r="X158" s="25">
        <v>0.723174454097206</v>
      </c>
      <c r="Y158" s="25">
        <v>4.163731705408155</v>
      </c>
      <c r="Z158" s="25">
        <v>6.580574469750333</v>
      </c>
      <c r="AA158" s="25">
        <v>3.850669171166941</v>
      </c>
      <c r="AB158" s="25">
        <v>2.1444783595523207</v>
      </c>
      <c r="AC158" s="25">
        <v>1.5903576739453706</v>
      </c>
      <c r="AD158" s="25">
        <v>2.2477889958519217</v>
      </c>
    </row>
    <row r="159">
      <c r="A159" s="25" t="s">
        <v>9</v>
      </c>
      <c r="B159" s="25">
        <v>7.067428890639238</v>
      </c>
      <c r="C159" s="25">
        <v>7.461364836611223</v>
      </c>
      <c r="D159" s="25">
        <v>7.747878714683642</v>
      </c>
      <c r="E159" s="25">
        <v>7.657680231957505</v>
      </c>
      <c r="F159" s="25">
        <v>7.657680231957505</v>
      </c>
      <c r="G159" s="25">
        <v>7.796132045113314</v>
      </c>
      <c r="H159" s="25">
        <v>7.594845273944543</v>
      </c>
      <c r="I159" s="25">
        <v>8.263360250154042</v>
      </c>
      <c r="J159" s="25">
        <v>7.83584984518506</v>
      </c>
      <c r="K159" s="25">
        <v>7.784129844764385</v>
      </c>
      <c r="L159" s="25">
        <v>8.06157893866403</v>
      </c>
      <c r="M159" s="25">
        <v>8.65758954686106</v>
      </c>
      <c r="P159" s="25">
        <v>1.9691633403772404</v>
      </c>
      <c r="Q159" s="25">
        <v>1.1771151287469672</v>
      </c>
      <c r="R159" s="25">
        <v>3.371683493777882</v>
      </c>
      <c r="S159" s="25">
        <v>3.847538545824528</v>
      </c>
      <c r="T159" s="25">
        <v>8.903498473820147</v>
      </c>
      <c r="U159" s="25">
        <v>3.0680128355639043</v>
      </c>
      <c r="V159" s="25">
        <v>0.2088127103388902</v>
      </c>
      <c r="W159" s="25">
        <v>7.832824606715192</v>
      </c>
      <c r="X159" s="25">
        <v>0.701260076700321</v>
      </c>
      <c r="Y159" s="25">
        <v>0.2088127103388902</v>
      </c>
      <c r="Z159" s="25">
        <v>6.993817014948736</v>
      </c>
      <c r="AA159" s="25">
        <v>3.0648822102214917</v>
      </c>
      <c r="AB159" s="25">
        <v>1.6498395554512013</v>
      </c>
      <c r="AC159" s="25">
        <v>1.621663927369492</v>
      </c>
      <c r="AD159" s="25">
        <v>3.346638491038585</v>
      </c>
    </row>
    <row r="160">
      <c r="A160" s="25" t="s">
        <v>10</v>
      </c>
      <c r="B160" s="25">
        <v>1.5842598376801713</v>
      </c>
      <c r="C160" s="25">
        <v>1.6070244503904472</v>
      </c>
      <c r="D160" s="25">
        <v>1.538289525442943</v>
      </c>
      <c r="E160" s="25">
        <v>1.4917182770876678</v>
      </c>
      <c r="F160" s="25">
        <v>1.4206996510081038</v>
      </c>
      <c r="G160" s="25">
        <v>3.458545283404032</v>
      </c>
      <c r="H160" s="25">
        <v>3.0891753507517894</v>
      </c>
      <c r="I160" s="25">
        <v>3.1338020273828997</v>
      </c>
      <c r="J160" s="25">
        <v>3.362806131182609</v>
      </c>
      <c r="K160" s="25">
        <v>3.028790010767807</v>
      </c>
      <c r="L160" s="25">
        <v>3.8419956441533456</v>
      </c>
      <c r="M160" s="25">
        <v>4.058227594208485</v>
      </c>
      <c r="P160" s="25">
        <v>1.7124520622994444</v>
      </c>
      <c r="Q160" s="25">
        <v>1.1176332472411363</v>
      </c>
      <c r="R160" s="25">
        <v>2.920873444470533</v>
      </c>
      <c r="S160" s="25">
        <v>4.536276121155201</v>
      </c>
      <c r="T160" s="25">
        <v>8.856539093683963</v>
      </c>
      <c r="U160" s="25">
        <v>3.384205995147531</v>
      </c>
      <c r="V160" s="25">
        <v>1.8063708225718087</v>
      </c>
      <c r="W160" s="25">
        <v>6.214291304688112</v>
      </c>
      <c r="X160" s="25">
        <v>1.2710338890193316</v>
      </c>
      <c r="Y160" s="25">
        <v>0.2088127103388902</v>
      </c>
      <c r="Z160" s="25">
        <v>7.0126007670032084</v>
      </c>
      <c r="AA160" s="25">
        <v>3.57204351569226</v>
      </c>
      <c r="AB160" s="25">
        <v>1.875244580104876</v>
      </c>
      <c r="AC160" s="25">
        <v>0.9235344760115833</v>
      </c>
      <c r="AD160" s="25">
        <v>3.0836659622759646</v>
      </c>
    </row>
    <row r="161">
      <c r="A161" s="25" t="s">
        <v>11</v>
      </c>
      <c r="B161" s="25">
        <v>8.156686120324126</v>
      </c>
      <c r="C161" s="25">
        <v>8.174688431329507</v>
      </c>
      <c r="D161" s="25">
        <v>7.6948560451166905</v>
      </c>
      <c r="E161" s="25">
        <v>7.8790340074661085</v>
      </c>
      <c r="F161" s="25">
        <v>7.948589032114314</v>
      </c>
      <c r="G161" s="25">
        <v>8.33617606480031</v>
      </c>
      <c r="H161" s="25">
        <v>8.249320232899889</v>
      </c>
      <c r="I161" s="25">
        <v>8.06898569760502</v>
      </c>
      <c r="J161" s="25">
        <v>7.906244776266843</v>
      </c>
      <c r="K161" s="25">
        <v>7.9023702247513015</v>
      </c>
      <c r="L161" s="25">
        <v>7.963863009496267</v>
      </c>
      <c r="M161" s="25">
        <v>7.940927416758522</v>
      </c>
      <c r="P161" s="25">
        <v>1.6780151835329107</v>
      </c>
      <c r="Q161" s="25">
        <v>1.127025123268373</v>
      </c>
      <c r="R161" s="25">
        <v>2.3354465054394615</v>
      </c>
      <c r="S161" s="25">
        <v>3.8788447992486503</v>
      </c>
      <c r="T161" s="25">
        <v>8.944196603271504</v>
      </c>
      <c r="U161" s="25">
        <v>1.9691633403772404</v>
      </c>
      <c r="V161" s="25">
        <v>2.6359865383110277</v>
      </c>
      <c r="W161" s="25">
        <v>6.261250684824295</v>
      </c>
      <c r="X161" s="25">
        <v>1.6748845581904983</v>
      </c>
      <c r="Y161" s="25">
        <v>0.2088127103388902</v>
      </c>
      <c r="Z161" s="25">
        <v>6.633795100571341</v>
      </c>
      <c r="AA161" s="25">
        <v>3.6784847773342726</v>
      </c>
      <c r="AB161" s="25">
        <v>2.1444783595523207</v>
      </c>
      <c r="AC161" s="25">
        <v>1.7719339438052752</v>
      </c>
      <c r="AD161" s="25">
        <v>2.701729670501683</v>
      </c>
    </row>
    <row r="162">
      <c r="A162" s="25" t="s">
        <v>12</v>
      </c>
      <c r="B162" s="25">
        <v>1.372555002562161</v>
      </c>
      <c r="C162" s="25">
        <v>1.4206996510081038</v>
      </c>
      <c r="D162" s="25">
        <v>1.6070244503904472</v>
      </c>
      <c r="E162" s="25">
        <v>1.5842598376801713</v>
      </c>
      <c r="F162" s="25">
        <v>1.274268775687499</v>
      </c>
      <c r="G162" s="25">
        <v>1.2492676220875067</v>
      </c>
      <c r="H162" s="25">
        <v>0.8794759992214329</v>
      </c>
      <c r="I162" s="25">
        <v>0.7375189824041788</v>
      </c>
      <c r="J162" s="25">
        <v>0.619734709160605</v>
      </c>
      <c r="K162" s="25">
        <v>0.6495478519027598</v>
      </c>
      <c r="L162" s="25">
        <v>0.6495478519027598</v>
      </c>
      <c r="M162" s="25">
        <v>0.8233701189320659</v>
      </c>
      <c r="P162" s="25">
        <v>1.7844564451749236</v>
      </c>
      <c r="Q162" s="25">
        <v>1.8282851999686938</v>
      </c>
      <c r="R162" s="25">
        <v>1.9942083431165374</v>
      </c>
      <c r="S162" s="25">
        <v>4.52062299444314</v>
      </c>
      <c r="T162" s="25">
        <v>9.081944118337638</v>
      </c>
      <c r="U162" s="25">
        <v>1.621663927369492</v>
      </c>
      <c r="V162" s="25">
        <v>2.3980590122877046</v>
      </c>
      <c r="W162" s="25">
        <v>7.551068325898099</v>
      </c>
      <c r="X162" s="25">
        <v>1.8940283321593487</v>
      </c>
      <c r="Y162" s="25">
        <v>0.7701338342333881</v>
      </c>
      <c r="Z162" s="25">
        <v>7.397667684119903</v>
      </c>
      <c r="AA162" s="25">
        <v>5.090396806762152</v>
      </c>
      <c r="AB162" s="25">
        <v>2.1037802301009627</v>
      </c>
      <c r="AC162" s="25">
        <v>0.2088127103388902</v>
      </c>
      <c r="AD162" s="25">
        <v>3.196368474602802</v>
      </c>
    </row>
    <row r="163">
      <c r="A163" s="25" t="s">
        <v>13</v>
      </c>
      <c r="B163" s="25">
        <v>0.4354186207964012</v>
      </c>
      <c r="C163" s="25">
        <v>0.4668078085841192</v>
      </c>
      <c r="D163" s="25">
        <v>0.7375189824041788</v>
      </c>
      <c r="E163" s="25">
        <v>0.7663665065559545</v>
      </c>
      <c r="F163" s="25">
        <v>0.7375189824041788</v>
      </c>
      <c r="G163" s="25">
        <v>0.6791135798201758</v>
      </c>
      <c r="H163" s="25">
        <v>0.7663665065559545</v>
      </c>
      <c r="I163" s="25">
        <v>0.7375189824041788</v>
      </c>
      <c r="J163" s="25">
        <v>0.7949823211848759</v>
      </c>
      <c r="K163" s="25">
        <v>1.2492676220875067</v>
      </c>
      <c r="L163" s="25">
        <v>1.2990957038055195</v>
      </c>
      <c r="M163" s="25">
        <v>1.3482364796918662</v>
      </c>
    </row>
    <row r="164">
      <c r="A164" s="25" t="s">
        <v>14</v>
      </c>
      <c r="B164" s="25">
        <v>6.014640237973829</v>
      </c>
      <c r="C164" s="25">
        <v>6.329566858041571</v>
      </c>
      <c r="D164" s="25">
        <v>6.09923680990828</v>
      </c>
      <c r="E164" s="25">
        <v>6.09923680990828</v>
      </c>
      <c r="F164" s="25">
        <v>6.181871106698522</v>
      </c>
      <c r="G164" s="25">
        <v>6.568525808085317</v>
      </c>
      <c r="H164" s="25">
        <v>6.808305254737191</v>
      </c>
      <c r="I164" s="25">
        <v>6.8606211693746255</v>
      </c>
      <c r="J164" s="25">
        <v>7.023049288521664</v>
      </c>
      <c r="K164" s="25">
        <v>7.1015681640189845</v>
      </c>
      <c r="L164" s="25">
        <v>6.978109872885803</v>
      </c>
      <c r="M164" s="25">
        <v>7.20206595602598</v>
      </c>
    </row>
    <row r="165">
      <c r="A165" s="25" t="s">
        <v>15</v>
      </c>
      <c r="B165" s="25">
        <v>3.013532386730711</v>
      </c>
      <c r="C165" s="25">
        <v>2.998209138302308</v>
      </c>
      <c r="D165" s="25">
        <v>3.013532386730711</v>
      </c>
      <c r="E165" s="25">
        <v>3.2644229627760604</v>
      </c>
      <c r="F165" s="25">
        <v>3.5779748943979017</v>
      </c>
      <c r="G165" s="25">
        <v>4.019278474609082</v>
      </c>
      <c r="H165" s="25">
        <v>3.9376429932499195</v>
      </c>
      <c r="I165" s="25">
        <v>3.4854333338053984</v>
      </c>
      <c r="J165" s="25">
        <v>3.5121199736989004</v>
      </c>
      <c r="K165" s="25">
        <v>3.9020754788618857</v>
      </c>
      <c r="L165" s="25">
        <v>3.9258265652784208</v>
      </c>
      <c r="M165" s="25">
        <v>4.058227594208485</v>
      </c>
    </row>
    <row r="166">
      <c r="A166" s="25" t="s">
        <v>16</v>
      </c>
      <c r="B166" s="25">
        <v>3.362806131182609</v>
      </c>
      <c r="C166" s="25">
        <v>3.3489166408126176</v>
      </c>
      <c r="D166" s="25">
        <v>3.362806131182609</v>
      </c>
      <c r="E166" s="25">
        <v>3.3766416816483265</v>
      </c>
      <c r="F166" s="25">
        <v>3.163245581477242</v>
      </c>
      <c r="G166" s="25">
        <v>3.3489166408126176</v>
      </c>
      <c r="H166" s="25">
        <v>3.0439825701124517</v>
      </c>
      <c r="I166" s="25">
        <v>2.8572507619309455</v>
      </c>
      <c r="J166" s="25">
        <v>3.0439825701124517</v>
      </c>
      <c r="K166" s="25">
        <v>2.743625876893155</v>
      </c>
      <c r="L166" s="25">
        <v>2.7104847098385627</v>
      </c>
      <c r="M166" s="25">
        <v>2.8251546009963455</v>
      </c>
    </row>
    <row r="167">
      <c r="A167" s="25" t="s">
        <v>17</v>
      </c>
      <c r="B167" s="25">
        <v>0.9347119857774112</v>
      </c>
      <c r="C167" s="25">
        <v>1.0954602940340588</v>
      </c>
      <c r="D167" s="25">
        <v>1.0954602940340588</v>
      </c>
      <c r="E167" s="25">
        <v>1.0426793321077166</v>
      </c>
      <c r="F167" s="25">
        <v>1.015992692214214</v>
      </c>
      <c r="G167" s="25">
        <v>0.8515335048642849</v>
      </c>
      <c r="H167" s="25">
        <v>0.9620121175819774</v>
      </c>
      <c r="I167" s="25">
        <v>1.0426793321077166</v>
      </c>
      <c r="J167" s="25">
        <v>1.069167556486847</v>
      </c>
      <c r="K167" s="25">
        <v>1.224089780424027</v>
      </c>
      <c r="L167" s="25">
        <v>1.538289525442943</v>
      </c>
      <c r="M167" s="25">
        <v>1.7187154083896066</v>
      </c>
    </row>
    <row r="168">
      <c r="A168" s="25" t="s">
        <v>18</v>
      </c>
      <c r="B168" s="25">
        <v>2.727093829745566</v>
      </c>
      <c r="C168" s="25">
        <v>2.873191055939164</v>
      </c>
      <c r="D168" s="25">
        <v>3.013532386730711</v>
      </c>
      <c r="E168" s="25">
        <v>3.013532386730711</v>
      </c>
      <c r="F168" s="25">
        <v>3.0891753507517894</v>
      </c>
      <c r="G168" s="25">
        <v>3.1338020273828997</v>
      </c>
      <c r="H168" s="25">
        <v>2.9048592623875855</v>
      </c>
      <c r="I168" s="25">
        <v>2.6937977951751417</v>
      </c>
      <c r="J168" s="25">
        <v>2.539990467121695</v>
      </c>
      <c r="K168" s="25">
        <v>2.379242158865047</v>
      </c>
      <c r="L168" s="25">
        <v>2.3974654710657095</v>
      </c>
      <c r="M168" s="25">
        <v>1.9527646085303059</v>
      </c>
    </row>
    <row r="169">
      <c r="A169" s="25" t="s">
        <v>19</v>
      </c>
      <c r="B169" s="25">
        <v>3.1338020273828997</v>
      </c>
      <c r="C169" s="25">
        <v>3.14855422141136</v>
      </c>
      <c r="D169" s="25">
        <v>3.2928107605232504</v>
      </c>
      <c r="E169" s="25">
        <v>3.629796168317096</v>
      </c>
      <c r="F169" s="25">
        <v>3.7561445076254585</v>
      </c>
      <c r="G169" s="25">
        <v>4.058227594208485</v>
      </c>
      <c r="H169" s="25">
        <v>4.058227594208485</v>
      </c>
      <c r="I169" s="25">
        <v>4.058227594208485</v>
      </c>
      <c r="J169" s="25">
        <v>4.058227594208485</v>
      </c>
      <c r="K169" s="25">
        <v>4.058227594208485</v>
      </c>
      <c r="L169" s="25">
        <v>4.058227594208485</v>
      </c>
      <c r="M169" s="25">
        <v>4.058227594208485</v>
      </c>
    </row>
    <row r="170">
      <c r="A170" s="25" t="s">
        <v>20</v>
      </c>
      <c r="B170" s="25">
        <v>1.224089780424027</v>
      </c>
      <c r="C170" s="25">
        <v>1.224089780424027</v>
      </c>
      <c r="D170" s="25">
        <v>1.2990957038055195</v>
      </c>
      <c r="E170" s="25">
        <v>1.0426793321077166</v>
      </c>
      <c r="F170" s="25">
        <v>0.989104641812848</v>
      </c>
      <c r="G170" s="25">
        <v>1.7840869629977232</v>
      </c>
      <c r="H170" s="25">
        <v>1.8904426152189346</v>
      </c>
      <c r="I170" s="25">
        <v>1.7187154083896066</v>
      </c>
      <c r="J170" s="25">
        <v>1.8904426152189346</v>
      </c>
      <c r="K170" s="25">
        <v>1.9321115085606908</v>
      </c>
      <c r="L170" s="25">
        <v>1.8482805874356147</v>
      </c>
      <c r="M170" s="25">
        <v>1.8482805874356147</v>
      </c>
    </row>
    <row r="171">
      <c r="A171" s="25" t="s">
        <v>21</v>
      </c>
      <c r="B171" s="25">
        <v>9.643081049738662</v>
      </c>
      <c r="C171" s="25">
        <v>9.9198198087904</v>
      </c>
      <c r="D171" s="25">
        <v>9.99817079287565</v>
      </c>
      <c r="E171" s="25">
        <v>10.0</v>
      </c>
      <c r="F171" s="25">
        <v>10.0</v>
      </c>
      <c r="G171" s="25">
        <v>10.0</v>
      </c>
      <c r="H171" s="25">
        <v>10.0</v>
      </c>
      <c r="I171" s="25">
        <v>9.805787395839262</v>
      </c>
      <c r="J171" s="25">
        <v>9.839706881836465</v>
      </c>
      <c r="K171" s="25">
        <v>9.970075744652128</v>
      </c>
      <c r="L171" s="25">
        <v>10.0</v>
      </c>
      <c r="M171" s="25">
        <v>9.928611052652649</v>
      </c>
    </row>
    <row r="172">
      <c r="A172" s="25" t="s">
        <v>22</v>
      </c>
      <c r="B172" s="25">
        <v>0.8515335048642849</v>
      </c>
      <c r="C172" s="25">
        <v>1.0426793321077166</v>
      </c>
      <c r="D172" s="25">
        <v>1.1731939181593152</v>
      </c>
      <c r="E172" s="25">
        <v>1.1731939181593152</v>
      </c>
      <c r="F172" s="25">
        <v>1.1731939181593152</v>
      </c>
      <c r="G172" s="25">
        <v>1.274268775687499</v>
      </c>
      <c r="H172" s="25">
        <v>1.1987327355328548</v>
      </c>
      <c r="I172" s="25">
        <v>1.224089780424027</v>
      </c>
      <c r="J172" s="25">
        <v>1.015992692214214</v>
      </c>
      <c r="K172" s="25">
        <v>1.015992692214214</v>
      </c>
      <c r="L172" s="25">
        <v>1.2492676220875067</v>
      </c>
      <c r="M172" s="25">
        <v>0.9347119857774112</v>
      </c>
    </row>
    <row r="173">
      <c r="A173" s="25" t="s">
        <v>23</v>
      </c>
      <c r="B173" s="25">
        <v>1.538289525442943</v>
      </c>
      <c r="C173" s="25">
        <v>2.743625876893155</v>
      </c>
      <c r="D173" s="25">
        <v>4.058227594208485</v>
      </c>
      <c r="E173" s="25">
        <v>4.058227594208485</v>
      </c>
      <c r="F173" s="25">
        <v>4.007730167034127</v>
      </c>
      <c r="G173" s="25">
        <v>3.3766416816483265</v>
      </c>
      <c r="H173" s="25">
        <v>3.2786451364234064</v>
      </c>
      <c r="I173" s="25">
        <v>2.1334447213102656</v>
      </c>
      <c r="J173" s="25">
        <v>2.9362484501753032</v>
      </c>
      <c r="K173" s="25">
        <v>2.0542714682134697</v>
      </c>
      <c r="L173" s="25">
        <v>2.8572507619309455</v>
      </c>
      <c r="M173" s="25">
        <v>2.1723811718995982</v>
      </c>
    </row>
    <row r="174">
      <c r="A174" s="25" t="s">
        <v>24</v>
      </c>
      <c r="B174" s="25">
        <v>2.433634814900483</v>
      </c>
      <c r="C174" s="25">
        <v>2.267900292019702</v>
      </c>
      <c r="D174" s="25">
        <v>2.0140151103163966</v>
      </c>
      <c r="E174" s="25">
        <v>1.674458320406309</v>
      </c>
      <c r="F174" s="25">
        <v>2.643262908620491</v>
      </c>
      <c r="G174" s="25">
        <v>3.3904237095413503</v>
      </c>
      <c r="H174" s="25">
        <v>3.0741746979905837</v>
      </c>
      <c r="I174" s="25">
        <v>3.2786451364234064</v>
      </c>
      <c r="J174" s="25">
        <v>4.058227594208485</v>
      </c>
      <c r="K174" s="25">
        <v>3.8419956441533456</v>
      </c>
      <c r="L174" s="25">
        <v>4.058227594208485</v>
      </c>
      <c r="M174" s="25">
        <v>3.525388703254069</v>
      </c>
    </row>
    <row r="175">
      <c r="A175" s="25" t="s">
        <v>25</v>
      </c>
      <c r="B175" s="25">
        <v>1.8694239715548224</v>
      </c>
      <c r="C175" s="25">
        <v>1.827010973409848</v>
      </c>
      <c r="D175" s="25">
        <v>1.652121885061777</v>
      </c>
      <c r="E175" s="25">
        <v>1.629644524902948</v>
      </c>
      <c r="F175" s="25">
        <v>1.4445301730876356</v>
      </c>
      <c r="G175" s="25">
        <v>1.2492676220875067</v>
      </c>
      <c r="H175" s="25">
        <v>0.8233701189320659</v>
      </c>
      <c r="I175" s="25">
        <v>0.8233701189320659</v>
      </c>
      <c r="J175" s="25">
        <v>0.619734709160605</v>
      </c>
      <c r="K175" s="25">
        <v>0.7084359656544131</v>
      </c>
      <c r="L175" s="25">
        <v>0.8233701189320659</v>
      </c>
      <c r="M175" s="25">
        <v>0.8515335048642849</v>
      </c>
    </row>
    <row r="176">
      <c r="A176" s="25" t="s">
        <v>26</v>
      </c>
      <c r="B176" s="25">
        <v>0.1053076599302617</v>
      </c>
      <c r="C176" s="25">
        <v>0.20759171197414183</v>
      </c>
      <c r="D176" s="25">
        <v>0.20759171197414183</v>
      </c>
      <c r="E176" s="25">
        <v>0.20759171197414183</v>
      </c>
      <c r="F176" s="25">
        <v>0.241044068247379</v>
      </c>
      <c r="G176" s="25">
        <v>0.37179818432007106</v>
      </c>
      <c r="H176" s="25">
        <v>0.241044068247379</v>
      </c>
      <c r="I176" s="25">
        <v>0.30702094946767255</v>
      </c>
      <c r="J176" s="25">
        <v>0.241044068247379</v>
      </c>
      <c r="K176" s="25">
        <v>0.241044068247379</v>
      </c>
      <c r="L176" s="25">
        <v>0.20759171197414183</v>
      </c>
      <c r="M176" s="25">
        <v>0.1053076599302617</v>
      </c>
    </row>
    <row r="177">
      <c r="A177" s="25" t="s">
        <v>27</v>
      </c>
      <c r="B177" s="25">
        <v>3.3489166408126176</v>
      </c>
      <c r="C177" s="25">
        <v>3.118988493493944</v>
      </c>
      <c r="D177" s="25">
        <v>1.7406394761467345</v>
      </c>
      <c r="E177" s="25">
        <v>0.20759171197414183</v>
      </c>
      <c r="F177" s="25">
        <v>1.629644524902948</v>
      </c>
      <c r="G177" s="25">
        <v>1.069167556486847</v>
      </c>
      <c r="H177" s="25">
        <v>1.1731939181593152</v>
      </c>
      <c r="I177" s="25">
        <v>1.015992692214214</v>
      </c>
      <c r="J177" s="25">
        <v>1.2990957038055195</v>
      </c>
      <c r="K177" s="25">
        <v>0.1053076599302617</v>
      </c>
      <c r="L177" s="25">
        <v>0.1053076599302617</v>
      </c>
      <c r="M177" s="25">
        <v>0.989104641812848</v>
      </c>
    </row>
    <row r="178">
      <c r="A178" s="25" t="s">
        <v>28</v>
      </c>
      <c r="B178" s="25">
        <v>0.30702094946767255</v>
      </c>
      <c r="C178" s="25">
        <v>0.4037504143479793</v>
      </c>
      <c r="D178" s="25">
        <v>0.619734709160605</v>
      </c>
      <c r="E178" s="25">
        <v>0.6791135798201758</v>
      </c>
      <c r="F178" s="25">
        <v>0.1053076599302617</v>
      </c>
      <c r="G178" s="25">
        <v>0.4354186207964012</v>
      </c>
      <c r="H178" s="25">
        <v>0.7663665065559545</v>
      </c>
      <c r="I178" s="25">
        <v>0.7949823211848759</v>
      </c>
      <c r="J178" s="25">
        <v>0.619734709160605</v>
      </c>
      <c r="K178" s="25">
        <v>0.241044068247379</v>
      </c>
      <c r="L178" s="25">
        <v>0.2741852353019711</v>
      </c>
      <c r="M178" s="25">
        <v>1.015992692214214</v>
      </c>
    </row>
    <row r="179">
      <c r="A179" s="25" t="s">
        <v>29</v>
      </c>
      <c r="B179" s="25">
        <v>1.015992692214214</v>
      </c>
      <c r="C179" s="25">
        <v>0.559349369176622</v>
      </c>
      <c r="D179" s="25">
        <v>0.589669975742353</v>
      </c>
      <c r="E179" s="25">
        <v>0.6495478519027598</v>
      </c>
      <c r="F179" s="25">
        <v>1.1987327355328548</v>
      </c>
      <c r="G179" s="25">
        <v>1.5613488277408305</v>
      </c>
      <c r="H179" s="25">
        <v>2.21089667964359</v>
      </c>
      <c r="I179" s="25">
        <v>1.9113379816717544</v>
      </c>
      <c r="J179" s="25">
        <v>0.9620121175819774</v>
      </c>
      <c r="K179" s="25">
        <v>1.0426793321077166</v>
      </c>
      <c r="L179" s="25">
        <v>1.1987327355328548</v>
      </c>
      <c r="M179" s="25">
        <v>1.224089780424027</v>
      </c>
    </row>
    <row r="183">
      <c r="A183" s="26" t="s">
        <v>57</v>
      </c>
      <c r="B183" s="25" t="s">
        <v>1</v>
      </c>
      <c r="C183" s="25" t="s">
        <v>2</v>
      </c>
      <c r="D183" s="25" t="s">
        <v>3</v>
      </c>
      <c r="E183" s="25" t="s">
        <v>4</v>
      </c>
      <c r="F183" s="25" t="s">
        <v>5</v>
      </c>
      <c r="G183" s="25" t="s">
        <v>6</v>
      </c>
      <c r="H183" s="25" t="s">
        <v>7</v>
      </c>
      <c r="I183" s="25" t="s">
        <v>8</v>
      </c>
      <c r="J183" s="25" t="s">
        <v>9</v>
      </c>
      <c r="K183" s="25" t="s">
        <v>10</v>
      </c>
      <c r="L183" s="25" t="s">
        <v>11</v>
      </c>
      <c r="M183" s="25" t="s">
        <v>12</v>
      </c>
      <c r="N183" s="25" t="s">
        <v>13</v>
      </c>
      <c r="O183" s="25" t="s">
        <v>14</v>
      </c>
      <c r="P183" s="25" t="s">
        <v>15</v>
      </c>
      <c r="Q183" s="25" t="s">
        <v>16</v>
      </c>
      <c r="R183" s="25" t="s">
        <v>17</v>
      </c>
      <c r="S183" s="25" t="s">
        <v>18</v>
      </c>
      <c r="T183" s="25" t="s">
        <v>19</v>
      </c>
      <c r="U183" s="25" t="s">
        <v>20</v>
      </c>
      <c r="V183" s="25" t="s">
        <v>21</v>
      </c>
      <c r="W183" s="25" t="s">
        <v>22</v>
      </c>
      <c r="X183" s="25" t="s">
        <v>23</v>
      </c>
      <c r="Y183" s="25" t="s">
        <v>24</v>
      </c>
      <c r="Z183" s="25" t="s">
        <v>25</v>
      </c>
      <c r="AA183" s="25" t="s">
        <v>26</v>
      </c>
      <c r="AB183" s="25" t="s">
        <v>27</v>
      </c>
      <c r="AC183" s="25" t="s">
        <v>28</v>
      </c>
      <c r="AD183" s="25" t="s">
        <v>29</v>
      </c>
    </row>
    <row r="184">
      <c r="A184" s="25">
        <v>2025.0</v>
      </c>
      <c r="X184" s="25">
        <v>1.538289525442943</v>
      </c>
    </row>
    <row r="185">
      <c r="A185" s="25">
        <v>2024.0</v>
      </c>
      <c r="X185" s="25">
        <v>2.743625876893155</v>
      </c>
    </row>
    <row r="186">
      <c r="A186" s="25">
        <v>2023.0</v>
      </c>
      <c r="X186" s="25">
        <v>4.058227594208485</v>
      </c>
    </row>
    <row r="187">
      <c r="A187" s="25">
        <v>2022.0</v>
      </c>
      <c r="B187" s="25">
        <v>2.7927666527795014</v>
      </c>
      <c r="C187" s="25">
        <v>0.20759171197414183</v>
      </c>
      <c r="D187" s="25">
        <v>8.24580156617693</v>
      </c>
      <c r="E187" s="25">
        <v>5.726731170018251</v>
      </c>
      <c r="F187" s="25">
        <v>5.5735537491008</v>
      </c>
      <c r="G187" s="25">
        <v>2.342513485447934</v>
      </c>
      <c r="H187" s="25">
        <v>3.9139708146788204</v>
      </c>
      <c r="I187" s="25">
        <v>0.20759171197414183</v>
      </c>
      <c r="J187" s="25">
        <v>7.657680231957505</v>
      </c>
      <c r="K187" s="25">
        <v>1.4917182770876678</v>
      </c>
      <c r="L187" s="25">
        <v>7.8790340074661085</v>
      </c>
      <c r="M187" s="25">
        <v>1.5842598376801713</v>
      </c>
      <c r="N187" s="25">
        <v>0.7663665065559545</v>
      </c>
      <c r="O187" s="25">
        <v>6.09923680990828</v>
      </c>
      <c r="P187" s="25">
        <v>3.2644229627760604</v>
      </c>
      <c r="Q187" s="25">
        <v>3.3766416816483265</v>
      </c>
      <c r="R187" s="25">
        <v>1.0426793321077166</v>
      </c>
      <c r="S187" s="25">
        <v>3.013532386730711</v>
      </c>
      <c r="T187" s="25">
        <v>3.629796168317096</v>
      </c>
      <c r="U187" s="25">
        <v>1.0426793321077166</v>
      </c>
      <c r="V187" s="25">
        <v>10.0</v>
      </c>
      <c r="W187" s="25">
        <v>1.1731939181593152</v>
      </c>
      <c r="X187" s="25">
        <v>4.058227594208485</v>
      </c>
      <c r="Y187" s="25">
        <v>1.674458320406309</v>
      </c>
      <c r="Z187" s="25">
        <v>1.629644524902948</v>
      </c>
      <c r="AA187" s="25">
        <v>0.20759171197414183</v>
      </c>
      <c r="AB187" s="25">
        <v>0.20759171197414183</v>
      </c>
      <c r="AC187" s="25">
        <v>0.6791135798201758</v>
      </c>
      <c r="AD187" s="25">
        <v>0.6495478519027598</v>
      </c>
    </row>
    <row r="188">
      <c r="A188" s="25">
        <v>2021.0</v>
      </c>
      <c r="B188" s="25">
        <v>2.6937977951751417</v>
      </c>
      <c r="C188" s="25">
        <v>0.1053076599302617</v>
      </c>
      <c r="D188" s="25">
        <v>8.08006704329615</v>
      </c>
      <c r="E188" s="25">
        <v>5.413493366009754</v>
      </c>
      <c r="F188" s="25">
        <v>5.413493366009754</v>
      </c>
      <c r="G188" s="25">
        <v>2.1334447213102656</v>
      </c>
      <c r="H188" s="25">
        <v>4.058227594208485</v>
      </c>
      <c r="I188" s="25">
        <v>0.20759171197414183</v>
      </c>
      <c r="J188" s="25">
        <v>7.657680231957505</v>
      </c>
      <c r="K188" s="25">
        <v>1.4206996510081038</v>
      </c>
      <c r="L188" s="25">
        <v>7.948589032114314</v>
      </c>
      <c r="M188" s="25">
        <v>1.274268775687499</v>
      </c>
      <c r="N188" s="25">
        <v>0.7375189824041788</v>
      </c>
      <c r="O188" s="25">
        <v>6.181871106698522</v>
      </c>
      <c r="P188" s="25">
        <v>3.5779748943979017</v>
      </c>
      <c r="Q188" s="25">
        <v>3.163245581477242</v>
      </c>
      <c r="R188" s="25">
        <v>1.015992692214214</v>
      </c>
      <c r="S188" s="25">
        <v>3.0891753507517894</v>
      </c>
      <c r="T188" s="25">
        <v>3.7561445076254585</v>
      </c>
      <c r="U188" s="25">
        <v>0.989104641812848</v>
      </c>
      <c r="V188" s="25">
        <v>10.0</v>
      </c>
      <c r="W188" s="25">
        <v>1.1731939181593152</v>
      </c>
      <c r="X188" s="25">
        <v>4.007730167034127</v>
      </c>
      <c r="Y188" s="25">
        <v>2.643262908620491</v>
      </c>
      <c r="Z188" s="25">
        <v>1.4445301730876356</v>
      </c>
      <c r="AA188" s="25">
        <v>0.241044068247379</v>
      </c>
      <c r="AB188" s="25">
        <v>1.629644524902948</v>
      </c>
      <c r="AC188" s="25">
        <v>0.1053076599302617</v>
      </c>
      <c r="AD188" s="25">
        <v>1.1987327355328548</v>
      </c>
    </row>
    <row r="189">
      <c r="A189" s="25">
        <v>2020.0</v>
      </c>
      <c r="B189" s="25">
        <v>2.626257388182631</v>
      </c>
      <c r="C189" s="25">
        <v>0.1053076599302617</v>
      </c>
      <c r="D189" s="25">
        <v>7.827941629357641</v>
      </c>
      <c r="E189" s="25">
        <v>5.762251402114434</v>
      </c>
      <c r="F189" s="25">
        <v>5.748085778014591</v>
      </c>
      <c r="G189" s="25">
        <v>3.1338020273828997</v>
      </c>
      <c r="H189" s="25">
        <v>3.2928107605232504</v>
      </c>
      <c r="I189" s="25">
        <v>0.30702094946767255</v>
      </c>
      <c r="J189" s="25">
        <v>7.796132045113314</v>
      </c>
      <c r="K189" s="25">
        <v>3.458545283404032</v>
      </c>
      <c r="L189" s="25">
        <v>8.33617606480031</v>
      </c>
      <c r="M189" s="25">
        <v>1.2492676220875067</v>
      </c>
      <c r="N189" s="25">
        <v>0.6791135798201758</v>
      </c>
      <c r="O189" s="25">
        <v>6.568525808085317</v>
      </c>
      <c r="P189" s="25">
        <v>4.019278474609082</v>
      </c>
      <c r="Q189" s="25">
        <v>3.3489166408126176</v>
      </c>
      <c r="R189" s="25">
        <v>0.8515335048642849</v>
      </c>
      <c r="S189" s="25">
        <v>3.1338020273828997</v>
      </c>
      <c r="T189" s="25">
        <v>4.058227594208485</v>
      </c>
      <c r="U189" s="25">
        <v>1.7840869629977232</v>
      </c>
      <c r="V189" s="25">
        <v>10.0</v>
      </c>
      <c r="W189" s="25">
        <v>1.274268775687499</v>
      </c>
      <c r="X189" s="25">
        <v>3.3766416816483265</v>
      </c>
      <c r="Y189" s="25">
        <v>3.3904237095413503</v>
      </c>
      <c r="Z189" s="25">
        <v>1.2492676220875067</v>
      </c>
      <c r="AA189" s="25">
        <v>0.37179818432007106</v>
      </c>
      <c r="AB189" s="25">
        <v>1.069167556486847</v>
      </c>
      <c r="AC189" s="25">
        <v>0.4354186207964012</v>
      </c>
      <c r="AD189" s="25">
        <v>1.5613488277408305</v>
      </c>
    </row>
    <row r="190">
      <c r="A190" s="25">
        <v>2019.0</v>
      </c>
      <c r="B190" s="25">
        <v>2.5920008764836853</v>
      </c>
      <c r="C190" s="25">
        <v>0.241044068247379</v>
      </c>
      <c r="D190" s="25">
        <v>8.84988198533619</v>
      </c>
      <c r="E190" s="25">
        <v>5.87359326895978</v>
      </c>
      <c r="F190" s="25">
        <v>6.477170808625312</v>
      </c>
      <c r="G190" s="25">
        <v>2.9048592623875855</v>
      </c>
      <c r="H190" s="25">
        <v>3.525388703254069</v>
      </c>
      <c r="I190" s="25">
        <v>0.30702094946767255</v>
      </c>
      <c r="J190" s="25">
        <v>7.594845273944543</v>
      </c>
      <c r="K190" s="25">
        <v>3.0891753507517894</v>
      </c>
      <c r="L190" s="25">
        <v>8.249320232899889</v>
      </c>
      <c r="M190" s="25">
        <v>0.8794759992214329</v>
      </c>
      <c r="N190" s="25">
        <v>0.7663665065559545</v>
      </c>
      <c r="O190" s="25">
        <v>6.808305254737191</v>
      </c>
      <c r="P190" s="25">
        <v>3.9376429932499195</v>
      </c>
      <c r="Q190" s="25">
        <v>3.0439825701124517</v>
      </c>
      <c r="R190" s="25">
        <v>0.9620121175819774</v>
      </c>
      <c r="S190" s="25">
        <v>2.9048592623875855</v>
      </c>
      <c r="T190" s="25">
        <v>4.058227594208485</v>
      </c>
      <c r="U190" s="25">
        <v>1.8904426152189346</v>
      </c>
      <c r="V190" s="25">
        <v>10.0</v>
      </c>
      <c r="W190" s="25">
        <v>1.1987327355328548</v>
      </c>
      <c r="X190" s="25">
        <v>3.2786451364234064</v>
      </c>
      <c r="Y190" s="25">
        <v>3.0741746979905837</v>
      </c>
      <c r="Z190" s="25">
        <v>0.8233701189320659</v>
      </c>
      <c r="AA190" s="25">
        <v>0.241044068247379</v>
      </c>
      <c r="AB190" s="25">
        <v>1.1731939181593152</v>
      </c>
      <c r="AC190" s="25">
        <v>0.7663665065559545</v>
      </c>
      <c r="AD190" s="25">
        <v>2.21089667964359</v>
      </c>
    </row>
    <row r="191">
      <c r="A191" s="25">
        <v>2018.0</v>
      </c>
      <c r="B191" s="25">
        <v>2.4872095051953518</v>
      </c>
      <c r="C191" s="25">
        <v>0.20759171197414183</v>
      </c>
      <c r="D191" s="25">
        <v>8.45100125688127</v>
      </c>
      <c r="E191" s="25">
        <v>5.14718885871601</v>
      </c>
      <c r="F191" s="25">
        <v>5.294595242587531</v>
      </c>
      <c r="G191" s="25">
        <v>1.7406394761467345</v>
      </c>
      <c r="H191" s="25">
        <v>3.1338020273828997</v>
      </c>
      <c r="I191" s="25">
        <v>0.1053076599302617</v>
      </c>
      <c r="J191" s="25">
        <v>8.263360250154042</v>
      </c>
      <c r="K191" s="25">
        <v>3.1338020273828997</v>
      </c>
      <c r="L191" s="25">
        <v>8.06898569760502</v>
      </c>
      <c r="M191" s="25">
        <v>0.7375189824041788</v>
      </c>
      <c r="N191" s="25">
        <v>0.7375189824041788</v>
      </c>
      <c r="O191" s="25">
        <v>6.8606211693746255</v>
      </c>
      <c r="P191" s="25">
        <v>3.4854333338053984</v>
      </c>
      <c r="Q191" s="25">
        <v>2.8572507619309455</v>
      </c>
      <c r="R191" s="25">
        <v>1.0426793321077166</v>
      </c>
      <c r="S191" s="25">
        <v>2.6937977951751417</v>
      </c>
      <c r="T191" s="25">
        <v>4.058227594208485</v>
      </c>
      <c r="U191" s="25">
        <v>1.7187154083896066</v>
      </c>
      <c r="V191" s="25">
        <v>9.805787395839262</v>
      </c>
      <c r="W191" s="25">
        <v>1.224089780424027</v>
      </c>
      <c r="X191" s="25">
        <v>2.1334447213102656</v>
      </c>
      <c r="Y191" s="25">
        <v>3.2786451364234064</v>
      </c>
      <c r="Z191" s="25">
        <v>0.8233701189320659</v>
      </c>
      <c r="AA191" s="25">
        <v>0.30702094946767255</v>
      </c>
      <c r="AB191" s="25">
        <v>1.015992692214214</v>
      </c>
      <c r="AC191" s="25">
        <v>0.7949823211848759</v>
      </c>
      <c r="AD191" s="25">
        <v>1.9113379816717544</v>
      </c>
    </row>
    <row r="192">
      <c r="A192" s="25">
        <v>2017.0</v>
      </c>
      <c r="B192" s="25">
        <v>2.8089974315012727</v>
      </c>
      <c r="C192" s="25">
        <v>0.241044068247379</v>
      </c>
      <c r="D192" s="25">
        <v>8.474189203333431</v>
      </c>
      <c r="E192" s="25">
        <v>5.14718885871601</v>
      </c>
      <c r="F192" s="25">
        <v>5.994829344845254</v>
      </c>
      <c r="G192" s="25">
        <v>1.9527646085303059</v>
      </c>
      <c r="H192" s="25">
        <v>3.2928107605232504</v>
      </c>
      <c r="I192" s="25">
        <v>0.1053076599302617</v>
      </c>
      <c r="J192" s="25">
        <v>7.83584984518506</v>
      </c>
      <c r="K192" s="25">
        <v>3.362806131182609</v>
      </c>
      <c r="L192" s="25">
        <v>7.906244776266843</v>
      </c>
      <c r="M192" s="25">
        <v>0.619734709160605</v>
      </c>
      <c r="N192" s="25">
        <v>0.7949823211848759</v>
      </c>
      <c r="O192" s="25">
        <v>7.023049288521664</v>
      </c>
      <c r="P192" s="25">
        <v>3.5121199736989004</v>
      </c>
      <c r="Q192" s="25">
        <v>3.0439825701124517</v>
      </c>
      <c r="R192" s="25">
        <v>1.069167556486847</v>
      </c>
      <c r="S192" s="25">
        <v>2.539990467121695</v>
      </c>
      <c r="T192" s="25">
        <v>4.058227594208485</v>
      </c>
      <c r="U192" s="25">
        <v>1.8904426152189346</v>
      </c>
      <c r="V192" s="25">
        <v>9.839706881836465</v>
      </c>
      <c r="W192" s="25">
        <v>1.015992692214214</v>
      </c>
      <c r="X192" s="25">
        <v>2.9362484501753032</v>
      </c>
      <c r="Y192" s="25">
        <v>4.058227594208485</v>
      </c>
      <c r="Z192" s="25">
        <v>0.619734709160605</v>
      </c>
      <c r="AA192" s="25">
        <v>0.241044068247379</v>
      </c>
      <c r="AB192" s="25">
        <v>1.2990957038055195</v>
      </c>
      <c r="AC192" s="25">
        <v>0.619734709160605</v>
      </c>
      <c r="AD192" s="25">
        <v>0.9620121175819774</v>
      </c>
    </row>
    <row r="193">
      <c r="A193" s="25">
        <v>2016.0</v>
      </c>
      <c r="B193" s="25">
        <v>3.118988493493944</v>
      </c>
      <c r="C193" s="25">
        <v>0.17382226702930614</v>
      </c>
      <c r="D193" s="25">
        <v>8.160293867232323</v>
      </c>
      <c r="E193" s="25">
        <v>5.14718885871601</v>
      </c>
      <c r="F193" s="25">
        <v>6.377468753028208</v>
      </c>
      <c r="G193" s="25">
        <v>1.5842598376801713</v>
      </c>
      <c r="H193" s="25">
        <v>3.2644229627760604</v>
      </c>
      <c r="I193" s="25">
        <v>0.1053076599302617</v>
      </c>
      <c r="J193" s="25">
        <v>7.784129844764385</v>
      </c>
      <c r="K193" s="25">
        <v>3.028790010767807</v>
      </c>
      <c r="L193" s="25">
        <v>7.9023702247513015</v>
      </c>
      <c r="M193" s="25">
        <v>0.6495478519027598</v>
      </c>
      <c r="N193" s="25">
        <v>1.2492676220875067</v>
      </c>
      <c r="O193" s="25">
        <v>7.1015681640189845</v>
      </c>
      <c r="P193" s="25">
        <v>3.9020754788618857</v>
      </c>
      <c r="Q193" s="25">
        <v>2.743625876893155</v>
      </c>
      <c r="R193" s="25">
        <v>1.224089780424027</v>
      </c>
      <c r="S193" s="25">
        <v>2.379242158865047</v>
      </c>
      <c r="T193" s="25">
        <v>4.058227594208485</v>
      </c>
      <c r="U193" s="25">
        <v>1.9321115085606908</v>
      </c>
      <c r="V193" s="25">
        <v>9.970075744652128</v>
      </c>
      <c r="W193" s="25">
        <v>1.015992692214214</v>
      </c>
      <c r="X193" s="25">
        <v>2.0542714682134697</v>
      </c>
      <c r="Y193" s="25">
        <v>3.8419956441533456</v>
      </c>
      <c r="Z193" s="25">
        <v>0.7084359656544131</v>
      </c>
      <c r="AA193" s="25">
        <v>0.241044068247379</v>
      </c>
      <c r="AB193" s="25">
        <v>0.1053076599302617</v>
      </c>
      <c r="AC193" s="25">
        <v>0.241044068247379</v>
      </c>
      <c r="AD193" s="25">
        <v>1.0426793321077166</v>
      </c>
    </row>
    <row r="194">
      <c r="A194" s="25">
        <v>2015.0</v>
      </c>
      <c r="B194" s="25">
        <v>3.1338020273828997</v>
      </c>
      <c r="C194" s="25">
        <v>0.30702094946767255</v>
      </c>
      <c r="D194" s="25">
        <v>8.318973473349713</v>
      </c>
      <c r="E194" s="25">
        <v>5.14718885871601</v>
      </c>
      <c r="F194" s="25">
        <v>6.206916199418627</v>
      </c>
      <c r="G194" s="25">
        <v>1.8904426152189346</v>
      </c>
      <c r="H194" s="25">
        <v>3.616911344987233</v>
      </c>
      <c r="I194" s="25">
        <v>0.1053076599302617</v>
      </c>
      <c r="J194" s="25">
        <v>8.06157893866403</v>
      </c>
      <c r="K194" s="25">
        <v>3.8419956441533456</v>
      </c>
      <c r="L194" s="25">
        <v>7.963863009496267</v>
      </c>
      <c r="M194" s="25">
        <v>0.6495478519027598</v>
      </c>
      <c r="N194" s="25">
        <v>1.2990957038055195</v>
      </c>
      <c r="O194" s="25">
        <v>6.978109872885803</v>
      </c>
      <c r="P194" s="25">
        <v>3.9258265652784208</v>
      </c>
      <c r="Q194" s="25">
        <v>2.7104847098385627</v>
      </c>
      <c r="R194" s="25">
        <v>1.538289525442943</v>
      </c>
      <c r="S194" s="25">
        <v>2.3974654710657095</v>
      </c>
      <c r="T194" s="25">
        <v>4.058227594208485</v>
      </c>
      <c r="U194" s="25">
        <v>1.8482805874356147</v>
      </c>
      <c r="V194" s="25">
        <v>10.0</v>
      </c>
      <c r="W194" s="25">
        <v>1.2492676220875067</v>
      </c>
      <c r="X194" s="25">
        <v>2.8572507619309455</v>
      </c>
      <c r="Y194" s="25">
        <v>4.058227594208485</v>
      </c>
      <c r="Z194" s="25">
        <v>0.8233701189320659</v>
      </c>
      <c r="AA194" s="25">
        <v>0.20759171197414183</v>
      </c>
      <c r="AB194" s="25">
        <v>0.1053076599302617</v>
      </c>
      <c r="AC194" s="25">
        <v>0.2741852353019711</v>
      </c>
      <c r="AD194" s="25">
        <v>1.1987327355328548</v>
      </c>
    </row>
    <row r="195">
      <c r="A195" s="25">
        <v>2014.0</v>
      </c>
      <c r="B195" s="25">
        <v>3.013532386730711</v>
      </c>
      <c r="C195" s="25">
        <v>0.20759171197414183</v>
      </c>
      <c r="D195" s="25">
        <v>8.224616272228975</v>
      </c>
      <c r="E195" s="25">
        <v>5.14718885871601</v>
      </c>
      <c r="F195" s="25">
        <v>6.482949641631846</v>
      </c>
      <c r="G195" s="25">
        <v>2.0542714682134697</v>
      </c>
      <c r="H195" s="25">
        <v>2.920588425983333</v>
      </c>
      <c r="I195" s="25">
        <v>0.1053076599302617</v>
      </c>
      <c r="J195" s="25">
        <v>8.65758954686106</v>
      </c>
      <c r="K195" s="25">
        <v>4.058227594208485</v>
      </c>
      <c r="L195" s="25">
        <v>7.940927416758522</v>
      </c>
      <c r="M195" s="25">
        <v>0.8233701189320659</v>
      </c>
      <c r="N195" s="25">
        <v>1.3482364796918662</v>
      </c>
      <c r="O195" s="25">
        <v>7.20206595602598</v>
      </c>
      <c r="P195" s="25">
        <v>4.058227594208485</v>
      </c>
      <c r="Q195" s="25">
        <v>2.8251546009963455</v>
      </c>
      <c r="R195" s="25">
        <v>1.7187154083896066</v>
      </c>
      <c r="S195" s="25">
        <v>1.9527646085303059</v>
      </c>
      <c r="T195" s="25">
        <v>4.058227594208485</v>
      </c>
      <c r="U195" s="25">
        <v>1.8482805874356147</v>
      </c>
      <c r="V195" s="25">
        <v>9.928611052652649</v>
      </c>
      <c r="W195" s="25">
        <v>0.9347119857774112</v>
      </c>
      <c r="X195" s="25">
        <v>2.1723811718995982</v>
      </c>
      <c r="Y195" s="25">
        <v>3.525388703254069</v>
      </c>
      <c r="Z195" s="25">
        <v>0.8515335048642849</v>
      </c>
      <c r="AA195" s="25">
        <v>0.1053076599302617</v>
      </c>
      <c r="AB195" s="25">
        <v>0.989104641812848</v>
      </c>
      <c r="AC195" s="25">
        <v>1.015992692214214</v>
      </c>
      <c r="AD195" s="25">
        <v>1.224089780424027</v>
      </c>
    </row>
    <row r="201">
      <c r="A201" s="26" t="s">
        <v>59</v>
      </c>
      <c r="B201" s="25" t="s">
        <v>1</v>
      </c>
      <c r="C201" s="25" t="s">
        <v>2</v>
      </c>
      <c r="D201" s="25" t="s">
        <v>3</v>
      </c>
      <c r="E201" s="25" t="s">
        <v>4</v>
      </c>
      <c r="F201" s="25" t="s">
        <v>5</v>
      </c>
      <c r="G201" s="25" t="s">
        <v>6</v>
      </c>
      <c r="H201" s="25" t="s">
        <v>7</v>
      </c>
      <c r="I201" s="25" t="s">
        <v>8</v>
      </c>
      <c r="J201" s="25" t="s">
        <v>9</v>
      </c>
      <c r="K201" s="25" t="s">
        <v>10</v>
      </c>
      <c r="L201" s="25" t="s">
        <v>11</v>
      </c>
      <c r="M201" s="25" t="s">
        <v>12</v>
      </c>
      <c r="N201" s="25" t="s">
        <v>13</v>
      </c>
      <c r="O201" s="25" t="s">
        <v>14</v>
      </c>
      <c r="P201" s="25" t="s">
        <v>15</v>
      </c>
      <c r="Q201" s="25" t="s">
        <v>16</v>
      </c>
      <c r="R201" s="25" t="s">
        <v>17</v>
      </c>
      <c r="S201" s="25" t="s">
        <v>18</v>
      </c>
      <c r="T201" s="25" t="s">
        <v>19</v>
      </c>
      <c r="U201" s="25" t="s">
        <v>20</v>
      </c>
      <c r="V201" s="25" t="s">
        <v>21</v>
      </c>
      <c r="W201" s="25" t="s">
        <v>22</v>
      </c>
      <c r="X201" s="25" t="s">
        <v>23</v>
      </c>
      <c r="Y201" s="25" t="s">
        <v>24</v>
      </c>
      <c r="Z201" s="25" t="s">
        <v>25</v>
      </c>
      <c r="AA201" s="25" t="s">
        <v>26</v>
      </c>
      <c r="AB201" s="25" t="s">
        <v>27</v>
      </c>
      <c r="AC201" s="25" t="s">
        <v>28</v>
      </c>
      <c r="AD201" s="25" t="s">
        <v>29</v>
      </c>
    </row>
    <row r="202">
      <c r="A202" s="25" t="s">
        <v>45</v>
      </c>
      <c r="X202" s="27">
        <v>0.6780919737217939</v>
      </c>
    </row>
    <row r="203">
      <c r="A203" s="25" t="s">
        <v>46</v>
      </c>
      <c r="X203" s="25">
        <v>0.9940017137960583</v>
      </c>
    </row>
    <row r="204">
      <c r="A204" s="25" t="s">
        <v>47</v>
      </c>
      <c r="X204" s="28">
        <v>0.6780919737217939</v>
      </c>
    </row>
    <row r="205">
      <c r="A205" s="25" t="s">
        <v>48</v>
      </c>
    </row>
    <row r="206">
      <c r="A206" s="25" t="s">
        <v>49</v>
      </c>
    </row>
    <row r="207">
      <c r="A207" s="25" t="s">
        <v>50</v>
      </c>
    </row>
    <row r="208">
      <c r="A208" s="25" t="s">
        <v>51</v>
      </c>
    </row>
    <row r="209">
      <c r="A209" s="25" t="s">
        <v>52</v>
      </c>
    </row>
    <row r="210">
      <c r="A210" s="25" t="s">
        <v>53</v>
      </c>
    </row>
    <row r="211">
      <c r="A211" s="25" t="s">
        <v>54</v>
      </c>
    </row>
    <row r="212">
      <c r="A212" s="25" t="s">
        <v>55</v>
      </c>
    </row>
    <row r="213">
      <c r="A213" s="25" t="s">
        <v>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7" max="7" width="14.63"/>
    <col customWidth="1" min="8" max="8" width="17.88"/>
    <col customWidth="1" min="10" max="10" width="42.0"/>
  </cols>
  <sheetData>
    <row r="1">
      <c r="A1" s="29" t="s">
        <v>0</v>
      </c>
    </row>
    <row r="2">
      <c r="A2" s="26" t="s">
        <v>60</v>
      </c>
    </row>
    <row r="3">
      <c r="A3" s="26" t="s">
        <v>61</v>
      </c>
      <c r="B3" s="26" t="s">
        <v>62</v>
      </c>
      <c r="C3" s="25">
        <f>_xlfn.PERCENTILE.INC(Fuzzy_Inputs_10!$E$2:$M$30, 0.2)</f>
        <v>0.5495121079</v>
      </c>
    </row>
    <row r="4">
      <c r="A4" s="26" t="s">
        <v>63</v>
      </c>
      <c r="B4" s="26" t="s">
        <v>64</v>
      </c>
      <c r="C4" s="25">
        <f>_xlfn.PERCENTILE.INC(Fuzzy_Inputs_10!$E$2:$M$30, 0.4)</f>
        <v>1.028067798</v>
      </c>
    </row>
    <row r="5">
      <c r="A5" s="26" t="s">
        <v>65</v>
      </c>
      <c r="B5" s="26" t="s">
        <v>66</v>
      </c>
      <c r="C5" s="25">
        <f>_xlfn.PERCENTILE.INC(Fuzzy_Inputs_10!$E$2:$M$30, 0.6)</f>
        <v>2.11748889</v>
      </c>
    </row>
    <row r="6">
      <c r="A6" s="26" t="s">
        <v>67</v>
      </c>
      <c r="B6" s="26" t="s">
        <v>68</v>
      </c>
      <c r="C6" s="25">
        <f>_xlfn.PERCENTILE.INC(Fuzzy_Inputs_10!$E$2:$M$30, 0.8)</f>
        <v>4.012505402</v>
      </c>
    </row>
    <row r="9">
      <c r="A9" s="29" t="s">
        <v>31</v>
      </c>
    </row>
    <row r="10">
      <c r="A10" s="26" t="s">
        <v>60</v>
      </c>
    </row>
    <row r="11">
      <c r="A11" s="26" t="s">
        <v>61</v>
      </c>
      <c r="B11" s="26" t="s">
        <v>62</v>
      </c>
      <c r="C11" s="25">
        <f>_xlfn.PERCENTILE.INC(Fuzzy_Inputs_10!$E$35:$M$63, 0.2)</f>
        <v>0.392130119</v>
      </c>
    </row>
    <row r="12">
      <c r="A12" s="26" t="s">
        <v>63</v>
      </c>
      <c r="B12" s="26" t="s">
        <v>64</v>
      </c>
      <c r="C12" s="25">
        <f>_xlfn.PERCENTILE.INC(Fuzzy_Inputs_10!$E$35:$M$63, 0.4)</f>
        <v>1.689001034</v>
      </c>
    </row>
    <row r="13">
      <c r="A13" s="26" t="s">
        <v>65</v>
      </c>
      <c r="B13" s="26" t="s">
        <v>66</v>
      </c>
      <c r="C13" s="25">
        <f>_xlfn.PERCENTILE.INC(Fuzzy_Inputs_10!$E$35:$M$63, 0.6)</f>
        <v>2.79605824</v>
      </c>
    </row>
    <row r="14">
      <c r="A14" s="26" t="s">
        <v>67</v>
      </c>
      <c r="B14" s="26" t="s">
        <v>68</v>
      </c>
      <c r="C14" s="25">
        <f>_xlfn.PERCENTILE.INC(Fuzzy_Inputs_10!$E$35:$M$63, 0.8)</f>
        <v>4.820358941</v>
      </c>
    </row>
    <row r="17">
      <c r="A17" s="29" t="s">
        <v>69</v>
      </c>
    </row>
    <row r="18">
      <c r="A18" s="26" t="s">
        <v>60</v>
      </c>
    </row>
    <row r="19">
      <c r="A19" s="26" t="s">
        <v>61</v>
      </c>
      <c r="B19" s="26" t="s">
        <v>62</v>
      </c>
      <c r="C19" s="25">
        <f>_xlfn.PERCENTILE.INC(Fuzzy_Inputs_10!$E$68:$M$96, 0.2)</f>
        <v>1.576692374</v>
      </c>
    </row>
    <row r="20">
      <c r="A20" s="26" t="s">
        <v>63</v>
      </c>
      <c r="B20" s="26" t="s">
        <v>64</v>
      </c>
      <c r="C20" s="25">
        <f>_xlfn.PERCENTILE.INC(Fuzzy_Inputs_10!$E$68:$M$96, 0.4)</f>
        <v>2.993430448</v>
      </c>
    </row>
    <row r="21">
      <c r="A21" s="26" t="s">
        <v>65</v>
      </c>
      <c r="B21" s="26" t="s">
        <v>66</v>
      </c>
      <c r="C21" s="25">
        <f>_xlfn.PERCENTILE.INC(Fuzzy_Inputs_10!$E$68:$M$96, 0.6)</f>
        <v>4.318766067</v>
      </c>
    </row>
    <row r="22">
      <c r="A22" s="26" t="s">
        <v>67</v>
      </c>
      <c r="B22" s="26" t="s">
        <v>68</v>
      </c>
      <c r="C22" s="25">
        <f>_xlfn.PERCENTILE.INC(Fuzzy_Inputs_10!$E$68:$M$96, 0.8)</f>
        <v>6.775207084</v>
      </c>
    </row>
    <row r="25">
      <c r="A25" s="29" t="s">
        <v>57</v>
      </c>
    </row>
    <row r="26">
      <c r="A26" s="26" t="s">
        <v>60</v>
      </c>
    </row>
    <row r="27">
      <c r="A27" s="26" t="s">
        <v>61</v>
      </c>
      <c r="B27" s="26" t="s">
        <v>62</v>
      </c>
      <c r="C27" s="25">
        <f>_xlfn.PERCENTILE.INC(Fuzzy_Inputs_10!$E$101:$M$129, 0.2)</f>
        <v>0.8233701189</v>
      </c>
    </row>
    <row r="28">
      <c r="A28" s="26" t="s">
        <v>63</v>
      </c>
      <c r="B28" s="26" t="s">
        <v>64</v>
      </c>
      <c r="C28" s="25">
        <f>_xlfn.PERCENTILE.INC(Fuzzy_Inputs_10!$E$101:$M$129, 0.4)</f>
        <v>1.740639476</v>
      </c>
    </row>
    <row r="29">
      <c r="A29" s="26" t="s">
        <v>65</v>
      </c>
      <c r="B29" s="26" t="s">
        <v>66</v>
      </c>
      <c r="C29" s="25">
        <f>_xlfn.PERCENTILE.INC(Fuzzy_Inputs_10!$E$101:$M$129, 0.6)</f>
        <v>3.163245581</v>
      </c>
    </row>
    <row r="30">
      <c r="A30" s="26" t="s">
        <v>67</v>
      </c>
      <c r="B30" s="26" t="s">
        <v>68</v>
      </c>
      <c r="C30" s="25">
        <f>_xlfn.PERCENTILE.INC(Fuzzy_Inputs_10!$E$101:$M$129, 0.8)</f>
        <v>5.748085778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1.0"/>
    <col customWidth="1" min="4" max="4" width="40.88"/>
  </cols>
  <sheetData>
    <row r="1">
      <c r="A1" s="30" t="s">
        <v>70</v>
      </c>
      <c r="B1" s="31" t="s">
        <v>71</v>
      </c>
      <c r="C1" s="31" t="s">
        <v>72</v>
      </c>
      <c r="D1" s="32"/>
    </row>
    <row r="2">
      <c r="A2" s="33" t="s">
        <v>73</v>
      </c>
      <c r="B2" s="34" t="s">
        <v>74</v>
      </c>
      <c r="C2" s="35" t="s">
        <v>75</v>
      </c>
      <c r="D2" s="36"/>
    </row>
    <row r="3">
      <c r="A3" s="37"/>
      <c r="B3" s="6" t="s">
        <v>76</v>
      </c>
      <c r="C3" s="38" t="s">
        <v>77</v>
      </c>
      <c r="D3" s="36"/>
    </row>
    <row r="4">
      <c r="A4" s="37"/>
      <c r="B4" s="6" t="s">
        <v>78</v>
      </c>
      <c r="C4" s="38" t="s">
        <v>79</v>
      </c>
      <c r="D4" s="36"/>
    </row>
    <row r="5">
      <c r="A5" s="39" t="s">
        <v>80</v>
      </c>
      <c r="B5" s="40" t="s">
        <v>74</v>
      </c>
      <c r="C5" s="41" t="s">
        <v>81</v>
      </c>
      <c r="D5" s="36"/>
    </row>
    <row r="6">
      <c r="A6" s="37"/>
      <c r="B6" s="6" t="s">
        <v>76</v>
      </c>
      <c r="C6" s="42" t="s">
        <v>82</v>
      </c>
      <c r="D6" s="36"/>
    </row>
    <row r="7">
      <c r="A7" s="37"/>
      <c r="B7" s="6" t="s">
        <v>78</v>
      </c>
      <c r="C7" s="42" t="s">
        <v>83</v>
      </c>
      <c r="D7" s="36"/>
    </row>
    <row r="8">
      <c r="A8" s="43" t="s">
        <v>84</v>
      </c>
      <c r="B8" s="44" t="s">
        <v>74</v>
      </c>
      <c r="C8" s="45" t="s">
        <v>85</v>
      </c>
      <c r="D8" s="36"/>
      <c r="E8" s="26" t="s">
        <v>86</v>
      </c>
    </row>
    <row r="9">
      <c r="A9" s="37"/>
      <c r="B9" s="6" t="s">
        <v>76</v>
      </c>
      <c r="C9" s="46" t="s">
        <v>87</v>
      </c>
      <c r="D9" s="36"/>
    </row>
    <row r="10">
      <c r="A10" s="47"/>
      <c r="B10" s="48" t="s">
        <v>78</v>
      </c>
      <c r="C10" s="49" t="s">
        <v>88</v>
      </c>
      <c r="D10" s="36"/>
    </row>
    <row r="11">
      <c r="A11" s="37" t="s">
        <v>89</v>
      </c>
      <c r="B11" s="6" t="s">
        <v>74</v>
      </c>
      <c r="C11" s="6" t="s">
        <v>90</v>
      </c>
      <c r="D11" s="36"/>
    </row>
    <row r="12">
      <c r="A12" s="37"/>
      <c r="B12" s="6" t="s">
        <v>76</v>
      </c>
      <c r="C12" s="6" t="s">
        <v>91</v>
      </c>
      <c r="D12" s="36"/>
    </row>
    <row r="13">
      <c r="A13" s="50"/>
      <c r="B13" s="51" t="s">
        <v>78</v>
      </c>
      <c r="C13" s="51" t="s">
        <v>92</v>
      </c>
      <c r="D13" s="5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21.88"/>
    <col customWidth="1" min="5" max="5" width="27.38"/>
    <col customWidth="1" min="6" max="6" width="17.88"/>
  </cols>
  <sheetData>
    <row r="1">
      <c r="A1" s="53" t="s">
        <v>93</v>
      </c>
      <c r="B1" s="53" t="s">
        <v>94</v>
      </c>
      <c r="C1" s="53" t="s">
        <v>95</v>
      </c>
      <c r="D1" s="53" t="s">
        <v>96</v>
      </c>
      <c r="E1" s="53" t="s">
        <v>97</v>
      </c>
      <c r="F1" s="53" t="s">
        <v>98</v>
      </c>
    </row>
    <row r="2">
      <c r="A2" s="54" t="s">
        <v>1</v>
      </c>
      <c r="B2" s="55">
        <v>2022.0</v>
      </c>
      <c r="C2" s="55">
        <v>1.194522</v>
      </c>
      <c r="D2" s="55">
        <v>2.453939</v>
      </c>
      <c r="E2" s="25">
        <v>10.0</v>
      </c>
      <c r="F2" s="55">
        <v>2.792767</v>
      </c>
    </row>
    <row r="3">
      <c r="A3" s="54" t="s">
        <v>1</v>
      </c>
      <c r="B3" s="55">
        <v>2021.0</v>
      </c>
      <c r="C3" s="55">
        <v>1.31136</v>
      </c>
      <c r="D3" s="55">
        <v>0.0</v>
      </c>
      <c r="E3" s="25">
        <v>10.0</v>
      </c>
      <c r="F3" s="55">
        <v>2.693798</v>
      </c>
    </row>
    <row r="4">
      <c r="A4" s="54" t="s">
        <v>1</v>
      </c>
      <c r="B4" s="55">
        <v>2020.0</v>
      </c>
      <c r="C4" s="55">
        <v>0.978985</v>
      </c>
      <c r="D4" s="55">
        <v>2.087951</v>
      </c>
      <c r="E4" s="25">
        <v>4.912882033704656</v>
      </c>
      <c r="F4" s="55">
        <v>2.626257</v>
      </c>
    </row>
    <row r="5">
      <c r="A5" s="54" t="s">
        <v>1</v>
      </c>
      <c r="B5" s="55">
        <v>2019.0</v>
      </c>
      <c r="C5" s="55">
        <v>1.028068</v>
      </c>
      <c r="D5" s="55">
        <v>1.1798</v>
      </c>
      <c r="E5" s="25">
        <v>8.191945158526137</v>
      </c>
      <c r="F5" s="55">
        <v>2.592001</v>
      </c>
    </row>
    <row r="6">
      <c r="A6" s="54" t="s">
        <v>1</v>
      </c>
      <c r="B6" s="55">
        <v>2018.0</v>
      </c>
      <c r="C6" s="55">
        <v>0.946441</v>
      </c>
      <c r="D6" s="55">
        <v>0.831998</v>
      </c>
      <c r="E6" s="25">
        <v>7.4150242787774925</v>
      </c>
      <c r="F6" s="55">
        <v>2.48721</v>
      </c>
    </row>
    <row r="7">
      <c r="A7" s="54" t="s">
        <v>1</v>
      </c>
      <c r="B7" s="55">
        <v>2017.0</v>
      </c>
      <c r="C7" s="55">
        <v>1.007795</v>
      </c>
      <c r="D7" s="55">
        <v>0.0</v>
      </c>
      <c r="E7" s="25">
        <v>9.528706083976008</v>
      </c>
      <c r="F7" s="55">
        <v>2.808997</v>
      </c>
    </row>
    <row r="8">
      <c r="A8" s="54" t="s">
        <v>1</v>
      </c>
      <c r="B8" s="55">
        <v>2016.0</v>
      </c>
      <c r="C8" s="55">
        <v>0.746376</v>
      </c>
      <c r="D8" s="55">
        <v>1.786749</v>
      </c>
      <c r="E8" s="25">
        <v>8.249071693801772</v>
      </c>
      <c r="F8" s="55">
        <v>3.118988</v>
      </c>
    </row>
    <row r="9">
      <c r="A9" s="54" t="s">
        <v>1</v>
      </c>
      <c r="B9" s="55">
        <v>2015.0</v>
      </c>
      <c r="C9" s="55">
        <v>0.596461</v>
      </c>
      <c r="D9" s="55">
        <v>1.117287</v>
      </c>
      <c r="E9" s="25">
        <v>10.0</v>
      </c>
      <c r="F9" s="55">
        <v>3.133802</v>
      </c>
    </row>
    <row r="10">
      <c r="A10" s="54" t="s">
        <v>1</v>
      </c>
      <c r="B10" s="55">
        <v>2014.0</v>
      </c>
      <c r="C10" s="55">
        <v>0.450813</v>
      </c>
      <c r="D10" s="55">
        <v>1.395756</v>
      </c>
      <c r="E10" s="25">
        <v>9.197372179377322</v>
      </c>
      <c r="F10" s="55">
        <v>3.013532</v>
      </c>
    </row>
    <row r="11">
      <c r="A11" s="54" t="s">
        <v>2</v>
      </c>
      <c r="B11" s="55">
        <v>2022.0</v>
      </c>
      <c r="C11" s="55">
        <v>1.685348</v>
      </c>
      <c r="D11" s="55">
        <v>6.528682</v>
      </c>
      <c r="E11" s="25">
        <v>10.0</v>
      </c>
      <c r="F11" s="55">
        <v>0.207592</v>
      </c>
    </row>
    <row r="12">
      <c r="A12" s="54" t="s">
        <v>2</v>
      </c>
      <c r="B12" s="55">
        <v>2021.0</v>
      </c>
      <c r="C12" s="55">
        <v>1.746168</v>
      </c>
      <c r="D12" s="55">
        <v>1.162751</v>
      </c>
      <c r="E12" s="25">
        <v>10.0</v>
      </c>
      <c r="F12" s="55">
        <v>0.105308</v>
      </c>
    </row>
    <row r="13">
      <c r="A13" s="54" t="s">
        <v>2</v>
      </c>
      <c r="B13" s="55">
        <v>2020.0</v>
      </c>
      <c r="C13" s="55">
        <v>1.504489</v>
      </c>
      <c r="D13" s="55">
        <v>7.314079</v>
      </c>
      <c r="E13" s="25">
        <v>9.037417880605542</v>
      </c>
      <c r="F13" s="55">
        <v>0.105308</v>
      </c>
    </row>
    <row r="14">
      <c r="A14" s="54" t="s">
        <v>2</v>
      </c>
      <c r="B14" s="55">
        <v>2019.0</v>
      </c>
      <c r="C14" s="55">
        <v>1.199324</v>
      </c>
      <c r="D14" s="55">
        <v>4.499835</v>
      </c>
      <c r="E14" s="25">
        <v>8.500428449014569</v>
      </c>
      <c r="F14" s="55">
        <v>0.241044</v>
      </c>
    </row>
    <row r="15">
      <c r="A15" s="54" t="s">
        <v>2</v>
      </c>
      <c r="B15" s="55">
        <v>2018.0</v>
      </c>
      <c r="C15" s="55">
        <v>1.134236</v>
      </c>
      <c r="D15" s="55">
        <v>5.506871</v>
      </c>
      <c r="E15" s="25">
        <v>7.300771208226221</v>
      </c>
      <c r="F15" s="55">
        <v>0.207592</v>
      </c>
    </row>
    <row r="16">
      <c r="A16" s="54" t="s">
        <v>2</v>
      </c>
      <c r="B16" s="55">
        <v>2017.0</v>
      </c>
      <c r="C16" s="55">
        <v>1.078751</v>
      </c>
      <c r="D16" s="55">
        <v>4.46801</v>
      </c>
      <c r="E16" s="25">
        <v>7.7920594115966875</v>
      </c>
      <c r="F16" s="55">
        <v>0.241044</v>
      </c>
    </row>
    <row r="17">
      <c r="A17" s="54" t="s">
        <v>2</v>
      </c>
      <c r="B17" s="55">
        <v>2016.0</v>
      </c>
      <c r="C17" s="55">
        <v>0.970449</v>
      </c>
      <c r="D17" s="55">
        <v>4.059967</v>
      </c>
      <c r="E17" s="25">
        <v>6.6723793201942305</v>
      </c>
      <c r="F17" s="55">
        <v>0.173822</v>
      </c>
    </row>
    <row r="18">
      <c r="A18" s="54" t="s">
        <v>2</v>
      </c>
      <c r="B18" s="55">
        <v>2015.0</v>
      </c>
      <c r="C18" s="55">
        <v>0.775719</v>
      </c>
      <c r="D18" s="55">
        <v>4.765802</v>
      </c>
      <c r="E18" s="25">
        <v>6.249642959154528</v>
      </c>
      <c r="F18" s="55">
        <v>0.307021</v>
      </c>
    </row>
    <row r="19">
      <c r="A19" s="54" t="s">
        <v>2</v>
      </c>
      <c r="B19" s="55">
        <v>2014.0</v>
      </c>
      <c r="C19" s="55">
        <v>0.678087</v>
      </c>
      <c r="D19" s="55">
        <v>4.740796</v>
      </c>
      <c r="E19" s="25">
        <v>4.707226506712368</v>
      </c>
      <c r="F19" s="55">
        <v>0.207592</v>
      </c>
    </row>
    <row r="20">
      <c r="A20" s="54" t="s">
        <v>3</v>
      </c>
      <c r="B20" s="55">
        <v>2022.0</v>
      </c>
      <c r="C20" s="55">
        <v>2.44933</v>
      </c>
      <c r="D20" s="55">
        <v>0.14094</v>
      </c>
      <c r="E20" s="25">
        <v>3.8731790916880895</v>
      </c>
      <c r="F20" s="55">
        <v>8.245802</v>
      </c>
    </row>
    <row r="21">
      <c r="A21" s="54" t="s">
        <v>3</v>
      </c>
      <c r="B21" s="55">
        <v>2021.0</v>
      </c>
      <c r="C21" s="55">
        <v>1.290553</v>
      </c>
      <c r="D21" s="55">
        <v>0.172765</v>
      </c>
      <c r="E21" s="25">
        <v>3.7703513281919454</v>
      </c>
      <c r="F21" s="55">
        <v>8.080067</v>
      </c>
    </row>
    <row r="22">
      <c r="A22" s="54" t="s">
        <v>3</v>
      </c>
      <c r="B22" s="55">
        <v>2020.0</v>
      </c>
      <c r="C22" s="55">
        <v>0.362785</v>
      </c>
      <c r="D22" s="55">
        <v>0.142076</v>
      </c>
      <c r="E22" s="25">
        <v>1.9194515852613538</v>
      </c>
      <c r="F22" s="55">
        <v>7.827942</v>
      </c>
    </row>
    <row r="23">
      <c r="A23" s="54" t="s">
        <v>3</v>
      </c>
      <c r="B23" s="55">
        <v>2019.0</v>
      </c>
      <c r="C23" s="55">
        <v>1.039805</v>
      </c>
      <c r="D23" s="55">
        <v>0.26483</v>
      </c>
      <c r="E23" s="25">
        <v>4.0674093116252505</v>
      </c>
      <c r="F23" s="55">
        <v>8.849882</v>
      </c>
    </row>
    <row r="24">
      <c r="A24" s="54" t="s">
        <v>3</v>
      </c>
      <c r="B24" s="55">
        <v>2018.0</v>
      </c>
      <c r="C24" s="55">
        <v>0.112116</v>
      </c>
      <c r="D24" s="55">
        <v>0.157989</v>
      </c>
      <c r="E24" s="25">
        <v>3.19908597543559</v>
      </c>
      <c r="F24" s="55">
        <v>8.451001</v>
      </c>
    </row>
    <row r="25">
      <c r="A25" s="54" t="s">
        <v>3</v>
      </c>
      <c r="B25" s="55">
        <v>2017.0</v>
      </c>
      <c r="C25" s="55">
        <v>0.879219</v>
      </c>
      <c r="D25" s="55">
        <v>0.173901</v>
      </c>
      <c r="E25" s="25">
        <v>2.970579834333048</v>
      </c>
      <c r="F25" s="55">
        <v>8.474189</v>
      </c>
    </row>
    <row r="26">
      <c r="A26" s="54" t="s">
        <v>3</v>
      </c>
      <c r="B26" s="55">
        <v>2016.0</v>
      </c>
      <c r="C26" s="55">
        <v>1.86354</v>
      </c>
      <c r="D26" s="55">
        <v>0.12389</v>
      </c>
      <c r="E26" s="25">
        <v>2.9248786061125394</v>
      </c>
      <c r="F26" s="55">
        <v>8.160294</v>
      </c>
    </row>
    <row r="27">
      <c r="A27" s="54" t="s">
        <v>3</v>
      </c>
      <c r="B27" s="55">
        <v>2015.0</v>
      </c>
      <c r="C27" s="55">
        <v>1.666142</v>
      </c>
      <c r="D27" s="55">
        <v>0.114229</v>
      </c>
      <c r="E27" s="25">
        <v>4.2502142245072845</v>
      </c>
      <c r="F27" s="55">
        <v>8.318973</v>
      </c>
    </row>
    <row r="28">
      <c r="A28" s="54" t="s">
        <v>3</v>
      </c>
      <c r="B28" s="55">
        <v>2014.0</v>
      </c>
      <c r="C28" s="55">
        <v>7.159663</v>
      </c>
      <c r="D28" s="55">
        <v>0.150032</v>
      </c>
      <c r="E28" s="25">
        <v>2.547843473293345</v>
      </c>
      <c r="F28" s="55">
        <v>8.224616</v>
      </c>
    </row>
    <row r="29">
      <c r="A29" s="54" t="s">
        <v>4</v>
      </c>
      <c r="B29" s="55">
        <v>2022.0</v>
      </c>
      <c r="C29" s="55">
        <v>1.419128</v>
      </c>
      <c r="D29" s="55">
        <v>0.118207</v>
      </c>
      <c r="E29" s="25">
        <v>4.535846900885462</v>
      </c>
      <c r="F29" s="55">
        <v>5.726731</v>
      </c>
    </row>
    <row r="30">
      <c r="A30" s="54" t="s">
        <v>4</v>
      </c>
      <c r="B30" s="55">
        <v>2021.0</v>
      </c>
      <c r="C30" s="55">
        <v>0.597528</v>
      </c>
      <c r="D30" s="55">
        <v>0.0</v>
      </c>
      <c r="E30" s="25">
        <v>2.902027992002285</v>
      </c>
      <c r="F30" s="55">
        <v>5.413493</v>
      </c>
    </row>
    <row r="31">
      <c r="A31" s="54" t="s">
        <v>4</v>
      </c>
      <c r="B31" s="55">
        <v>2020.0</v>
      </c>
      <c r="C31" s="55">
        <v>2.235394</v>
      </c>
      <c r="D31" s="55">
        <v>0.40236</v>
      </c>
      <c r="E31" s="25">
        <v>1.5309911453870326</v>
      </c>
      <c r="F31" s="55">
        <v>5.762251</v>
      </c>
    </row>
    <row r="32">
      <c r="A32" s="54" t="s">
        <v>4</v>
      </c>
      <c r="B32" s="55">
        <v>2019.0</v>
      </c>
      <c r="C32" s="55">
        <v>1.029668</v>
      </c>
      <c r="D32" s="55">
        <v>0.097748</v>
      </c>
      <c r="E32" s="25">
        <v>3.004855755498429</v>
      </c>
      <c r="F32" s="55">
        <v>5.873593</v>
      </c>
    </row>
    <row r="33">
      <c r="A33" s="54" t="s">
        <v>4</v>
      </c>
      <c r="B33" s="55">
        <v>2018.0</v>
      </c>
      <c r="C33" s="55">
        <v>0.474821</v>
      </c>
      <c r="D33" s="55">
        <v>0.119344</v>
      </c>
      <c r="E33" s="25">
        <v>2.8677520708369038</v>
      </c>
      <c r="F33" s="55">
        <v>5.147189</v>
      </c>
    </row>
    <row r="34">
      <c r="A34" s="54" t="s">
        <v>4</v>
      </c>
      <c r="B34" s="55">
        <v>2017.0</v>
      </c>
      <c r="C34" s="55">
        <v>0.234743</v>
      </c>
      <c r="D34" s="55">
        <v>0.0</v>
      </c>
      <c r="E34" s="25">
        <v>3.027706369608683</v>
      </c>
      <c r="F34" s="55">
        <v>5.147189</v>
      </c>
    </row>
    <row r="35">
      <c r="A35" s="54" t="s">
        <v>4</v>
      </c>
      <c r="B35" s="55">
        <v>2016.0</v>
      </c>
      <c r="C35" s="55">
        <v>0.549512</v>
      </c>
      <c r="D35" s="55">
        <v>0.169355</v>
      </c>
      <c r="E35" s="25">
        <v>3.2790631248214797</v>
      </c>
      <c r="F35" s="55">
        <v>5.147189</v>
      </c>
    </row>
    <row r="36">
      <c r="A36" s="54" t="s">
        <v>4</v>
      </c>
      <c r="B36" s="55">
        <v>2015.0</v>
      </c>
      <c r="C36" s="55">
        <v>0.42147</v>
      </c>
      <c r="D36" s="55">
        <v>0.186404</v>
      </c>
      <c r="E36" s="25">
        <v>3.3247643530419886</v>
      </c>
      <c r="F36" s="55">
        <v>5.147189</v>
      </c>
    </row>
    <row r="37">
      <c r="A37" s="54" t="s">
        <v>4</v>
      </c>
      <c r="B37" s="55">
        <v>2014.0</v>
      </c>
      <c r="C37" s="55">
        <v>0.277424</v>
      </c>
      <c r="D37" s="55">
        <v>0.20459</v>
      </c>
      <c r="E37" s="25">
        <v>2.387889174521565</v>
      </c>
      <c r="F37" s="55">
        <v>5.147189</v>
      </c>
    </row>
    <row r="38">
      <c r="A38" s="54" t="s">
        <v>5</v>
      </c>
      <c r="B38" s="55">
        <v>2022.0</v>
      </c>
      <c r="C38" s="55">
        <v>6.177476</v>
      </c>
      <c r="D38" s="55">
        <v>0.974074</v>
      </c>
      <c r="E38" s="25">
        <v>10.0</v>
      </c>
      <c r="F38" s="55">
        <v>5.573554</v>
      </c>
    </row>
    <row r="39">
      <c r="A39" s="54" t="s">
        <v>5</v>
      </c>
      <c r="B39" s="55">
        <v>2021.0</v>
      </c>
      <c r="C39" s="55">
        <v>3.8946</v>
      </c>
      <c r="D39" s="55">
        <v>0.0</v>
      </c>
      <c r="E39" s="25">
        <v>10.0</v>
      </c>
      <c r="F39" s="55">
        <v>5.413493</v>
      </c>
    </row>
    <row r="40">
      <c r="A40" s="54" t="s">
        <v>5</v>
      </c>
      <c r="B40" s="55">
        <v>2020.0</v>
      </c>
      <c r="C40" s="55">
        <v>4.751946</v>
      </c>
      <c r="D40" s="55">
        <v>2.050443</v>
      </c>
      <c r="E40" s="25">
        <v>5.758354755784062</v>
      </c>
      <c r="F40" s="55">
        <v>5.748086</v>
      </c>
    </row>
    <row r="41">
      <c r="A41" s="54" t="s">
        <v>5</v>
      </c>
      <c r="B41" s="55">
        <v>2019.0</v>
      </c>
      <c r="C41" s="55">
        <v>3.66786</v>
      </c>
      <c r="D41" s="55">
        <v>0.65696</v>
      </c>
      <c r="E41" s="25">
        <v>10.0</v>
      </c>
      <c r="F41" s="55">
        <v>6.477171</v>
      </c>
    </row>
    <row r="42">
      <c r="A42" s="54" t="s">
        <v>5</v>
      </c>
      <c r="B42" s="55">
        <v>2018.0</v>
      </c>
      <c r="C42" s="55">
        <v>2.51015</v>
      </c>
      <c r="D42" s="55">
        <v>0.841091</v>
      </c>
      <c r="E42" s="25">
        <v>8.648957440731222</v>
      </c>
      <c r="F42" s="55">
        <v>5.294595</v>
      </c>
    </row>
    <row r="43">
      <c r="A43" s="54" t="s">
        <v>5</v>
      </c>
      <c r="B43" s="55">
        <v>2017.0</v>
      </c>
      <c r="C43" s="55">
        <v>1.796318</v>
      </c>
      <c r="D43" s="55">
        <v>0.0</v>
      </c>
      <c r="E43" s="25">
        <v>7.357897743501858</v>
      </c>
      <c r="F43" s="55">
        <v>5.994829</v>
      </c>
    </row>
    <row r="44">
      <c r="A44" s="54" t="s">
        <v>5</v>
      </c>
      <c r="B44" s="55">
        <v>2016.0</v>
      </c>
      <c r="C44" s="55">
        <v>10.0</v>
      </c>
      <c r="D44" s="55">
        <v>1.249133</v>
      </c>
      <c r="E44" s="25">
        <v>5.80405598400457</v>
      </c>
      <c r="F44" s="55">
        <v>6.377469</v>
      </c>
    </row>
    <row r="45">
      <c r="A45" s="54" t="s">
        <v>5</v>
      </c>
      <c r="B45" s="55">
        <v>2015.0</v>
      </c>
      <c r="C45" s="55">
        <v>9.480418</v>
      </c>
      <c r="D45" s="55">
        <v>1.142292</v>
      </c>
      <c r="E45" s="25">
        <v>4.353041988003428</v>
      </c>
      <c r="F45" s="55">
        <v>6.206916</v>
      </c>
    </row>
    <row r="46">
      <c r="A46" s="54" t="s">
        <v>5</v>
      </c>
      <c r="B46" s="55">
        <v>2014.0</v>
      </c>
      <c r="C46" s="55">
        <v>7.663827</v>
      </c>
      <c r="D46" s="55">
        <v>1.267319</v>
      </c>
      <c r="E46" s="25">
        <v>2.3421879463010566</v>
      </c>
      <c r="F46" s="55">
        <v>6.48295</v>
      </c>
    </row>
    <row r="47">
      <c r="A47" s="54" t="s">
        <v>6</v>
      </c>
      <c r="B47" s="55">
        <v>2022.0</v>
      </c>
      <c r="C47" s="55">
        <v>0.525504</v>
      </c>
      <c r="D47" s="55">
        <v>4.847638</v>
      </c>
      <c r="E47" s="25">
        <v>3.816052556412454</v>
      </c>
      <c r="F47" s="55">
        <v>2.342513</v>
      </c>
    </row>
    <row r="48">
      <c r="A48" s="54" t="s">
        <v>6</v>
      </c>
      <c r="B48" s="55">
        <v>2021.0</v>
      </c>
      <c r="C48" s="55">
        <v>0.459883</v>
      </c>
      <c r="D48" s="55">
        <v>5.540969</v>
      </c>
      <c r="E48" s="25">
        <v>2.4678663239074554</v>
      </c>
      <c r="F48" s="55">
        <v>2.133445</v>
      </c>
    </row>
    <row r="49">
      <c r="A49" s="54" t="s">
        <v>6</v>
      </c>
      <c r="B49" s="55">
        <v>2020.0</v>
      </c>
      <c r="C49" s="55">
        <v>0.399597</v>
      </c>
      <c r="D49" s="55">
        <v>4.706698</v>
      </c>
      <c r="E49" s="25">
        <v>1.599542987717795</v>
      </c>
      <c r="F49" s="55">
        <v>3.133802</v>
      </c>
    </row>
    <row r="50">
      <c r="A50" s="54" t="s">
        <v>6</v>
      </c>
      <c r="B50" s="55">
        <v>2019.0</v>
      </c>
      <c r="C50" s="55">
        <v>0.412934</v>
      </c>
      <c r="D50" s="55">
        <v>3.082484</v>
      </c>
      <c r="E50" s="25">
        <v>2.1365324193087694</v>
      </c>
      <c r="F50" s="55">
        <v>2.904859</v>
      </c>
    </row>
    <row r="51">
      <c r="A51" s="54" t="s">
        <v>6</v>
      </c>
      <c r="B51" s="55">
        <v>2018.0</v>
      </c>
      <c r="C51" s="55">
        <v>0.311035</v>
      </c>
      <c r="D51" s="55">
        <v>4.981757</v>
      </c>
      <c r="E51" s="25">
        <v>3.8046272493573268</v>
      </c>
      <c r="F51" s="55">
        <v>1.740639</v>
      </c>
    </row>
    <row r="52">
      <c r="A52" s="54" t="s">
        <v>6</v>
      </c>
      <c r="B52" s="55">
        <v>2017.0</v>
      </c>
      <c r="C52" s="55">
        <v>0.316903</v>
      </c>
      <c r="D52" s="55">
        <v>4.59531</v>
      </c>
      <c r="E52" s="25">
        <v>4.604398743216224</v>
      </c>
      <c r="F52" s="55">
        <v>1.952765</v>
      </c>
    </row>
    <row r="53">
      <c r="A53" s="54" t="s">
        <v>6</v>
      </c>
      <c r="B53" s="55">
        <v>2016.0</v>
      </c>
      <c r="C53" s="55">
        <v>0.297163</v>
      </c>
      <c r="D53" s="55">
        <v>2.086814</v>
      </c>
      <c r="E53" s="25">
        <v>4.547272207940589</v>
      </c>
      <c r="F53" s="55">
        <v>1.58426</v>
      </c>
    </row>
    <row r="54">
      <c r="A54" s="54" t="s">
        <v>6</v>
      </c>
      <c r="B54" s="55">
        <v>2015.0</v>
      </c>
      <c r="C54" s="55">
        <v>7.983931</v>
      </c>
      <c r="D54" s="55">
        <v>2.217524</v>
      </c>
      <c r="E54" s="25">
        <v>4.318766066838046</v>
      </c>
      <c r="F54" s="55">
        <v>1.890443</v>
      </c>
    </row>
    <row r="55">
      <c r="A55" s="54" t="s">
        <v>6</v>
      </c>
      <c r="B55" s="55">
        <v>2014.0</v>
      </c>
      <c r="C55" s="55">
        <v>6.343931</v>
      </c>
      <c r="D55" s="55">
        <v>2.226617</v>
      </c>
      <c r="E55" s="25">
        <v>1.599542987717795</v>
      </c>
      <c r="F55" s="55">
        <v>2.054271</v>
      </c>
    </row>
    <row r="56">
      <c r="A56" s="54" t="s">
        <v>7</v>
      </c>
      <c r="B56" s="55">
        <v>2022.0</v>
      </c>
      <c r="C56" s="55">
        <v>0.407066</v>
      </c>
      <c r="D56" s="55">
        <v>0.0</v>
      </c>
      <c r="E56" s="25">
        <v>4.135961153956013</v>
      </c>
      <c r="F56" s="55">
        <v>3.913971</v>
      </c>
    </row>
    <row r="57">
      <c r="A57" s="54" t="s">
        <v>7</v>
      </c>
      <c r="B57" s="55">
        <v>2021.0</v>
      </c>
      <c r="C57" s="55">
        <v>0.112116</v>
      </c>
      <c r="D57" s="55">
        <v>0.0</v>
      </c>
      <c r="E57" s="25">
        <v>3.221936589545844</v>
      </c>
      <c r="F57" s="55">
        <v>4.058228</v>
      </c>
    </row>
    <row r="58">
      <c r="A58" s="54" t="s">
        <v>7</v>
      </c>
      <c r="B58" s="55">
        <v>2020.0</v>
      </c>
      <c r="C58" s="55">
        <v>0.112116</v>
      </c>
      <c r="D58" s="55">
        <v>0.0</v>
      </c>
      <c r="E58" s="25">
        <v>3.141959440159954</v>
      </c>
      <c r="F58" s="55">
        <v>3.292811</v>
      </c>
    </row>
    <row r="59">
      <c r="A59" s="54" t="s">
        <v>7</v>
      </c>
      <c r="B59" s="55">
        <v>2019.0</v>
      </c>
      <c r="C59" s="55">
        <v>0.112116</v>
      </c>
      <c r="D59" s="55">
        <v>10.0</v>
      </c>
      <c r="E59" s="25">
        <v>1.8851756640959727</v>
      </c>
      <c r="F59" s="55">
        <v>3.525389</v>
      </c>
    </row>
    <row r="60">
      <c r="A60" s="54" t="s">
        <v>7</v>
      </c>
      <c r="B60" s="55">
        <v>2018.0</v>
      </c>
      <c r="C60" s="55">
        <v>0.146714</v>
      </c>
      <c r="D60" s="55">
        <v>10.0</v>
      </c>
      <c r="E60" s="25">
        <v>2.1708083404741503</v>
      </c>
      <c r="F60" s="55">
        <v>3.133802</v>
      </c>
    </row>
    <row r="61">
      <c r="A61" s="54" t="s">
        <v>7</v>
      </c>
      <c r="B61" s="55">
        <v>2017.0</v>
      </c>
      <c r="C61" s="55">
        <v>0.507365</v>
      </c>
      <c r="D61" s="55">
        <v>1.956104</v>
      </c>
      <c r="E61" s="25">
        <v>1.6680948300485576</v>
      </c>
      <c r="F61" s="55">
        <v>3.292811</v>
      </c>
    </row>
    <row r="62">
      <c r="A62" s="54" t="s">
        <v>7</v>
      </c>
      <c r="B62" s="55">
        <v>2016.0</v>
      </c>
      <c r="C62" s="55">
        <v>0.81093</v>
      </c>
      <c r="D62" s="55">
        <v>1.997022</v>
      </c>
      <c r="E62" s="25">
        <v>1.6566695229934305</v>
      </c>
      <c r="F62" s="55">
        <v>3.264423</v>
      </c>
    </row>
    <row r="63">
      <c r="A63" s="54" t="s">
        <v>7</v>
      </c>
      <c r="B63" s="55">
        <v>2015.0</v>
      </c>
      <c r="C63" s="55">
        <v>0.616734</v>
      </c>
      <c r="D63" s="55">
        <v>3.784908</v>
      </c>
      <c r="E63" s="25">
        <v>1.8737503570408454</v>
      </c>
      <c r="F63" s="55">
        <v>3.616911</v>
      </c>
    </row>
    <row r="64">
      <c r="A64" s="54" t="s">
        <v>7</v>
      </c>
      <c r="B64" s="55">
        <v>2014.0</v>
      </c>
      <c r="C64" s="55">
        <v>0.373988</v>
      </c>
      <c r="D64" s="55">
        <v>0.0</v>
      </c>
      <c r="E64" s="25">
        <v>1.6680948300485576</v>
      </c>
      <c r="F64" s="55">
        <v>2.920588</v>
      </c>
    </row>
    <row r="65">
      <c r="A65" s="54" t="s">
        <v>8</v>
      </c>
      <c r="B65" s="55">
        <v>2022.0</v>
      </c>
      <c r="C65" s="55">
        <v>2.655264</v>
      </c>
      <c r="D65" s="55">
        <v>9.590707</v>
      </c>
      <c r="E65" s="25">
        <v>4.215938303341902</v>
      </c>
      <c r="F65" s="55">
        <v>0.207592</v>
      </c>
    </row>
    <row r="66">
      <c r="A66" s="54" t="s">
        <v>8</v>
      </c>
      <c r="B66" s="55">
        <v>2021.0</v>
      </c>
      <c r="C66" s="55">
        <v>2.191113</v>
      </c>
      <c r="D66" s="55">
        <v>3.321172</v>
      </c>
      <c r="E66" s="25">
        <v>4.044558697514996</v>
      </c>
      <c r="F66" s="55">
        <v>0.207592</v>
      </c>
    </row>
    <row r="67">
      <c r="A67" s="54" t="s">
        <v>8</v>
      </c>
      <c r="B67" s="55">
        <v>2020.0</v>
      </c>
      <c r="C67" s="55">
        <v>2.174041</v>
      </c>
      <c r="D67" s="55">
        <v>1.394619</v>
      </c>
      <c r="E67" s="25">
        <v>1.9194515852613538</v>
      </c>
      <c r="F67" s="55">
        <v>0.307021</v>
      </c>
    </row>
    <row r="68">
      <c r="A68" s="54" t="s">
        <v>8</v>
      </c>
      <c r="B68" s="55">
        <v>2019.0</v>
      </c>
      <c r="C68" s="55">
        <v>3.923943</v>
      </c>
      <c r="D68" s="55">
        <v>1.233221</v>
      </c>
      <c r="E68" s="25">
        <v>2.787774921451014</v>
      </c>
      <c r="F68" s="55">
        <v>0.307021</v>
      </c>
    </row>
    <row r="69">
      <c r="A69" s="54" t="s">
        <v>8</v>
      </c>
      <c r="B69" s="55">
        <v>2018.0</v>
      </c>
      <c r="C69" s="55">
        <v>3.317879</v>
      </c>
      <c r="D69" s="55">
        <v>2.205022</v>
      </c>
      <c r="E69" s="25">
        <v>3.0391316766638106</v>
      </c>
      <c r="F69" s="55">
        <v>0.105308</v>
      </c>
    </row>
    <row r="70">
      <c r="A70" s="54" t="s">
        <v>8</v>
      </c>
      <c r="B70" s="55">
        <v>2017.0</v>
      </c>
      <c r="C70" s="55">
        <v>3.215446</v>
      </c>
      <c r="D70" s="55">
        <v>4.47142</v>
      </c>
      <c r="E70" s="25">
        <v>2.993430448443302</v>
      </c>
      <c r="F70" s="55">
        <v>0.105308</v>
      </c>
    </row>
    <row r="71">
      <c r="A71" s="54" t="s">
        <v>8</v>
      </c>
      <c r="B71" s="55">
        <v>2016.0</v>
      </c>
      <c r="C71" s="55">
        <v>2.117489</v>
      </c>
      <c r="D71" s="55">
        <v>5.472773</v>
      </c>
      <c r="E71" s="25">
        <v>4.215938303341902</v>
      </c>
      <c r="F71" s="55">
        <v>0.105308</v>
      </c>
    </row>
    <row r="72">
      <c r="A72" s="54" t="s">
        <v>8</v>
      </c>
      <c r="B72" s="55">
        <v>2015.0</v>
      </c>
      <c r="C72" s="55">
        <v>2.763032</v>
      </c>
      <c r="D72" s="55">
        <v>3.705345</v>
      </c>
      <c r="E72" s="25">
        <v>4.033133390459868</v>
      </c>
      <c r="F72" s="55">
        <v>0.105308</v>
      </c>
    </row>
    <row r="73">
      <c r="A73" s="54" t="s">
        <v>8</v>
      </c>
      <c r="B73" s="55">
        <v>2014.0</v>
      </c>
      <c r="C73" s="55">
        <v>4.904529</v>
      </c>
      <c r="D73" s="55">
        <v>1.221855</v>
      </c>
      <c r="E73" s="25">
        <v>3.7246500999714365</v>
      </c>
      <c r="F73" s="55">
        <v>0.105308</v>
      </c>
    </row>
    <row r="74">
      <c r="A74" s="54" t="s">
        <v>9</v>
      </c>
      <c r="B74" s="55">
        <v>2022.0</v>
      </c>
      <c r="C74" s="55">
        <v>3.644386</v>
      </c>
      <c r="D74" s="55">
        <v>2.646026</v>
      </c>
      <c r="E74" s="25">
        <v>7.289345901171094</v>
      </c>
      <c r="F74" s="55">
        <v>7.65768</v>
      </c>
    </row>
    <row r="75">
      <c r="A75" s="54" t="s">
        <v>9</v>
      </c>
      <c r="B75" s="55">
        <v>2021.0</v>
      </c>
      <c r="C75" s="55">
        <v>3.073533</v>
      </c>
      <c r="D75" s="55">
        <v>1.311647</v>
      </c>
      <c r="E75" s="25">
        <v>7.7806341045415595</v>
      </c>
      <c r="F75" s="55">
        <v>7.65768</v>
      </c>
    </row>
    <row r="76">
      <c r="A76" s="54" t="s">
        <v>9</v>
      </c>
      <c r="B76" s="55">
        <v>2020.0</v>
      </c>
      <c r="C76" s="55">
        <v>2.638725</v>
      </c>
      <c r="D76" s="55">
        <v>0.0</v>
      </c>
      <c r="E76" s="25">
        <v>4.707226506712368</v>
      </c>
      <c r="F76" s="55">
        <v>7.796132</v>
      </c>
    </row>
    <row r="77">
      <c r="A77" s="54" t="s">
        <v>9</v>
      </c>
      <c r="B77" s="55">
        <v>2019.0</v>
      </c>
      <c r="C77" s="55">
        <v>4.401965</v>
      </c>
      <c r="D77" s="55">
        <v>2.117503</v>
      </c>
      <c r="E77" s="25">
        <v>7.277920594115967</v>
      </c>
      <c r="F77" s="55">
        <v>7.594845</v>
      </c>
    </row>
    <row r="78">
      <c r="A78" s="54" t="s">
        <v>9</v>
      </c>
      <c r="B78" s="55">
        <v>2018.0</v>
      </c>
      <c r="C78" s="55">
        <v>3.775095</v>
      </c>
      <c r="D78" s="55">
        <v>2.195929</v>
      </c>
      <c r="E78" s="25">
        <v>6.992287917737789</v>
      </c>
      <c r="F78" s="55">
        <v>8.26336</v>
      </c>
    </row>
    <row r="79">
      <c r="A79" s="54" t="s">
        <v>9</v>
      </c>
      <c r="B79" s="55">
        <v>2017.0</v>
      </c>
      <c r="C79" s="55">
        <v>3.156227</v>
      </c>
      <c r="D79" s="55">
        <v>2.368693</v>
      </c>
      <c r="E79" s="25">
        <v>6.089688660382748</v>
      </c>
      <c r="F79" s="55">
        <v>7.83585</v>
      </c>
    </row>
    <row r="80">
      <c r="A80" s="54" t="s">
        <v>9</v>
      </c>
      <c r="B80" s="55">
        <v>2016.0</v>
      </c>
      <c r="C80" s="55">
        <v>2.680339</v>
      </c>
      <c r="D80" s="55">
        <v>2.349371</v>
      </c>
      <c r="E80" s="25">
        <v>5.141388174807199</v>
      </c>
      <c r="F80" s="55">
        <v>7.78413</v>
      </c>
    </row>
    <row r="81">
      <c r="A81" s="54" t="s">
        <v>9</v>
      </c>
      <c r="B81" s="55">
        <v>2015.0</v>
      </c>
      <c r="C81" s="55">
        <v>2.32609</v>
      </c>
      <c r="D81" s="55">
        <v>0.0</v>
      </c>
      <c r="E81" s="25">
        <v>6.04398743216224</v>
      </c>
      <c r="F81" s="55">
        <v>8.061579</v>
      </c>
    </row>
    <row r="82">
      <c r="A82" s="54" t="s">
        <v>9</v>
      </c>
      <c r="B82" s="55">
        <v>2014.0</v>
      </c>
      <c r="C82" s="55">
        <v>1.937164</v>
      </c>
      <c r="D82" s="55">
        <v>0.0</v>
      </c>
      <c r="E82" s="25">
        <v>4.992859183090546</v>
      </c>
      <c r="F82" s="55">
        <v>8.65759</v>
      </c>
    </row>
    <row r="83">
      <c r="A83" s="54" t="s">
        <v>10</v>
      </c>
      <c r="B83" s="55">
        <v>2022.0</v>
      </c>
      <c r="C83" s="55">
        <v>2.016123</v>
      </c>
      <c r="D83" s="55">
        <v>9.624805</v>
      </c>
      <c r="E83" s="25">
        <v>10.0</v>
      </c>
      <c r="F83" s="55">
        <v>1.491718</v>
      </c>
    </row>
    <row r="84">
      <c r="A84" s="54" t="s">
        <v>10</v>
      </c>
      <c r="B84" s="55">
        <v>2021.0</v>
      </c>
      <c r="C84" s="55">
        <v>1.815524</v>
      </c>
      <c r="D84" s="55">
        <v>10.0</v>
      </c>
      <c r="E84" s="25">
        <v>10.0</v>
      </c>
      <c r="F84" s="55">
        <v>1.4207</v>
      </c>
    </row>
    <row r="85">
      <c r="A85" s="54" t="s">
        <v>10</v>
      </c>
      <c r="B85" s="55">
        <v>2020.0</v>
      </c>
      <c r="C85" s="55">
        <v>1.662941</v>
      </c>
      <c r="D85" s="55">
        <v>8.75189</v>
      </c>
      <c r="E85" s="25">
        <v>10.0</v>
      </c>
      <c r="F85" s="55">
        <v>3.458545</v>
      </c>
    </row>
    <row r="86">
      <c r="A86" s="54" t="s">
        <v>10</v>
      </c>
      <c r="B86" s="55">
        <v>2019.0</v>
      </c>
      <c r="C86" s="55">
        <v>1.491685</v>
      </c>
      <c r="D86" s="55">
        <v>8.534797</v>
      </c>
      <c r="E86" s="25">
        <v>10.0</v>
      </c>
      <c r="F86" s="55">
        <v>3.089175</v>
      </c>
    </row>
    <row r="87">
      <c r="A87" s="54" t="s">
        <v>10</v>
      </c>
      <c r="B87" s="55">
        <v>2018.0</v>
      </c>
      <c r="C87" s="55">
        <v>1.284685</v>
      </c>
      <c r="D87" s="55">
        <v>8.492743</v>
      </c>
      <c r="E87" s="25">
        <v>9.27734932876321</v>
      </c>
      <c r="F87" s="55">
        <v>3.133802</v>
      </c>
    </row>
    <row r="88">
      <c r="A88" s="54" t="s">
        <v>10</v>
      </c>
      <c r="B88" s="55">
        <v>2017.0</v>
      </c>
      <c r="C88" s="55">
        <v>1.102759</v>
      </c>
      <c r="D88" s="55">
        <v>9.067867</v>
      </c>
      <c r="E88" s="25">
        <v>6.775207083690375</v>
      </c>
      <c r="F88" s="55">
        <v>3.362806</v>
      </c>
    </row>
    <row r="89">
      <c r="A89" s="54" t="s">
        <v>10</v>
      </c>
      <c r="B89" s="55">
        <v>2016.0</v>
      </c>
      <c r="C89" s="55">
        <v>1.018465</v>
      </c>
      <c r="D89" s="55">
        <v>9.209943</v>
      </c>
      <c r="E89" s="25">
        <v>6.6723793201942305</v>
      </c>
      <c r="F89" s="55">
        <v>3.02879</v>
      </c>
    </row>
    <row r="90">
      <c r="A90" s="54" t="s">
        <v>10</v>
      </c>
      <c r="B90" s="55">
        <v>2015.0</v>
      </c>
      <c r="C90" s="55">
        <v>1.07555</v>
      </c>
      <c r="D90" s="55">
        <v>8.454098</v>
      </c>
      <c r="E90" s="25">
        <v>6.752356469580121</v>
      </c>
      <c r="F90" s="55">
        <v>3.841996</v>
      </c>
    </row>
    <row r="91">
      <c r="A91" s="54" t="s">
        <v>10</v>
      </c>
      <c r="B91" s="55">
        <v>2014.0</v>
      </c>
      <c r="C91" s="55">
        <v>0.972583</v>
      </c>
      <c r="D91" s="55">
        <v>8.098339</v>
      </c>
      <c r="E91" s="25">
        <v>5.107112253641817</v>
      </c>
      <c r="F91" s="55">
        <v>4.058228</v>
      </c>
    </row>
    <row r="92">
      <c r="A92" s="54" t="s">
        <v>11</v>
      </c>
      <c r="B92" s="55">
        <v>2022.0</v>
      </c>
      <c r="C92" s="55">
        <v>1.890748</v>
      </c>
      <c r="D92" s="55">
        <v>1.56852</v>
      </c>
      <c r="E92" s="25">
        <v>6.078263353327621</v>
      </c>
      <c r="F92" s="55">
        <v>7.879034</v>
      </c>
    </row>
    <row r="93">
      <c r="A93" s="54" t="s">
        <v>11</v>
      </c>
      <c r="B93" s="55">
        <v>2021.0</v>
      </c>
      <c r="C93" s="55">
        <v>1.431399</v>
      </c>
      <c r="D93" s="55">
        <v>0.852457</v>
      </c>
      <c r="E93" s="25">
        <v>5.152813481862325</v>
      </c>
      <c r="F93" s="55">
        <v>7.948589</v>
      </c>
    </row>
    <row r="94">
      <c r="A94" s="54" t="s">
        <v>11</v>
      </c>
      <c r="B94" s="55">
        <v>2020.0</v>
      </c>
      <c r="C94" s="55">
        <v>0.776253</v>
      </c>
      <c r="D94" s="55">
        <v>0.0</v>
      </c>
      <c r="E94" s="25">
        <v>2.833476149671523</v>
      </c>
      <c r="F94" s="55">
        <v>8.336176</v>
      </c>
    </row>
    <row r="95">
      <c r="A95" s="54" t="s">
        <v>11</v>
      </c>
      <c r="B95" s="55">
        <v>2019.0</v>
      </c>
      <c r="C95" s="55">
        <v>0.34838</v>
      </c>
      <c r="D95" s="55">
        <v>1.704914</v>
      </c>
      <c r="E95" s="25">
        <v>4.078834618680377</v>
      </c>
      <c r="F95" s="55">
        <v>8.24932</v>
      </c>
    </row>
    <row r="96">
      <c r="A96" s="54" t="s">
        <v>11</v>
      </c>
      <c r="B96" s="55">
        <v>2018.0</v>
      </c>
      <c r="C96" s="55">
        <v>0.63434</v>
      </c>
      <c r="D96" s="55">
        <v>1.363931</v>
      </c>
      <c r="E96" s="25">
        <v>3.2904884318766072</v>
      </c>
      <c r="F96" s="55">
        <v>8.068986</v>
      </c>
    </row>
    <row r="97">
      <c r="A97" s="54" t="s">
        <v>11</v>
      </c>
      <c r="B97" s="55">
        <v>2017.0</v>
      </c>
      <c r="C97" s="55">
        <v>0.845075</v>
      </c>
      <c r="D97" s="55">
        <v>1.591253</v>
      </c>
      <c r="E97" s="25">
        <v>3.027706369608683</v>
      </c>
      <c r="F97" s="55">
        <v>7.906245</v>
      </c>
    </row>
    <row r="98">
      <c r="A98" s="54" t="s">
        <v>11</v>
      </c>
      <c r="B98" s="55">
        <v>2016.0</v>
      </c>
      <c r="C98" s="55">
        <v>0.928836</v>
      </c>
      <c r="D98" s="55">
        <v>3.296166</v>
      </c>
      <c r="E98" s="25">
        <v>2.6506712367894885</v>
      </c>
      <c r="F98" s="55">
        <v>7.90237</v>
      </c>
    </row>
    <row r="99">
      <c r="A99" s="54" t="s">
        <v>11</v>
      </c>
      <c r="B99" s="55">
        <v>2015.0</v>
      </c>
      <c r="C99" s="55">
        <v>1.129434</v>
      </c>
      <c r="D99" s="55">
        <v>2.727862</v>
      </c>
      <c r="E99" s="25">
        <v>3.8046272493573268</v>
      </c>
      <c r="F99" s="55">
        <v>7.963863</v>
      </c>
    </row>
    <row r="100">
      <c r="A100" s="54" t="s">
        <v>11</v>
      </c>
      <c r="B100" s="55">
        <v>2014.0</v>
      </c>
      <c r="C100" s="55">
        <v>5.102994</v>
      </c>
      <c r="D100" s="55">
        <v>2.727862</v>
      </c>
      <c r="E100" s="25">
        <v>3.3247643530419886</v>
      </c>
      <c r="F100" s="55">
        <v>7.940927</v>
      </c>
    </row>
    <row r="101">
      <c r="A101" s="54" t="s">
        <v>12</v>
      </c>
      <c r="B101" s="55">
        <v>2022.0</v>
      </c>
      <c r="C101" s="55">
        <v>2.79611</v>
      </c>
      <c r="D101" s="55">
        <v>6.504814</v>
      </c>
      <c r="E101" s="25">
        <v>7.517852042273637</v>
      </c>
      <c r="F101" s="55">
        <v>1.58426</v>
      </c>
    </row>
    <row r="102">
      <c r="A102" s="54" t="s">
        <v>12</v>
      </c>
      <c r="B102" s="55">
        <v>2021.0</v>
      </c>
      <c r="C102" s="55">
        <v>2.428523</v>
      </c>
      <c r="D102" s="55">
        <v>5.355702</v>
      </c>
      <c r="E102" s="25">
        <v>6.603827477863469</v>
      </c>
      <c r="F102" s="55">
        <v>1.274269</v>
      </c>
    </row>
    <row r="103">
      <c r="A103" s="54" t="s">
        <v>12</v>
      </c>
      <c r="B103" s="55">
        <v>2020.0</v>
      </c>
      <c r="C103" s="55">
        <v>2.075875</v>
      </c>
      <c r="D103" s="55">
        <v>6.518453</v>
      </c>
      <c r="E103" s="25">
        <v>3.4161668094830056</v>
      </c>
      <c r="F103" s="55">
        <v>1.249268</v>
      </c>
    </row>
    <row r="104">
      <c r="A104" s="54" t="s">
        <v>12</v>
      </c>
      <c r="B104" s="55">
        <v>2019.0</v>
      </c>
      <c r="C104" s="55">
        <v>1.887547</v>
      </c>
      <c r="D104" s="55">
        <v>10.0</v>
      </c>
      <c r="E104" s="25">
        <v>4.455869751499572</v>
      </c>
      <c r="F104" s="55">
        <v>0.879476</v>
      </c>
    </row>
    <row r="105">
      <c r="A105" s="54" t="s">
        <v>12</v>
      </c>
      <c r="B105" s="55">
        <v>2018.0</v>
      </c>
      <c r="C105" s="55">
        <v>3.787899</v>
      </c>
      <c r="D105" s="55">
        <v>5.295462</v>
      </c>
      <c r="E105" s="25">
        <v>3.9988574692944874</v>
      </c>
      <c r="F105" s="55">
        <v>0.737519</v>
      </c>
    </row>
    <row r="106">
      <c r="A106" s="54" t="s">
        <v>12</v>
      </c>
      <c r="B106" s="55">
        <v>2017.0</v>
      </c>
      <c r="C106" s="55">
        <v>3.348823</v>
      </c>
      <c r="D106" s="55">
        <v>5.504598</v>
      </c>
      <c r="E106" s="25">
        <v>3.8960297057983437</v>
      </c>
      <c r="F106" s="55">
        <v>0.619735</v>
      </c>
    </row>
    <row r="107">
      <c r="A107" s="54" t="s">
        <v>12</v>
      </c>
      <c r="B107" s="55">
        <v>2016.0</v>
      </c>
      <c r="C107" s="55">
        <v>3.148758</v>
      </c>
      <c r="D107" s="55">
        <v>5.741012</v>
      </c>
      <c r="E107" s="25">
        <v>5.09568694658669</v>
      </c>
      <c r="F107" s="55">
        <v>0.649548</v>
      </c>
    </row>
    <row r="108">
      <c r="A108" s="54" t="s">
        <v>12</v>
      </c>
      <c r="B108" s="55">
        <v>2015.0</v>
      </c>
      <c r="C108" s="55">
        <v>5.775746</v>
      </c>
      <c r="D108" s="55">
        <v>4.67601</v>
      </c>
      <c r="E108" s="25">
        <v>5.438446158240503</v>
      </c>
      <c r="F108" s="55">
        <v>0.649548</v>
      </c>
    </row>
    <row r="109">
      <c r="A109" s="54" t="s">
        <v>12</v>
      </c>
      <c r="B109" s="55">
        <v>2014.0</v>
      </c>
      <c r="C109" s="55">
        <v>9.94937</v>
      </c>
      <c r="D109" s="55">
        <v>3.845148</v>
      </c>
      <c r="E109" s="25">
        <v>4.273064838617539</v>
      </c>
      <c r="F109" s="55">
        <v>0.82337</v>
      </c>
    </row>
    <row r="110">
      <c r="A110" s="54" t="s">
        <v>13</v>
      </c>
      <c r="B110" s="55">
        <v>2022.0</v>
      </c>
      <c r="C110" s="55">
        <v>0.659948</v>
      </c>
      <c r="D110" s="55">
        <v>4.823769</v>
      </c>
      <c r="E110" s="25">
        <v>5.815481291059697</v>
      </c>
      <c r="F110" s="55">
        <v>0.766367</v>
      </c>
    </row>
    <row r="111">
      <c r="A111" s="54" t="s">
        <v>13</v>
      </c>
      <c r="B111" s="55">
        <v>2021.0</v>
      </c>
      <c r="C111" s="55">
        <v>0.570852</v>
      </c>
      <c r="D111" s="55">
        <v>5.312511</v>
      </c>
      <c r="E111" s="25">
        <v>6.238217652099401</v>
      </c>
      <c r="F111" s="55">
        <v>0.737519</v>
      </c>
    </row>
    <row r="112">
      <c r="A112" s="54" t="s">
        <v>13</v>
      </c>
      <c r="B112" s="55">
        <v>2020.0</v>
      </c>
      <c r="C112" s="55">
        <v>0.664216</v>
      </c>
      <c r="D112" s="55">
        <v>5.234085</v>
      </c>
      <c r="E112" s="25">
        <v>4.890031419594402</v>
      </c>
      <c r="F112" s="55">
        <v>0.679114</v>
      </c>
    </row>
    <row r="113">
      <c r="A113" s="54" t="s">
        <v>13</v>
      </c>
      <c r="B113" s="55">
        <v>2019.0</v>
      </c>
      <c r="C113" s="55">
        <v>0.546311</v>
      </c>
      <c r="D113" s="55">
        <v>5.672816</v>
      </c>
      <c r="E113" s="25">
        <v>8.591830905455584</v>
      </c>
      <c r="F113" s="55">
        <v>0.766367</v>
      </c>
    </row>
    <row r="114">
      <c r="A114" s="54" t="s">
        <v>13</v>
      </c>
      <c r="B114" s="55">
        <v>2018.0</v>
      </c>
      <c r="C114" s="55">
        <v>0.490826</v>
      </c>
      <c r="D114" s="55">
        <v>5.818302</v>
      </c>
      <c r="E114" s="25">
        <v>8.214795772636391</v>
      </c>
      <c r="F114" s="55">
        <v>0.737519</v>
      </c>
    </row>
    <row r="115">
      <c r="A115" s="54" t="s">
        <v>13</v>
      </c>
      <c r="B115" s="55">
        <v>2017.0</v>
      </c>
      <c r="C115" s="55">
        <v>0.450813</v>
      </c>
      <c r="D115" s="55">
        <v>7.55504</v>
      </c>
      <c r="E115" s="25">
        <v>9.094544415881177</v>
      </c>
      <c r="F115" s="55">
        <v>0.794982</v>
      </c>
    </row>
    <row r="116">
      <c r="A116" s="54" t="s">
        <v>13</v>
      </c>
      <c r="B116" s="55">
        <v>2016.0</v>
      </c>
      <c r="C116" s="55">
        <v>0.411334</v>
      </c>
      <c r="D116" s="55">
        <v>6.093361</v>
      </c>
      <c r="E116" s="25">
        <v>7.7006569551556705</v>
      </c>
      <c r="F116" s="55">
        <v>1.249268</v>
      </c>
    </row>
    <row r="117">
      <c r="A117" s="54" t="s">
        <v>13</v>
      </c>
      <c r="B117" s="55">
        <v>2015.0</v>
      </c>
      <c r="C117" s="55">
        <v>0.640208</v>
      </c>
      <c r="D117" s="55">
        <v>5.892181</v>
      </c>
      <c r="E117" s="25">
        <v>7.677806341045415</v>
      </c>
      <c r="F117" s="55">
        <v>1.299096</v>
      </c>
    </row>
    <row r="118">
      <c r="A118" s="54" t="s">
        <v>13</v>
      </c>
      <c r="B118" s="55">
        <v>2014.0</v>
      </c>
      <c r="C118" s="55">
        <v>0.591659</v>
      </c>
      <c r="D118" s="55">
        <v>6.099044</v>
      </c>
      <c r="E118" s="25">
        <v>9.08311910882605</v>
      </c>
      <c r="F118" s="55">
        <v>1.348236</v>
      </c>
    </row>
    <row r="119">
      <c r="A119" s="54" t="s">
        <v>14</v>
      </c>
      <c r="B119" s="55">
        <v>2022.0</v>
      </c>
      <c r="C119" s="55">
        <v>3.239987</v>
      </c>
      <c r="D119" s="55">
        <v>1.782203</v>
      </c>
      <c r="E119" s="25">
        <v>10.0</v>
      </c>
      <c r="F119" s="55">
        <v>6.099237</v>
      </c>
    </row>
    <row r="120">
      <c r="A120" s="54" t="s">
        <v>14</v>
      </c>
      <c r="B120" s="55">
        <v>2021.0</v>
      </c>
      <c r="C120" s="55">
        <v>2.693676</v>
      </c>
      <c r="D120" s="55">
        <v>1.741285</v>
      </c>
      <c r="E120" s="25">
        <v>10.0</v>
      </c>
      <c r="F120" s="55">
        <v>6.181871</v>
      </c>
    </row>
    <row r="121">
      <c r="A121" s="54" t="s">
        <v>14</v>
      </c>
      <c r="B121" s="55">
        <v>2020.0</v>
      </c>
      <c r="C121" s="55">
        <v>2.383709</v>
      </c>
      <c r="D121" s="55">
        <v>1.616258</v>
      </c>
      <c r="E121" s="25">
        <v>8.466152527849186</v>
      </c>
      <c r="F121" s="55">
        <v>6.568526</v>
      </c>
    </row>
    <row r="122">
      <c r="A122" s="54" t="s">
        <v>14</v>
      </c>
      <c r="B122" s="55">
        <v>2019.0</v>
      </c>
      <c r="C122" s="55">
        <v>2.013455</v>
      </c>
      <c r="D122" s="55">
        <v>1.91405</v>
      </c>
      <c r="E122" s="25">
        <v>9.734361610968294</v>
      </c>
      <c r="F122" s="55">
        <v>6.808305</v>
      </c>
    </row>
    <row r="123">
      <c r="A123" s="54" t="s">
        <v>14</v>
      </c>
      <c r="B123" s="55">
        <v>2018.0</v>
      </c>
      <c r="C123" s="55">
        <v>1.742434</v>
      </c>
      <c r="D123" s="55">
        <v>1.615121</v>
      </c>
      <c r="E123" s="25">
        <v>9.08311910882605</v>
      </c>
      <c r="F123" s="55">
        <v>6.860621</v>
      </c>
    </row>
    <row r="124">
      <c r="A124" s="54" t="s">
        <v>14</v>
      </c>
      <c r="B124" s="55">
        <v>2017.0</v>
      </c>
      <c r="C124" s="55">
        <v>1.433</v>
      </c>
      <c r="D124" s="55">
        <v>1.670815</v>
      </c>
      <c r="E124" s="25">
        <v>8.214795772636391</v>
      </c>
      <c r="F124" s="55">
        <v>7.023049</v>
      </c>
    </row>
    <row r="125">
      <c r="A125" s="54" t="s">
        <v>14</v>
      </c>
      <c r="B125" s="55">
        <v>2016.0</v>
      </c>
      <c r="C125" s="55">
        <v>1.006728</v>
      </c>
      <c r="D125" s="55">
        <v>1.654903</v>
      </c>
      <c r="E125" s="25">
        <v>6.992287917737789</v>
      </c>
      <c r="F125" s="55">
        <v>7.101568</v>
      </c>
    </row>
    <row r="126">
      <c r="A126" s="54" t="s">
        <v>14</v>
      </c>
      <c r="B126" s="55">
        <v>2015.0</v>
      </c>
      <c r="C126" s="55">
        <v>2.102017</v>
      </c>
      <c r="D126" s="55">
        <v>1.744695</v>
      </c>
      <c r="E126" s="25">
        <v>8.694658668951728</v>
      </c>
      <c r="F126" s="55">
        <v>6.97811</v>
      </c>
    </row>
    <row r="127">
      <c r="A127" s="54" t="s">
        <v>14</v>
      </c>
      <c r="B127" s="55">
        <v>2014.0</v>
      </c>
      <c r="C127" s="55">
        <v>1.714691</v>
      </c>
      <c r="D127" s="55">
        <v>1.70264</v>
      </c>
      <c r="E127" s="25">
        <v>5.712653527563553</v>
      </c>
      <c r="F127" s="55">
        <v>7.202066</v>
      </c>
    </row>
    <row r="128">
      <c r="A128" s="54" t="s">
        <v>15</v>
      </c>
      <c r="B128" s="55">
        <v>2022.0</v>
      </c>
      <c r="C128" s="55">
        <v>3.28907</v>
      </c>
      <c r="D128" s="55">
        <v>3.314352</v>
      </c>
      <c r="E128" s="25">
        <v>1.81662382176521</v>
      </c>
      <c r="F128" s="55">
        <v>3.264423</v>
      </c>
    </row>
    <row r="129">
      <c r="A129" s="54" t="s">
        <v>15</v>
      </c>
      <c r="B129" s="55">
        <v>2021.0</v>
      </c>
      <c r="C129" s="55">
        <v>4.39663</v>
      </c>
      <c r="D129" s="55">
        <v>3.581455</v>
      </c>
      <c r="E129" s="25">
        <v>1.6795201371036848</v>
      </c>
      <c r="F129" s="55">
        <v>3.577975</v>
      </c>
    </row>
    <row r="130">
      <c r="A130" s="54" t="s">
        <v>15</v>
      </c>
      <c r="B130" s="55">
        <v>2020.0</v>
      </c>
      <c r="C130" s="55">
        <v>3.625179</v>
      </c>
      <c r="D130" s="55">
        <v>4.677146</v>
      </c>
      <c r="E130" s="25">
        <v>0.8911739502999144</v>
      </c>
      <c r="F130" s="55">
        <v>4.019278</v>
      </c>
    </row>
    <row r="131">
      <c r="A131" s="54" t="s">
        <v>15</v>
      </c>
      <c r="B131" s="55">
        <v>2019.0</v>
      </c>
      <c r="C131" s="55">
        <v>3.382434</v>
      </c>
      <c r="D131" s="55">
        <v>0.0</v>
      </c>
      <c r="E131" s="25">
        <v>1.6452442159383036</v>
      </c>
      <c r="F131" s="55">
        <v>3.937643</v>
      </c>
    </row>
    <row r="132">
      <c r="A132" s="54" t="s">
        <v>15</v>
      </c>
      <c r="B132" s="55">
        <v>2018.0</v>
      </c>
      <c r="C132" s="55">
        <v>2.800378</v>
      </c>
      <c r="D132" s="55">
        <v>0.0</v>
      </c>
      <c r="E132" s="25">
        <v>1.7594972864895744</v>
      </c>
      <c r="F132" s="55">
        <v>3.485433</v>
      </c>
    </row>
    <row r="133">
      <c r="A133" s="54" t="s">
        <v>15</v>
      </c>
      <c r="B133" s="55">
        <v>2017.0</v>
      </c>
      <c r="C133" s="55">
        <v>2.296747</v>
      </c>
      <c r="D133" s="55">
        <v>0.0</v>
      </c>
      <c r="E133" s="25">
        <v>1.5424164524421595</v>
      </c>
      <c r="F133" s="55">
        <v>3.51212</v>
      </c>
    </row>
    <row r="134">
      <c r="A134" s="54" t="s">
        <v>15</v>
      </c>
      <c r="B134" s="55">
        <v>2016.0</v>
      </c>
      <c r="C134" s="55">
        <v>2.415186</v>
      </c>
      <c r="D134" s="55">
        <v>0.0</v>
      </c>
      <c r="E134" s="25">
        <v>1.279634390174236</v>
      </c>
      <c r="F134" s="55">
        <v>3.902075</v>
      </c>
    </row>
    <row r="135">
      <c r="A135" s="54" t="s">
        <v>15</v>
      </c>
      <c r="B135" s="55">
        <v>2015.0</v>
      </c>
      <c r="C135" s="55">
        <v>2.719818</v>
      </c>
      <c r="D135" s="55">
        <v>3.603051</v>
      </c>
      <c r="E135" s="25">
        <v>1.9880034275921166</v>
      </c>
      <c r="F135" s="55">
        <v>3.925827</v>
      </c>
    </row>
    <row r="136">
      <c r="A136" s="54" t="s">
        <v>15</v>
      </c>
      <c r="B136" s="55">
        <v>2014.0</v>
      </c>
      <c r="C136" s="55">
        <v>2.808914</v>
      </c>
      <c r="D136" s="55">
        <v>3.062025</v>
      </c>
      <c r="E136" s="25">
        <v>1.588117680662668</v>
      </c>
      <c r="F136" s="55">
        <v>4.058228</v>
      </c>
    </row>
    <row r="137">
      <c r="A137" s="54" t="s">
        <v>16</v>
      </c>
      <c r="B137" s="55">
        <v>2022.0</v>
      </c>
      <c r="C137" s="55">
        <v>3.138621</v>
      </c>
      <c r="D137" s="55">
        <v>1.691274</v>
      </c>
      <c r="E137" s="25">
        <v>1.1311053984575836</v>
      </c>
      <c r="F137" s="55">
        <v>3.376642</v>
      </c>
    </row>
    <row r="138">
      <c r="A138" s="54" t="s">
        <v>16</v>
      </c>
      <c r="B138" s="55">
        <v>2021.0</v>
      </c>
      <c r="C138" s="55">
        <v>0.861614</v>
      </c>
      <c r="D138" s="55">
        <v>1.643537</v>
      </c>
      <c r="E138" s="25">
        <v>1.3596115395601258</v>
      </c>
      <c r="F138" s="55">
        <v>3.163246</v>
      </c>
    </row>
    <row r="139">
      <c r="A139" s="54" t="s">
        <v>16</v>
      </c>
      <c r="B139" s="55">
        <v>2020.0</v>
      </c>
      <c r="C139" s="55">
        <v>0.112116</v>
      </c>
      <c r="D139" s="55">
        <v>10.0</v>
      </c>
      <c r="E139" s="25">
        <v>0.6780919737217939</v>
      </c>
      <c r="F139" s="55">
        <v>3.348917</v>
      </c>
    </row>
    <row r="140">
      <c r="A140" s="54" t="s">
        <v>16</v>
      </c>
      <c r="B140" s="55">
        <v>2019.0</v>
      </c>
      <c r="C140" s="55">
        <v>2.598179</v>
      </c>
      <c r="D140" s="55">
        <v>2.003842</v>
      </c>
      <c r="E140" s="25">
        <v>0.7997714938588975</v>
      </c>
      <c r="F140" s="55">
        <v>3.043983</v>
      </c>
    </row>
    <row r="141">
      <c r="A141" s="54" t="s">
        <v>16</v>
      </c>
      <c r="B141" s="55">
        <v>2018.0</v>
      </c>
      <c r="C141" s="55">
        <v>3.673729</v>
      </c>
      <c r="D141" s="55">
        <v>1.283232</v>
      </c>
      <c r="E141" s="25">
        <v>0.9940017137960583</v>
      </c>
      <c r="F141" s="55">
        <v>2.857251</v>
      </c>
    </row>
    <row r="142">
      <c r="A142" s="54" t="s">
        <v>16</v>
      </c>
      <c r="B142" s="55">
        <v>2017.0</v>
      </c>
      <c r="C142" s="55">
        <v>1.812856</v>
      </c>
      <c r="D142" s="55">
        <v>2.377786</v>
      </c>
      <c r="E142" s="25">
        <v>0.9483004855755499</v>
      </c>
      <c r="F142" s="55">
        <v>3.043983</v>
      </c>
    </row>
    <row r="143">
      <c r="A143" s="54" t="s">
        <v>16</v>
      </c>
      <c r="B143" s="55">
        <v>2016.0</v>
      </c>
      <c r="C143" s="55">
        <v>3.01378</v>
      </c>
      <c r="D143" s="55">
        <v>2.796058</v>
      </c>
      <c r="E143" s="25">
        <v>0.9825764067409313</v>
      </c>
      <c r="F143" s="55">
        <v>2.743626</v>
      </c>
    </row>
    <row r="144">
      <c r="A144" s="54" t="s">
        <v>16</v>
      </c>
      <c r="B144" s="55">
        <v>2015.0</v>
      </c>
      <c r="C144" s="55">
        <v>2.704346</v>
      </c>
      <c r="D144" s="55">
        <v>2.699446</v>
      </c>
      <c r="E144" s="25">
        <v>1.1196800914024565</v>
      </c>
      <c r="F144" s="55">
        <v>2.710485</v>
      </c>
    </row>
    <row r="145">
      <c r="A145" s="54" t="s">
        <v>16</v>
      </c>
      <c r="B145" s="55">
        <v>2014.0</v>
      </c>
      <c r="C145" s="55">
        <v>4.045583</v>
      </c>
      <c r="D145" s="55">
        <v>2.099317</v>
      </c>
      <c r="E145" s="25">
        <v>0.8911739502999144</v>
      </c>
      <c r="F145" s="55">
        <v>2.825155</v>
      </c>
    </row>
    <row r="146">
      <c r="A146" s="54" t="s">
        <v>17</v>
      </c>
      <c r="B146" s="55">
        <v>2022.0</v>
      </c>
      <c r="C146" s="55">
        <v>6.851829</v>
      </c>
      <c r="D146" s="55">
        <v>3.982678</v>
      </c>
      <c r="E146" s="25">
        <v>2.947729220222794</v>
      </c>
      <c r="F146" s="55">
        <v>1.042679</v>
      </c>
    </row>
    <row r="147">
      <c r="A147" s="54" t="s">
        <v>17</v>
      </c>
      <c r="B147" s="55">
        <v>2021.0</v>
      </c>
      <c r="C147" s="55">
        <v>7.751855</v>
      </c>
      <c r="D147" s="55">
        <v>4.693059</v>
      </c>
      <c r="E147" s="25">
        <v>3.3590402742073695</v>
      </c>
      <c r="F147" s="55">
        <v>1.015993</v>
      </c>
    </row>
    <row r="148">
      <c r="A148" s="54" t="s">
        <v>17</v>
      </c>
      <c r="B148" s="55">
        <v>2020.0</v>
      </c>
      <c r="C148" s="55">
        <v>10.0</v>
      </c>
      <c r="D148" s="55">
        <v>4.838545</v>
      </c>
      <c r="E148" s="25">
        <v>1.9537275064267354</v>
      </c>
      <c r="F148" s="55">
        <v>0.851534</v>
      </c>
    </row>
    <row r="149">
      <c r="A149" s="54" t="s">
        <v>17</v>
      </c>
      <c r="B149" s="55">
        <v>2019.0</v>
      </c>
      <c r="C149" s="55">
        <v>10.0</v>
      </c>
      <c r="D149" s="55">
        <v>3.590548</v>
      </c>
      <c r="E149" s="25">
        <v>2.6735218508997427</v>
      </c>
      <c r="F149" s="55">
        <v>0.962012</v>
      </c>
    </row>
    <row r="150">
      <c r="A150" s="54" t="s">
        <v>17</v>
      </c>
      <c r="B150" s="55">
        <v>2018.0</v>
      </c>
      <c r="C150" s="55">
        <v>10.0</v>
      </c>
      <c r="D150" s="55">
        <v>3.267751</v>
      </c>
      <c r="E150" s="25">
        <v>3.827477863467581</v>
      </c>
      <c r="F150" s="55">
        <v>1.042679</v>
      </c>
    </row>
    <row r="151">
      <c r="A151" s="54" t="s">
        <v>17</v>
      </c>
      <c r="B151" s="55">
        <v>2017.0</v>
      </c>
      <c r="C151" s="55">
        <v>10.0</v>
      </c>
      <c r="D151" s="55">
        <v>1.599209</v>
      </c>
      <c r="E151" s="25">
        <v>3.0505569837189377</v>
      </c>
      <c r="F151" s="55">
        <v>1.069168</v>
      </c>
    </row>
    <row r="152">
      <c r="A152" s="54" t="s">
        <v>17</v>
      </c>
      <c r="B152" s="55">
        <v>2016.0</v>
      </c>
      <c r="C152" s="55">
        <v>9.708759</v>
      </c>
      <c r="D152" s="55">
        <v>1.561701</v>
      </c>
      <c r="E152" s="25">
        <v>2.227934875749786</v>
      </c>
      <c r="F152" s="55">
        <v>1.22409</v>
      </c>
    </row>
    <row r="153">
      <c r="A153" s="54" t="s">
        <v>17</v>
      </c>
      <c r="B153" s="55">
        <v>2015.0</v>
      </c>
      <c r="C153" s="55">
        <v>6.724321</v>
      </c>
      <c r="D153" s="55">
        <v>2.253896</v>
      </c>
      <c r="E153" s="25">
        <v>2.513567552127964</v>
      </c>
      <c r="F153" s="55">
        <v>1.53829</v>
      </c>
    </row>
    <row r="154">
      <c r="A154" s="54" t="s">
        <v>17</v>
      </c>
      <c r="B154" s="55">
        <v>2014.0</v>
      </c>
      <c r="C154" s="55">
        <v>5.038439</v>
      </c>
      <c r="D154" s="55">
        <v>1.443493</v>
      </c>
      <c r="E154" s="25">
        <v>1.5309911453870326</v>
      </c>
      <c r="F154" s="55">
        <v>1.718715</v>
      </c>
    </row>
    <row r="155">
      <c r="A155" s="54" t="s">
        <v>18</v>
      </c>
      <c r="B155" s="55">
        <v>2022.0</v>
      </c>
      <c r="C155" s="55">
        <v>0.835472</v>
      </c>
      <c r="D155" s="55">
        <v>2.642616</v>
      </c>
      <c r="E155" s="25">
        <v>1.1311053984575836</v>
      </c>
      <c r="F155" s="55">
        <v>3.013532</v>
      </c>
    </row>
    <row r="156">
      <c r="A156" s="54" t="s">
        <v>18</v>
      </c>
      <c r="B156" s="55">
        <v>2021.0</v>
      </c>
      <c r="C156" s="55">
        <v>0.793325</v>
      </c>
      <c r="D156" s="55">
        <v>4.295246</v>
      </c>
      <c r="E156" s="25">
        <v>1.0625535561268211</v>
      </c>
      <c r="F156" s="55">
        <v>3.089175</v>
      </c>
    </row>
    <row r="157">
      <c r="A157" s="54" t="s">
        <v>18</v>
      </c>
      <c r="B157" s="55">
        <v>2020.0</v>
      </c>
      <c r="C157" s="55">
        <v>0.62527</v>
      </c>
      <c r="D157" s="55">
        <v>0.484195</v>
      </c>
      <c r="E157" s="25">
        <v>0.8683233361896602</v>
      </c>
      <c r="F157" s="55">
        <v>3.133802</v>
      </c>
    </row>
    <row r="158">
      <c r="A158" s="54" t="s">
        <v>18</v>
      </c>
      <c r="B158" s="55">
        <v>2019.0</v>
      </c>
      <c r="C158" s="55">
        <v>0.740508</v>
      </c>
      <c r="D158" s="55">
        <v>2.498267</v>
      </c>
      <c r="E158" s="25">
        <v>1.5309911453870326</v>
      </c>
      <c r="F158" s="55">
        <v>2.904859</v>
      </c>
    </row>
    <row r="159">
      <c r="A159" s="54" t="s">
        <v>18</v>
      </c>
      <c r="B159" s="55">
        <v>2018.0</v>
      </c>
      <c r="C159" s="55">
        <v>0.568718</v>
      </c>
      <c r="D159" s="55">
        <v>4.354349</v>
      </c>
      <c r="E159" s="25">
        <v>1.81662382176521</v>
      </c>
      <c r="F159" s="55">
        <v>2.693798</v>
      </c>
    </row>
    <row r="160">
      <c r="A160" s="54" t="s">
        <v>18</v>
      </c>
      <c r="B160" s="55">
        <v>2017.0</v>
      </c>
      <c r="C160" s="55">
        <v>0.693559</v>
      </c>
      <c r="D160" s="55">
        <v>3.81105</v>
      </c>
      <c r="E160" s="25">
        <v>1.908026278206227</v>
      </c>
      <c r="F160" s="55">
        <v>2.53999</v>
      </c>
    </row>
    <row r="161">
      <c r="A161" s="54" t="s">
        <v>18</v>
      </c>
      <c r="B161" s="55">
        <v>2016.0</v>
      </c>
      <c r="C161" s="55">
        <v>0.698894</v>
      </c>
      <c r="D161" s="55">
        <v>2.906309</v>
      </c>
      <c r="E161" s="25">
        <v>1.6566695229934305</v>
      </c>
      <c r="F161" s="55">
        <v>2.379242</v>
      </c>
    </row>
    <row r="162">
      <c r="A162" s="54" t="s">
        <v>18</v>
      </c>
      <c r="B162" s="55">
        <v>2015.0</v>
      </c>
      <c r="C162" s="55">
        <v>0.646077</v>
      </c>
      <c r="D162" s="55">
        <v>2.345961</v>
      </c>
      <c r="E162" s="25">
        <v>1.7252213653241932</v>
      </c>
      <c r="F162" s="55">
        <v>2.397465</v>
      </c>
    </row>
    <row r="163">
      <c r="A163" s="54" t="s">
        <v>18</v>
      </c>
      <c r="B163" s="55">
        <v>2014.0</v>
      </c>
      <c r="C163" s="55">
        <v>0.73784</v>
      </c>
      <c r="D163" s="55">
        <v>4.774895</v>
      </c>
      <c r="E163" s="25">
        <v>1.4281633818908883</v>
      </c>
      <c r="F163" s="55">
        <v>1.952765</v>
      </c>
    </row>
    <row r="164">
      <c r="A164" s="54" t="s">
        <v>19</v>
      </c>
      <c r="B164" s="55">
        <v>2022.0</v>
      </c>
      <c r="C164" s="55">
        <v>1.286819</v>
      </c>
      <c r="D164" s="55">
        <v>5.889908</v>
      </c>
      <c r="E164" s="25">
        <v>4.1473864610111395</v>
      </c>
      <c r="F164" s="55">
        <v>3.629796</v>
      </c>
    </row>
    <row r="165">
      <c r="A165" s="54" t="s">
        <v>19</v>
      </c>
      <c r="B165" s="55">
        <v>2021.0</v>
      </c>
      <c r="C165" s="55">
        <v>1.227599</v>
      </c>
      <c r="D165" s="55">
        <v>6.441163</v>
      </c>
      <c r="E165" s="25">
        <v>3.2562125107112254</v>
      </c>
      <c r="F165" s="55">
        <v>3.756145</v>
      </c>
    </row>
    <row r="166">
      <c r="A166" s="54" t="s">
        <v>19</v>
      </c>
      <c r="B166" s="55">
        <v>2020.0</v>
      </c>
      <c r="C166" s="55">
        <v>1.127834</v>
      </c>
      <c r="D166" s="55">
        <v>3.204101</v>
      </c>
      <c r="E166" s="25">
        <v>2.513567552127964</v>
      </c>
      <c r="F166" s="55">
        <v>4.058228</v>
      </c>
    </row>
    <row r="167">
      <c r="A167" s="54" t="s">
        <v>19</v>
      </c>
      <c r="B167" s="55">
        <v>2019.0</v>
      </c>
      <c r="C167" s="55">
        <v>1.023266</v>
      </c>
      <c r="D167" s="55">
        <v>5.113604</v>
      </c>
      <c r="E167" s="25">
        <v>3.3818908883176233</v>
      </c>
      <c r="F167" s="55">
        <v>4.058228</v>
      </c>
    </row>
    <row r="168">
      <c r="A168" s="54" t="s">
        <v>19</v>
      </c>
      <c r="B168" s="55">
        <v>2018.0</v>
      </c>
      <c r="C168" s="55">
        <v>0.836539</v>
      </c>
      <c r="D168" s="55">
        <v>4.20318</v>
      </c>
      <c r="E168" s="25">
        <v>3.8731790916880895</v>
      </c>
      <c r="F168" s="55">
        <v>4.058228</v>
      </c>
    </row>
    <row r="169">
      <c r="A169" s="54" t="s">
        <v>19</v>
      </c>
      <c r="B169" s="55">
        <v>2017.0</v>
      </c>
      <c r="C169" s="55">
        <v>0.759714</v>
      </c>
      <c r="D169" s="55">
        <v>0.7979</v>
      </c>
      <c r="E169" s="25">
        <v>4.581548129105969</v>
      </c>
      <c r="F169" s="55">
        <v>4.058228</v>
      </c>
    </row>
    <row r="170">
      <c r="A170" s="54" t="s">
        <v>19</v>
      </c>
      <c r="B170" s="55">
        <v>2016.0</v>
      </c>
      <c r="C170" s="55">
        <v>0.607664</v>
      </c>
      <c r="D170" s="55">
        <v>2.105</v>
      </c>
      <c r="E170" s="25">
        <v>4.021708083404742</v>
      </c>
      <c r="F170" s="55">
        <v>4.058228</v>
      </c>
    </row>
    <row r="171">
      <c r="A171" s="54" t="s">
        <v>19</v>
      </c>
      <c r="B171" s="55">
        <v>2015.0</v>
      </c>
      <c r="C171" s="55">
        <v>0.514834</v>
      </c>
      <c r="D171" s="55">
        <v>2.518726</v>
      </c>
      <c r="E171" s="25">
        <v>4.912882033704656</v>
      </c>
      <c r="F171" s="55">
        <v>4.058228</v>
      </c>
    </row>
    <row r="172">
      <c r="A172" s="54" t="s">
        <v>19</v>
      </c>
      <c r="B172" s="55">
        <v>2014.0</v>
      </c>
      <c r="C172" s="55">
        <v>0.505231</v>
      </c>
      <c r="D172" s="55">
        <v>3.512122</v>
      </c>
      <c r="E172" s="25">
        <v>4.010282776349615</v>
      </c>
      <c r="F172" s="55">
        <v>4.058228</v>
      </c>
    </row>
    <row r="173">
      <c r="A173" s="54" t="s">
        <v>20</v>
      </c>
      <c r="B173" s="55">
        <v>2022.0</v>
      </c>
      <c r="C173" s="55">
        <v>4.84691</v>
      </c>
      <c r="D173" s="55">
        <v>0.803583</v>
      </c>
      <c r="E173" s="25">
        <v>2.913453299057412</v>
      </c>
      <c r="F173" s="55">
        <v>1.042679</v>
      </c>
    </row>
    <row r="174">
      <c r="A174" s="54" t="s">
        <v>20</v>
      </c>
      <c r="B174" s="55">
        <v>2021.0</v>
      </c>
      <c r="C174" s="55">
        <v>4.012505</v>
      </c>
      <c r="D174" s="55">
        <v>0.907014</v>
      </c>
      <c r="E174" s="25">
        <v>3.1648100542702085</v>
      </c>
      <c r="F174" s="55">
        <v>0.989105</v>
      </c>
    </row>
    <row r="175">
      <c r="A175" s="54" t="s">
        <v>20</v>
      </c>
      <c r="B175" s="55">
        <v>2020.0</v>
      </c>
      <c r="C175" s="55">
        <v>3.364295</v>
      </c>
      <c r="D175" s="55">
        <v>1.111604</v>
      </c>
      <c r="E175" s="25">
        <v>1.3481862325049987</v>
      </c>
      <c r="F175" s="55">
        <v>1.784087</v>
      </c>
    </row>
    <row r="176">
      <c r="A176" s="54" t="s">
        <v>20</v>
      </c>
      <c r="B176" s="55">
        <v>2019.0</v>
      </c>
      <c r="C176" s="55">
        <v>3.563826</v>
      </c>
      <c r="D176" s="55">
        <v>1.019538</v>
      </c>
      <c r="E176" s="25">
        <v>1.6223936018280491</v>
      </c>
      <c r="F176" s="55">
        <v>1.890443</v>
      </c>
    </row>
    <row r="177">
      <c r="A177" s="54" t="s">
        <v>20</v>
      </c>
      <c r="B177" s="55">
        <v>2018.0</v>
      </c>
      <c r="C177" s="55">
        <v>3.248524</v>
      </c>
      <c r="D177" s="55">
        <v>1.025221</v>
      </c>
      <c r="E177" s="25">
        <v>1.5195658383319053</v>
      </c>
      <c r="F177" s="55">
        <v>1.718715</v>
      </c>
    </row>
    <row r="178">
      <c r="A178" s="54" t="s">
        <v>20</v>
      </c>
      <c r="B178" s="55">
        <v>2017.0</v>
      </c>
      <c r="C178" s="55">
        <v>5.395889</v>
      </c>
      <c r="D178" s="55">
        <v>0.0</v>
      </c>
      <c r="E178" s="25">
        <v>1.4624393030562697</v>
      </c>
      <c r="F178" s="55">
        <v>1.890443</v>
      </c>
    </row>
    <row r="179">
      <c r="A179" s="54" t="s">
        <v>20</v>
      </c>
      <c r="B179" s="55">
        <v>2016.0</v>
      </c>
      <c r="C179" s="55">
        <v>5.375082</v>
      </c>
      <c r="D179" s="55">
        <v>2.307316</v>
      </c>
      <c r="E179" s="25">
        <v>1.279634390174236</v>
      </c>
      <c r="F179" s="55">
        <v>1.932112</v>
      </c>
    </row>
    <row r="180">
      <c r="A180" s="54" t="s">
        <v>20</v>
      </c>
      <c r="B180" s="55">
        <v>2015.0</v>
      </c>
      <c r="C180" s="55">
        <v>4.273924</v>
      </c>
      <c r="D180" s="55">
        <v>1.419625</v>
      </c>
      <c r="E180" s="25">
        <v>0.742644958583262</v>
      </c>
      <c r="F180" s="55">
        <v>1.848281</v>
      </c>
    </row>
    <row r="181">
      <c r="A181" s="54" t="s">
        <v>20</v>
      </c>
      <c r="B181" s="55">
        <v>2014.0</v>
      </c>
      <c r="C181" s="55">
        <v>4.083995</v>
      </c>
      <c r="D181" s="55">
        <v>1.410532</v>
      </c>
      <c r="E181" s="25">
        <v>0.7197943444730077</v>
      </c>
      <c r="F181" s="55">
        <v>1.848281</v>
      </c>
    </row>
    <row r="182">
      <c r="A182" s="54" t="s">
        <v>21</v>
      </c>
      <c r="B182" s="55">
        <v>2022.0</v>
      </c>
      <c r="C182" s="55">
        <v>2.114821</v>
      </c>
      <c r="D182" s="55">
        <v>2.273218</v>
      </c>
      <c r="E182" s="25">
        <v>1.7366466723793204</v>
      </c>
      <c r="F182" s="55">
        <v>10.0</v>
      </c>
    </row>
    <row r="183">
      <c r="A183" s="54" t="s">
        <v>21</v>
      </c>
      <c r="B183" s="55">
        <v>2021.0</v>
      </c>
      <c r="C183" s="55">
        <v>1.339636</v>
      </c>
      <c r="D183" s="55">
        <v>1.987929</v>
      </c>
      <c r="E183" s="25">
        <v>1.3367609254498714</v>
      </c>
      <c r="F183" s="55">
        <v>10.0</v>
      </c>
    </row>
    <row r="184">
      <c r="A184" s="54" t="s">
        <v>21</v>
      </c>
      <c r="B184" s="55">
        <v>2020.0</v>
      </c>
      <c r="C184" s="55">
        <v>1.181718</v>
      </c>
      <c r="D184" s="55">
        <v>0.0</v>
      </c>
      <c r="E184" s="25">
        <v>0.742644958583262</v>
      </c>
      <c r="F184" s="55">
        <v>10.0</v>
      </c>
    </row>
    <row r="185">
      <c r="A185" s="54" t="s">
        <v>21</v>
      </c>
      <c r="B185" s="55">
        <v>2019.0</v>
      </c>
      <c r="C185" s="55">
        <v>0.137645</v>
      </c>
      <c r="D185" s="55">
        <v>0.0</v>
      </c>
      <c r="E185" s="25">
        <v>1.291059697229363</v>
      </c>
      <c r="F185" s="55">
        <v>10.0</v>
      </c>
    </row>
    <row r="186">
      <c r="A186" s="54" t="s">
        <v>21</v>
      </c>
      <c r="B186" s="55">
        <v>2018.0</v>
      </c>
      <c r="C186" s="55">
        <v>0.112116</v>
      </c>
      <c r="D186" s="55">
        <v>0.0</v>
      </c>
      <c r="E186" s="25">
        <v>1.1082547843473294</v>
      </c>
      <c r="F186" s="55">
        <v>9.805787</v>
      </c>
    </row>
    <row r="187">
      <c r="A187" s="54" t="s">
        <v>21</v>
      </c>
      <c r="B187" s="55">
        <v>2017.0</v>
      </c>
      <c r="C187" s="55">
        <v>0.112116</v>
      </c>
      <c r="D187" s="55">
        <v>2.285721</v>
      </c>
      <c r="E187" s="25">
        <v>1.1539560125678379</v>
      </c>
      <c r="F187" s="55">
        <v>9.839707</v>
      </c>
    </row>
    <row r="188">
      <c r="A188" s="54" t="s">
        <v>21</v>
      </c>
      <c r="B188" s="55">
        <v>2016.0</v>
      </c>
      <c r="C188" s="55">
        <v>0.850944</v>
      </c>
      <c r="D188" s="55">
        <v>2.305043</v>
      </c>
      <c r="E188" s="25">
        <v>0.7769208797486433</v>
      </c>
      <c r="F188" s="55">
        <v>9.970076</v>
      </c>
    </row>
    <row r="189">
      <c r="A189" s="54" t="s">
        <v>21</v>
      </c>
      <c r="B189" s="55">
        <v>2015.0</v>
      </c>
      <c r="C189" s="55">
        <v>1.214262</v>
      </c>
      <c r="D189" s="55">
        <v>2.297087</v>
      </c>
      <c r="E189" s="25">
        <v>1.0968294772922023</v>
      </c>
      <c r="F189" s="55">
        <v>10.0</v>
      </c>
    </row>
    <row r="190">
      <c r="A190" s="54" t="s">
        <v>21</v>
      </c>
      <c r="B190" s="55">
        <v>2014.0</v>
      </c>
      <c r="C190" s="55">
        <v>10.0</v>
      </c>
      <c r="D190" s="55">
        <v>2.336868</v>
      </c>
      <c r="E190" s="25">
        <v>0.8683233361896602</v>
      </c>
      <c r="F190" s="55">
        <v>9.928611</v>
      </c>
    </row>
    <row r="191">
      <c r="A191" s="54" t="s">
        <v>22</v>
      </c>
      <c r="B191" s="55">
        <v>2022.0</v>
      </c>
      <c r="C191" s="55">
        <v>0.725569</v>
      </c>
      <c r="D191" s="55">
        <v>7.497073</v>
      </c>
      <c r="E191" s="25">
        <v>6.489574407312197</v>
      </c>
      <c r="F191" s="55">
        <v>1.173194</v>
      </c>
    </row>
    <row r="192">
      <c r="A192" s="54" t="s">
        <v>22</v>
      </c>
      <c r="B192" s="55">
        <v>2021.0</v>
      </c>
      <c r="C192" s="55">
        <v>0.645543</v>
      </c>
      <c r="D192" s="55">
        <v>6.101317</v>
      </c>
      <c r="E192" s="25">
        <v>4.890031419594402</v>
      </c>
      <c r="F192" s="55">
        <v>1.173194</v>
      </c>
    </row>
    <row r="193">
      <c r="A193" s="54" t="s">
        <v>22</v>
      </c>
      <c r="B193" s="55">
        <v>2020.0</v>
      </c>
      <c r="C193" s="55">
        <v>0.837606</v>
      </c>
      <c r="D193" s="55">
        <v>4.162262</v>
      </c>
      <c r="E193" s="25">
        <v>2.9363039131676665</v>
      </c>
      <c r="F193" s="55">
        <v>1.274269</v>
      </c>
    </row>
    <row r="194">
      <c r="A194" s="54" t="s">
        <v>22</v>
      </c>
      <c r="B194" s="55">
        <v>2019.0</v>
      </c>
      <c r="C194" s="55">
        <v>0.592193</v>
      </c>
      <c r="D194" s="55">
        <v>2.042486</v>
      </c>
      <c r="E194" s="25">
        <v>4.5244215938303345</v>
      </c>
      <c r="F194" s="55">
        <v>1.198733</v>
      </c>
    </row>
    <row r="195">
      <c r="A195" s="54" t="s">
        <v>22</v>
      </c>
      <c r="B195" s="55">
        <v>2018.0</v>
      </c>
      <c r="C195" s="55">
        <v>0.480156</v>
      </c>
      <c r="D195" s="55">
        <v>4.194087</v>
      </c>
      <c r="E195" s="25">
        <v>5.141388174807199</v>
      </c>
      <c r="F195" s="55">
        <v>1.22409</v>
      </c>
    </row>
    <row r="196">
      <c r="A196" s="54" t="s">
        <v>22</v>
      </c>
      <c r="B196" s="55">
        <v>2017.0</v>
      </c>
      <c r="C196" s="55">
        <v>1.54717</v>
      </c>
      <c r="D196" s="55">
        <v>0.39213</v>
      </c>
      <c r="E196" s="25">
        <v>6.0211368180519855</v>
      </c>
      <c r="F196" s="55">
        <v>1.015993</v>
      </c>
    </row>
    <row r="197">
      <c r="A197" s="54" t="s">
        <v>22</v>
      </c>
      <c r="B197" s="55">
        <v>2016.0</v>
      </c>
      <c r="C197" s="55">
        <v>1.008328</v>
      </c>
      <c r="D197" s="55">
        <v>1.804935</v>
      </c>
      <c r="E197" s="25">
        <v>7.906312482147958</v>
      </c>
      <c r="F197" s="55">
        <v>1.015993</v>
      </c>
    </row>
    <row r="198">
      <c r="A198" s="54" t="s">
        <v>22</v>
      </c>
      <c r="B198" s="55">
        <v>2015.0</v>
      </c>
      <c r="C198" s="55">
        <v>1.008328</v>
      </c>
      <c r="D198" s="55">
        <v>1.807208</v>
      </c>
      <c r="E198" s="25">
        <v>8.820337046558127</v>
      </c>
      <c r="F198" s="55">
        <v>1.249268</v>
      </c>
    </row>
    <row r="199">
      <c r="A199" s="54" t="s">
        <v>22</v>
      </c>
      <c r="B199" s="55">
        <v>2014.0</v>
      </c>
      <c r="C199" s="55">
        <v>0.81093</v>
      </c>
      <c r="D199" s="55">
        <v>1.12297</v>
      </c>
      <c r="E199" s="25">
        <v>8.431876606683804</v>
      </c>
      <c r="F199" s="55">
        <v>0.934712</v>
      </c>
    </row>
    <row r="200">
      <c r="A200" s="54" t="s">
        <v>23</v>
      </c>
      <c r="B200" s="55">
        <v>2022.0</v>
      </c>
      <c r="C200" s="55">
        <v>0.112116</v>
      </c>
      <c r="D200" s="55">
        <v>0.0</v>
      </c>
      <c r="E200" s="25">
        <v>0.6855184233076264</v>
      </c>
      <c r="F200" s="55">
        <v>4.058228</v>
      </c>
    </row>
    <row r="201">
      <c r="A201" s="54" t="s">
        <v>23</v>
      </c>
      <c r="B201" s="55">
        <v>2021.0</v>
      </c>
      <c r="C201" s="55">
        <v>0.112116</v>
      </c>
      <c r="D201" s="55">
        <v>0.0</v>
      </c>
      <c r="E201" s="25">
        <v>0.6780919737217939</v>
      </c>
      <c r="F201" s="55">
        <v>4.00773</v>
      </c>
    </row>
    <row r="202">
      <c r="A202" s="54" t="s">
        <v>23</v>
      </c>
      <c r="B202" s="55">
        <v>2020.0</v>
      </c>
      <c r="C202" s="55">
        <v>0.112116</v>
      </c>
      <c r="D202" s="55">
        <v>0.0</v>
      </c>
      <c r="E202" s="25">
        <v>0.6780919737217939</v>
      </c>
      <c r="F202" s="55">
        <v>3.376642</v>
      </c>
    </row>
    <row r="203">
      <c r="A203" s="54" t="s">
        <v>23</v>
      </c>
      <c r="B203" s="55">
        <v>2019.0</v>
      </c>
      <c r="C203" s="55">
        <v>0.112116</v>
      </c>
      <c r="D203" s="55">
        <v>0.0</v>
      </c>
      <c r="E203" s="25">
        <v>0.6780919737217939</v>
      </c>
      <c r="F203" s="55">
        <v>3.278645</v>
      </c>
    </row>
    <row r="204">
      <c r="A204" s="54" t="s">
        <v>23</v>
      </c>
      <c r="B204" s="55">
        <v>2018.0</v>
      </c>
      <c r="C204" s="55">
        <v>1.411126</v>
      </c>
      <c r="D204" s="55">
        <v>0.0</v>
      </c>
      <c r="E204" s="25">
        <v>0.6780919737217939</v>
      </c>
      <c r="F204" s="55">
        <v>2.133445</v>
      </c>
    </row>
    <row r="205">
      <c r="A205" s="54" t="s">
        <v>23</v>
      </c>
      <c r="B205" s="55">
        <v>2017.0</v>
      </c>
      <c r="C205" s="55">
        <v>1.169981</v>
      </c>
      <c r="D205" s="55">
        <v>0.0</v>
      </c>
      <c r="E205" s="25">
        <v>0.6780919737217939</v>
      </c>
      <c r="F205" s="55">
        <v>2.936248</v>
      </c>
    </row>
    <row r="206">
      <c r="A206" s="54" t="s">
        <v>23</v>
      </c>
      <c r="B206" s="55">
        <v>2016.0</v>
      </c>
      <c r="C206" s="55">
        <v>1.826728</v>
      </c>
      <c r="D206" s="55">
        <v>0.0</v>
      </c>
      <c r="E206" s="25">
        <v>0.6780919737217939</v>
      </c>
      <c r="F206" s="55">
        <v>2.054271</v>
      </c>
    </row>
    <row r="207">
      <c r="A207" s="54" t="s">
        <v>23</v>
      </c>
      <c r="B207" s="55">
        <v>2015.0</v>
      </c>
      <c r="C207" s="55">
        <v>2.31702</v>
      </c>
      <c r="D207" s="55">
        <v>0.0</v>
      </c>
      <c r="E207" s="25">
        <v>0.7654955726935163</v>
      </c>
      <c r="F207" s="55">
        <v>2.857251</v>
      </c>
    </row>
    <row r="208">
      <c r="A208" s="54" t="s">
        <v>23</v>
      </c>
      <c r="B208" s="55">
        <v>2014.0</v>
      </c>
      <c r="C208" s="55">
        <v>2.320755</v>
      </c>
      <c r="D208" s="55">
        <v>0.52625</v>
      </c>
      <c r="E208" s="25">
        <v>0.6780919737217939</v>
      </c>
      <c r="F208" s="55">
        <v>2.172381</v>
      </c>
    </row>
    <row r="209">
      <c r="A209" s="54" t="s">
        <v>24</v>
      </c>
      <c r="B209" s="55">
        <v>2022.0</v>
      </c>
      <c r="C209" s="55">
        <v>10.0</v>
      </c>
      <c r="D209" s="55">
        <v>0.850184</v>
      </c>
      <c r="E209" s="25">
        <v>0.742644958583262</v>
      </c>
      <c r="F209" s="55">
        <v>1.674458</v>
      </c>
    </row>
    <row r="210">
      <c r="A210" s="54" t="s">
        <v>24</v>
      </c>
      <c r="B210" s="55">
        <v>2021.0</v>
      </c>
      <c r="C210" s="55">
        <v>3.402707</v>
      </c>
      <c r="D210" s="55">
        <v>1.736739</v>
      </c>
      <c r="E210" s="25">
        <v>0.7083690374178807</v>
      </c>
      <c r="F210" s="55">
        <v>2.643263</v>
      </c>
    </row>
    <row r="211">
      <c r="A211" s="54" t="s">
        <v>24</v>
      </c>
      <c r="B211" s="55">
        <v>2020.0</v>
      </c>
      <c r="C211" s="55">
        <v>0.632739</v>
      </c>
      <c r="D211" s="55">
        <v>10.0</v>
      </c>
      <c r="E211" s="25">
        <v>0.6780919737217939</v>
      </c>
      <c r="F211" s="55">
        <v>3.390424</v>
      </c>
    </row>
    <row r="212">
      <c r="A212" s="54" t="s">
        <v>24</v>
      </c>
      <c r="B212" s="55">
        <v>2019.0</v>
      </c>
      <c r="C212" s="55">
        <v>4.68099</v>
      </c>
      <c r="D212" s="55">
        <v>1.273002</v>
      </c>
      <c r="E212" s="25">
        <v>0.6780919737217939</v>
      </c>
      <c r="F212" s="55">
        <v>3.074175</v>
      </c>
    </row>
    <row r="213">
      <c r="A213" s="54" t="s">
        <v>24</v>
      </c>
      <c r="B213" s="55">
        <v>2018.0</v>
      </c>
      <c r="C213" s="55">
        <v>6.834223</v>
      </c>
      <c r="D213" s="55">
        <v>1.04568</v>
      </c>
      <c r="E213" s="25">
        <v>0.6780919737217939</v>
      </c>
      <c r="F213" s="55">
        <v>3.278645</v>
      </c>
    </row>
    <row r="214">
      <c r="A214" s="54" t="s">
        <v>24</v>
      </c>
      <c r="B214" s="55">
        <v>2017.0</v>
      </c>
      <c r="C214" s="55">
        <v>0.112116</v>
      </c>
      <c r="D214" s="55">
        <v>0.0</v>
      </c>
      <c r="E214" s="25">
        <v>0.6780919737217939</v>
      </c>
      <c r="F214" s="55">
        <v>4.058228</v>
      </c>
    </row>
    <row r="215">
      <c r="A215" s="54" t="s">
        <v>24</v>
      </c>
      <c r="B215" s="55">
        <v>2016.0</v>
      </c>
      <c r="C215" s="55">
        <v>0.112116</v>
      </c>
      <c r="D215" s="55">
        <v>0.0</v>
      </c>
      <c r="E215" s="25">
        <v>0.6780919737217939</v>
      </c>
      <c r="F215" s="55">
        <v>3.841996</v>
      </c>
    </row>
    <row r="216">
      <c r="A216" s="54" t="s">
        <v>24</v>
      </c>
      <c r="B216" s="55">
        <v>2015.0</v>
      </c>
      <c r="C216" s="55">
        <v>0.112116</v>
      </c>
      <c r="D216" s="55">
        <v>0.0</v>
      </c>
      <c r="E216" s="25">
        <v>0.6780919737217939</v>
      </c>
      <c r="F216" s="55">
        <v>4.058228</v>
      </c>
    </row>
    <row r="217">
      <c r="A217" s="54" t="s">
        <v>24</v>
      </c>
      <c r="B217" s="55">
        <v>2014.0</v>
      </c>
      <c r="C217" s="55">
        <v>1.877411</v>
      </c>
      <c r="D217" s="55">
        <v>3.069981</v>
      </c>
      <c r="E217" s="25">
        <v>0.6780919737217939</v>
      </c>
      <c r="F217" s="55">
        <v>3.525389</v>
      </c>
    </row>
    <row r="218">
      <c r="A218" s="54" t="s">
        <v>25</v>
      </c>
      <c r="B218" s="55">
        <v>2022.0</v>
      </c>
      <c r="C218" s="55">
        <v>5.528199</v>
      </c>
      <c r="D218" s="55">
        <v>3.94858</v>
      </c>
      <c r="E218" s="25">
        <v>8.157669237360754</v>
      </c>
      <c r="F218" s="55">
        <v>1.629645</v>
      </c>
    </row>
    <row r="219">
      <c r="A219" s="54" t="s">
        <v>25</v>
      </c>
      <c r="B219" s="55">
        <v>2021.0</v>
      </c>
      <c r="C219" s="55">
        <v>4.626038</v>
      </c>
      <c r="D219" s="55">
        <v>3.801957</v>
      </c>
      <c r="E219" s="25">
        <v>8.180519851471008</v>
      </c>
      <c r="F219" s="55">
        <v>1.44453</v>
      </c>
    </row>
    <row r="220">
      <c r="A220" s="54" t="s">
        <v>25</v>
      </c>
      <c r="B220" s="55">
        <v>2020.0</v>
      </c>
      <c r="C220" s="55">
        <v>4.598296</v>
      </c>
      <c r="D220" s="55">
        <v>10.0</v>
      </c>
      <c r="E220" s="25">
        <v>4.981433876035419</v>
      </c>
      <c r="F220" s="55">
        <v>1.249268</v>
      </c>
    </row>
    <row r="221">
      <c r="A221" s="54" t="s">
        <v>25</v>
      </c>
      <c r="B221" s="55">
        <v>2019.0</v>
      </c>
      <c r="C221" s="55">
        <v>4.430775</v>
      </c>
      <c r="D221" s="55">
        <v>3.640559</v>
      </c>
      <c r="E221" s="25">
        <v>5.849757212225079</v>
      </c>
      <c r="F221" s="55">
        <v>0.82337</v>
      </c>
    </row>
    <row r="222">
      <c r="A222" s="54" t="s">
        <v>25</v>
      </c>
      <c r="B222" s="55">
        <v>2018.0</v>
      </c>
      <c r="C222" s="55">
        <v>7.159129</v>
      </c>
      <c r="D222" s="55">
        <v>4.084973</v>
      </c>
      <c r="E222" s="25">
        <v>5.049985718366181</v>
      </c>
      <c r="F222" s="55">
        <v>0.82337</v>
      </c>
    </row>
    <row r="223">
      <c r="A223" s="54" t="s">
        <v>25</v>
      </c>
      <c r="B223" s="55">
        <v>2017.0</v>
      </c>
      <c r="C223" s="55">
        <v>7.117516</v>
      </c>
      <c r="D223" s="55">
        <v>3.961083</v>
      </c>
      <c r="E223" s="25">
        <v>4.638674664381605</v>
      </c>
      <c r="F223" s="55">
        <v>0.619735</v>
      </c>
    </row>
    <row r="224">
      <c r="A224" s="54" t="s">
        <v>25</v>
      </c>
      <c r="B224" s="55">
        <v>2016.0</v>
      </c>
      <c r="C224" s="55">
        <v>6.571738</v>
      </c>
      <c r="D224" s="55">
        <v>3.742854</v>
      </c>
      <c r="E224" s="25">
        <v>5.209940017137961</v>
      </c>
      <c r="F224" s="55">
        <v>0.708436</v>
      </c>
    </row>
    <row r="225">
      <c r="A225" s="54" t="s">
        <v>25</v>
      </c>
      <c r="B225" s="55">
        <v>2015.0</v>
      </c>
      <c r="C225" s="55">
        <v>5.407092</v>
      </c>
      <c r="D225" s="55">
        <v>8.858731</v>
      </c>
      <c r="E225" s="25">
        <v>6.0211368180519855</v>
      </c>
      <c r="F225" s="55">
        <v>0.82337</v>
      </c>
    </row>
    <row r="226">
      <c r="A226" s="54" t="s">
        <v>25</v>
      </c>
      <c r="B226" s="55">
        <v>2014.0</v>
      </c>
      <c r="C226" s="55">
        <v>5.210762</v>
      </c>
      <c r="D226" s="55">
        <v>3.716712</v>
      </c>
      <c r="E226" s="25">
        <v>5.826906598114824</v>
      </c>
      <c r="F226" s="55">
        <v>0.851534</v>
      </c>
    </row>
    <row r="227">
      <c r="A227" s="54" t="s">
        <v>26</v>
      </c>
      <c r="B227" s="55">
        <v>2022.0</v>
      </c>
      <c r="C227" s="55">
        <v>3.350957</v>
      </c>
      <c r="D227" s="55">
        <v>8.129028</v>
      </c>
      <c r="E227" s="25">
        <v>3.3704655812624966</v>
      </c>
      <c r="F227" s="55">
        <v>0.207592</v>
      </c>
    </row>
    <row r="228">
      <c r="A228" s="54" t="s">
        <v>26</v>
      </c>
      <c r="B228" s="55">
        <v>2021.0</v>
      </c>
      <c r="C228" s="55">
        <v>2.677671</v>
      </c>
      <c r="D228" s="55">
        <v>4.514611</v>
      </c>
      <c r="E228" s="25">
        <v>2.6163953156241075</v>
      </c>
      <c r="F228" s="55">
        <v>0.241044</v>
      </c>
    </row>
    <row r="229">
      <c r="A229" s="54" t="s">
        <v>26</v>
      </c>
      <c r="B229" s="55">
        <v>2020.0</v>
      </c>
      <c r="C229" s="55">
        <v>2.446129</v>
      </c>
      <c r="D229" s="55">
        <v>7.021971</v>
      </c>
      <c r="E229" s="25">
        <v>1.5309911453870326</v>
      </c>
      <c r="F229" s="55">
        <v>0.371798</v>
      </c>
    </row>
    <row r="230">
      <c r="A230" s="54" t="s">
        <v>26</v>
      </c>
      <c r="B230" s="55">
        <v>2019.0</v>
      </c>
      <c r="C230" s="55">
        <v>2.545895</v>
      </c>
      <c r="D230" s="55">
        <v>3.94176</v>
      </c>
      <c r="E230" s="25">
        <v>2.2622107969151672</v>
      </c>
      <c r="F230" s="55">
        <v>0.241044</v>
      </c>
    </row>
    <row r="231">
      <c r="A231" s="54" t="s">
        <v>26</v>
      </c>
      <c r="B231" s="55">
        <v>2018.0</v>
      </c>
      <c r="C231" s="55">
        <v>2.27594</v>
      </c>
      <c r="D231" s="55">
        <v>2.8222</v>
      </c>
      <c r="E231" s="25">
        <v>2.090831191088261</v>
      </c>
      <c r="F231" s="55">
        <v>0.307021</v>
      </c>
    </row>
    <row r="232">
      <c r="A232" s="54" t="s">
        <v>26</v>
      </c>
      <c r="B232" s="55">
        <v>2017.0</v>
      </c>
      <c r="C232" s="55">
        <v>1.688016</v>
      </c>
      <c r="D232" s="55">
        <v>5.006763</v>
      </c>
      <c r="E232" s="25">
        <v>1.5766923736075404</v>
      </c>
      <c r="F232" s="55">
        <v>0.241044</v>
      </c>
    </row>
    <row r="233">
      <c r="A233" s="54" t="s">
        <v>26</v>
      </c>
      <c r="B233" s="55">
        <v>2016.0</v>
      </c>
      <c r="C233" s="55">
        <v>1.798452</v>
      </c>
      <c r="D233" s="55">
        <v>2.106137</v>
      </c>
      <c r="E233" s="25">
        <v>1.7823479005998288</v>
      </c>
      <c r="F233" s="55">
        <v>0.241044</v>
      </c>
    </row>
    <row r="234">
      <c r="A234" s="54" t="s">
        <v>26</v>
      </c>
      <c r="B234" s="55">
        <v>2015.0</v>
      </c>
      <c r="C234" s="55">
        <v>1.426597</v>
      </c>
      <c r="D234" s="55">
        <v>2.505086</v>
      </c>
      <c r="E234" s="25">
        <v>3.0505569837189377</v>
      </c>
      <c r="F234" s="55">
        <v>0.207592</v>
      </c>
    </row>
    <row r="235">
      <c r="A235" s="54" t="s">
        <v>26</v>
      </c>
      <c r="B235" s="55">
        <v>2014.0</v>
      </c>
      <c r="C235" s="55">
        <v>6.7638</v>
      </c>
      <c r="D235" s="55">
        <v>1.751515</v>
      </c>
      <c r="E235" s="25">
        <v>2.547843473293345</v>
      </c>
      <c r="F235" s="55">
        <v>0.105308</v>
      </c>
    </row>
    <row r="236">
      <c r="A236" s="54" t="s">
        <v>27</v>
      </c>
      <c r="B236" s="55">
        <v>2022.0</v>
      </c>
      <c r="C236" s="55">
        <v>1.306558</v>
      </c>
      <c r="D236" s="55">
        <v>1.856083</v>
      </c>
      <c r="E236" s="25">
        <v>8.957440731219652</v>
      </c>
      <c r="F236" s="55">
        <v>0.207592</v>
      </c>
    </row>
    <row r="237">
      <c r="A237" s="54" t="s">
        <v>27</v>
      </c>
      <c r="B237" s="55">
        <v>2021.0</v>
      </c>
      <c r="C237" s="55">
        <v>0.584724</v>
      </c>
      <c r="D237" s="55">
        <v>4.14635</v>
      </c>
      <c r="E237" s="25">
        <v>7.312196515281349</v>
      </c>
      <c r="F237" s="55">
        <v>1.629645</v>
      </c>
    </row>
    <row r="238">
      <c r="A238" s="54" t="s">
        <v>27</v>
      </c>
      <c r="B238" s="55">
        <v>2020.0</v>
      </c>
      <c r="C238" s="55">
        <v>0.90216</v>
      </c>
      <c r="D238" s="55">
        <v>3.359816</v>
      </c>
      <c r="E238" s="25">
        <v>4.50157097972008</v>
      </c>
      <c r="F238" s="55">
        <v>1.069168</v>
      </c>
    </row>
    <row r="239">
      <c r="A239" s="54" t="s">
        <v>27</v>
      </c>
      <c r="B239" s="55">
        <v>2019.0</v>
      </c>
      <c r="C239" s="55">
        <v>0.844008</v>
      </c>
      <c r="D239" s="55">
        <v>2.693763</v>
      </c>
      <c r="E239" s="25">
        <v>5.8383319051699525</v>
      </c>
      <c r="F239" s="55">
        <v>1.173194</v>
      </c>
    </row>
    <row r="240">
      <c r="A240" s="54" t="s">
        <v>27</v>
      </c>
      <c r="B240" s="55">
        <v>2018.0</v>
      </c>
      <c r="C240" s="55">
        <v>0.680221</v>
      </c>
      <c r="D240" s="55">
        <v>2.320956</v>
      </c>
      <c r="E240" s="25">
        <v>5.918309054555841</v>
      </c>
      <c r="F240" s="55">
        <v>1.015993</v>
      </c>
    </row>
    <row r="241">
      <c r="A241" s="54" t="s">
        <v>27</v>
      </c>
      <c r="B241" s="55">
        <v>2017.0</v>
      </c>
      <c r="C241" s="55">
        <v>0.435875</v>
      </c>
      <c r="D241" s="55">
        <v>0.0</v>
      </c>
      <c r="E241" s="25">
        <v>3.5304198800342763</v>
      </c>
      <c r="F241" s="55">
        <v>1.299096</v>
      </c>
    </row>
    <row r="242">
      <c r="A242" s="54" t="s">
        <v>27</v>
      </c>
      <c r="B242" s="55">
        <v>2016.0</v>
      </c>
      <c r="C242" s="55">
        <v>0.405465</v>
      </c>
      <c r="D242" s="55">
        <v>6.730999</v>
      </c>
      <c r="E242" s="25">
        <v>3.0505569837189377</v>
      </c>
      <c r="F242" s="55">
        <v>0.105308</v>
      </c>
    </row>
    <row r="243">
      <c r="A243" s="54" t="s">
        <v>27</v>
      </c>
      <c r="B243" s="55">
        <v>2015.0</v>
      </c>
      <c r="C243" s="55">
        <v>0.490293</v>
      </c>
      <c r="D243" s="55">
        <v>2.842659</v>
      </c>
      <c r="E243" s="25">
        <v>3.3361896600971153</v>
      </c>
      <c r="F243" s="55">
        <v>0.105308</v>
      </c>
    </row>
    <row r="244">
      <c r="A244" s="54" t="s">
        <v>27</v>
      </c>
      <c r="B244" s="55">
        <v>2014.0</v>
      </c>
      <c r="C244" s="55">
        <v>0.441744</v>
      </c>
      <c r="D244" s="55">
        <v>2.882441</v>
      </c>
      <c r="E244" s="25">
        <v>2.4335904027420736</v>
      </c>
      <c r="F244" s="55">
        <v>0.989105</v>
      </c>
    </row>
    <row r="245">
      <c r="A245" s="54" t="s">
        <v>28</v>
      </c>
      <c r="B245" s="55">
        <v>2022.0</v>
      </c>
      <c r="C245" s="55">
        <v>0.158985</v>
      </c>
      <c r="D245" s="55">
        <v>4.580534</v>
      </c>
      <c r="E245" s="25">
        <v>10.0</v>
      </c>
      <c r="F245" s="55">
        <v>0.679114</v>
      </c>
    </row>
    <row r="246">
      <c r="A246" s="54" t="s">
        <v>28</v>
      </c>
      <c r="B246" s="55">
        <v>2021.0</v>
      </c>
      <c r="C246" s="55">
        <v>0.112116</v>
      </c>
      <c r="D246" s="55">
        <v>0.0</v>
      </c>
      <c r="E246" s="25">
        <v>10.0</v>
      </c>
      <c r="F246" s="55">
        <v>0.105308</v>
      </c>
    </row>
    <row r="247">
      <c r="A247" s="54" t="s">
        <v>28</v>
      </c>
      <c r="B247" s="55">
        <v>2020.0</v>
      </c>
      <c r="C247" s="55">
        <v>0.188328</v>
      </c>
      <c r="D247" s="55">
        <v>4.820359</v>
      </c>
      <c r="E247" s="25">
        <v>5.586975149957155</v>
      </c>
      <c r="F247" s="55">
        <v>0.435419</v>
      </c>
    </row>
    <row r="248">
      <c r="A248" s="54" t="s">
        <v>28</v>
      </c>
      <c r="B248" s="55">
        <v>2019.0</v>
      </c>
      <c r="C248" s="55">
        <v>0.155784</v>
      </c>
      <c r="D248" s="55">
        <v>5.40003</v>
      </c>
      <c r="E248" s="25">
        <v>5.198514710082833</v>
      </c>
      <c r="F248" s="55">
        <v>0.766367</v>
      </c>
    </row>
    <row r="249">
      <c r="A249" s="54" t="s">
        <v>28</v>
      </c>
      <c r="B249" s="55">
        <v>2018.0</v>
      </c>
      <c r="C249" s="55">
        <v>0.139779</v>
      </c>
      <c r="D249" s="55">
        <v>5.227265</v>
      </c>
      <c r="E249" s="25">
        <v>6.089688660382748</v>
      </c>
      <c r="F249" s="55">
        <v>0.794982</v>
      </c>
    </row>
    <row r="250">
      <c r="A250" s="54" t="s">
        <v>28</v>
      </c>
      <c r="B250" s="55">
        <v>2017.0</v>
      </c>
      <c r="C250" s="55">
        <v>0.136044</v>
      </c>
      <c r="D250" s="55">
        <v>0.0</v>
      </c>
      <c r="E250" s="25">
        <v>5.564124535846902</v>
      </c>
      <c r="F250" s="55">
        <v>0.619735</v>
      </c>
    </row>
    <row r="251">
      <c r="A251" s="54" t="s">
        <v>28</v>
      </c>
      <c r="B251" s="55">
        <v>2016.0</v>
      </c>
      <c r="C251" s="55">
        <v>0.112116</v>
      </c>
      <c r="D251" s="55">
        <v>10.0</v>
      </c>
      <c r="E251" s="25">
        <v>3.7932019423021996</v>
      </c>
      <c r="F251" s="55">
        <v>0.241044</v>
      </c>
    </row>
    <row r="252">
      <c r="A252" s="54" t="s">
        <v>28</v>
      </c>
      <c r="B252" s="55">
        <v>2015.0</v>
      </c>
      <c r="C252" s="55">
        <v>2.076409</v>
      </c>
      <c r="D252" s="55">
        <v>2.919949</v>
      </c>
      <c r="E252" s="25">
        <v>2.445015709797201</v>
      </c>
      <c r="F252" s="55">
        <v>0.274185</v>
      </c>
    </row>
    <row r="253">
      <c r="A253" s="54" t="s">
        <v>28</v>
      </c>
      <c r="B253" s="55">
        <v>2014.0</v>
      </c>
      <c r="C253" s="55">
        <v>0.112116</v>
      </c>
      <c r="D253" s="55">
        <v>0.0</v>
      </c>
      <c r="E253" s="25">
        <v>1.6452442159383036</v>
      </c>
      <c r="F253" s="55">
        <v>1.015993</v>
      </c>
    </row>
    <row r="254">
      <c r="A254" s="54" t="s">
        <v>29</v>
      </c>
      <c r="B254" s="55">
        <v>2022.0</v>
      </c>
      <c r="C254" s="55">
        <v>10.0</v>
      </c>
      <c r="D254" s="55">
        <v>1.650356</v>
      </c>
      <c r="E254" s="25">
        <v>4.135961153956013</v>
      </c>
      <c r="F254" s="55">
        <v>0.649548</v>
      </c>
    </row>
    <row r="255">
      <c r="A255" s="54" t="s">
        <v>29</v>
      </c>
      <c r="B255" s="55">
        <v>2021.0</v>
      </c>
      <c r="C255" s="55">
        <v>10.0</v>
      </c>
      <c r="D255" s="55">
        <v>0.779714</v>
      </c>
      <c r="E255" s="25">
        <v>4.970008568980291</v>
      </c>
      <c r="F255" s="55">
        <v>1.198733</v>
      </c>
    </row>
    <row r="256">
      <c r="A256" s="54" t="s">
        <v>29</v>
      </c>
      <c r="B256" s="55">
        <v>2020.0</v>
      </c>
      <c r="C256" s="55">
        <v>10.0</v>
      </c>
      <c r="D256" s="55">
        <v>0.751299</v>
      </c>
      <c r="E256" s="25">
        <v>2.5249928591830906</v>
      </c>
      <c r="F256" s="55">
        <v>1.561349</v>
      </c>
    </row>
    <row r="257">
      <c r="A257" s="54" t="s">
        <v>29</v>
      </c>
      <c r="B257" s="55">
        <v>2019.0</v>
      </c>
      <c r="C257" s="55">
        <v>4.481458</v>
      </c>
      <c r="D257" s="55">
        <v>1.643537</v>
      </c>
      <c r="E257" s="25">
        <v>3.0162810625535563</v>
      </c>
      <c r="F257" s="55">
        <v>2.210897</v>
      </c>
    </row>
    <row r="258">
      <c r="A258" s="54" t="s">
        <v>29</v>
      </c>
      <c r="B258" s="55">
        <v>2018.0</v>
      </c>
      <c r="C258" s="55">
        <v>4.317138</v>
      </c>
      <c r="D258" s="55">
        <v>1.689001</v>
      </c>
      <c r="E258" s="25">
        <v>3.9988574692944874</v>
      </c>
      <c r="F258" s="55">
        <v>1.911338</v>
      </c>
    </row>
    <row r="259">
      <c r="A259" s="54" t="s">
        <v>29</v>
      </c>
      <c r="B259" s="55">
        <v>2017.0</v>
      </c>
      <c r="C259" s="55">
        <v>5.275316</v>
      </c>
      <c r="D259" s="55">
        <v>1.091145</v>
      </c>
      <c r="E259" s="25">
        <v>4.935732647814911</v>
      </c>
      <c r="F259" s="55">
        <v>0.962012</v>
      </c>
    </row>
    <row r="260">
      <c r="A260" s="54" t="s">
        <v>29</v>
      </c>
      <c r="B260" s="55">
        <v>2016.0</v>
      </c>
      <c r="C260" s="55">
        <v>4.8149</v>
      </c>
      <c r="D260" s="55">
        <v>1.344608</v>
      </c>
      <c r="E260" s="25">
        <v>4.021708083404742</v>
      </c>
      <c r="F260" s="55">
        <v>1.042679</v>
      </c>
    </row>
    <row r="261">
      <c r="A261" s="54" t="s">
        <v>29</v>
      </c>
      <c r="B261" s="55">
        <v>2015.0</v>
      </c>
      <c r="C261" s="55">
        <v>4.078127</v>
      </c>
      <c r="D261" s="55">
        <v>1.337789</v>
      </c>
      <c r="E261" s="25">
        <v>3.701799485861183</v>
      </c>
      <c r="F261" s="55">
        <v>1.198733</v>
      </c>
    </row>
    <row r="262">
      <c r="A262" s="54" t="s">
        <v>29</v>
      </c>
      <c r="B262" s="55">
        <v>2014.0</v>
      </c>
      <c r="C262" s="55">
        <v>4.290462</v>
      </c>
      <c r="D262" s="55">
        <v>1.270729</v>
      </c>
      <c r="E262" s="25">
        <v>3.1648100542702085</v>
      </c>
      <c r="F262" s="55">
        <v>1.22409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</cols>
  <sheetData>
    <row r="1">
      <c r="A1" s="26" t="s">
        <v>93</v>
      </c>
      <c r="B1" s="26" t="s">
        <v>94</v>
      </c>
      <c r="C1" s="26" t="s">
        <v>99</v>
      </c>
      <c r="D1" s="26" t="s">
        <v>100</v>
      </c>
      <c r="E1" s="26" t="s">
        <v>101</v>
      </c>
      <c r="F1" s="26" t="s">
        <v>102</v>
      </c>
      <c r="G1" s="26" t="s">
        <v>103</v>
      </c>
      <c r="H1" s="26" t="s">
        <v>104</v>
      </c>
      <c r="I1" s="26" t="s">
        <v>105</v>
      </c>
      <c r="J1" s="26" t="s">
        <v>106</v>
      </c>
      <c r="K1" s="26" t="s">
        <v>107</v>
      </c>
      <c r="L1" s="26" t="s">
        <v>108</v>
      </c>
      <c r="M1" s="26" t="s">
        <v>109</v>
      </c>
      <c r="N1" s="26" t="s">
        <v>110</v>
      </c>
    </row>
    <row r="2">
      <c r="A2" s="6" t="s">
        <v>1</v>
      </c>
      <c r="B2" s="26">
        <v>2022.0</v>
      </c>
      <c r="C2" s="25">
        <f>MAX(MIN(1, (Fuzzy_Parameters!$C$4 - Sheet6!C2)/(Fuzzy_Parameters!$C$4 - Fuzzy_Parameters!$C$3)), 0)</f>
        <v>0</v>
      </c>
      <c r="D2" s="25">
        <f>MAX(MIN((Sheet6!C2 - Fuzzy_Parameters!$C$3)/(Fuzzy_Parameters!$C$4 - Fuzzy_Parameters!$C$3), 1, (Fuzzy_Parameters!$C$6 - Sheet6!C2)/(Fuzzy_Parameters!$C$6 - Fuzzy_Parameters!$C$5)), 0)</f>
        <v>1</v>
      </c>
      <c r="E2" s="25">
        <f>MAX(MIN((Sheet6!C2 - Fuzzy_Parameters!$C$5)/(Fuzzy_Parameters!$C$6 - Fuzzy_Parameters!$C$5), 1), 0)</f>
        <v>0</v>
      </c>
      <c r="F2" s="25">
        <f>MAX(MIN(1, (Fuzzy_Parameters!$C$12 - Sheet6!D2)/(Fuzzy_Parameters!$C$12 - Fuzzy_Parameters!$C$11)), 0)</f>
        <v>0</v>
      </c>
      <c r="G2" s="25">
        <f>MAX(MIN((Sheet6!D2 - Fuzzy_Parameters!$C$11)/(Fuzzy_Parameters!$C$12 - Fuzzy_Parameters!$C$11), 1, (Fuzzy_Parameters!$C$14 - Sheet6!D2)/(Fuzzy_Parameters!$C$14 - Fuzzy_Parameters!$C$13)), 0)</f>
        <v>1</v>
      </c>
      <c r="H2" s="25">
        <f>MAX(MIN((Sheet6!D2 - Fuzzy_Parameters!$C$13)/(Fuzzy_Parameters!$C$14 - Fuzzy_Parameters!$C$13), 1), 0)</f>
        <v>0</v>
      </c>
      <c r="I2" s="25">
        <f>MAX(MIN(1, (Fuzzy_Parameters!$C$20 - Sheet6!E2)/(Fuzzy_Parameters!$C$20 - Fuzzy_Parameters!$C$19)), 0)</f>
        <v>0</v>
      </c>
      <c r="J2" s="25">
        <f>MAX(MIN((Sheet6!E2 - Fuzzy_Parameters!$C$19)/(Fuzzy_Parameters!$C$20 - Fuzzy_Parameters!$C$19), 1, (Fuzzy_Parameters!$C$22 - Sheet6!E2)/(Fuzzy_Parameters!$C$22 - Fuzzy_Parameters!$C$21)), 0)</f>
        <v>0</v>
      </c>
      <c r="K2" s="25">
        <f>MAX(MIN((Sheet6!E2 - Fuzzy_Parameters!$C$21)/(Fuzzy_Parameters!$C$22 - Fuzzy_Parameters!$C$21), 1), 0)</f>
        <v>1</v>
      </c>
      <c r="L2" s="25">
        <f>MAX(MIN(1, (Fuzzy_Parameters!$C$28 - Sheet6!F2)/(Fuzzy_Parameters!$C$28 - Fuzzy_Parameters!$C$27)), 0)</f>
        <v>0</v>
      </c>
      <c r="M2" s="25">
        <f>MAX(MIN((Sheet6!F2 - Fuzzy_Parameters!$C$27)/(Fuzzy_Parameters!$C$28 - Fuzzy_Parameters!$C$27), 1, (Fuzzy_Parameters!$C$30 - Sheet6!F2)/(Fuzzy_Parameters!$C$30 - Fuzzy_Parameters!$C$29)), 0)</f>
        <v>1</v>
      </c>
      <c r="N2" s="25">
        <f>MAX(MIN((Sheet6!F2 - Fuzzy_Parameters!$C$29)/(Fuzzy_Parameters!$C$30 - Fuzzy_Parameters!$C$29), 1), 0)</f>
        <v>0</v>
      </c>
    </row>
    <row r="3">
      <c r="A3" s="6" t="s">
        <v>1</v>
      </c>
      <c r="B3" s="26">
        <v>2021.0</v>
      </c>
      <c r="C3" s="25">
        <f>MAX(MIN(1, (Fuzzy_Parameters!$C$4 - Sheet6!C3)/(Fuzzy_Parameters!$C$4 - Fuzzy_Parameters!$C$3)), 0)</f>
        <v>0</v>
      </c>
      <c r="D3" s="25">
        <f>MAX(MIN((Sheet6!C3 - Fuzzy_Parameters!$C$3)/(Fuzzy_Parameters!$C$4 - Fuzzy_Parameters!$C$3), 1, (Fuzzy_Parameters!$C$6 - Sheet6!C3)/(Fuzzy_Parameters!$C$6 - Fuzzy_Parameters!$C$5)), 0)</f>
        <v>1</v>
      </c>
      <c r="E3" s="25">
        <f>MAX(MIN((Sheet6!C3 - Fuzzy_Parameters!$C$5)/(Fuzzy_Parameters!$C$6 - Fuzzy_Parameters!$C$5), 1), 0)</f>
        <v>0</v>
      </c>
      <c r="F3" s="25">
        <f>MAX(MIN(1, (Fuzzy_Parameters!$C$12 - Sheet6!D3)/(Fuzzy_Parameters!$C$12 - Fuzzy_Parameters!$C$11)), 0)</f>
        <v>1</v>
      </c>
      <c r="G3" s="25">
        <f>MAX(MIN((Sheet6!D3 - Fuzzy_Parameters!$C$11)/(Fuzzy_Parameters!$C$12 - Fuzzy_Parameters!$C$11), 1, (Fuzzy_Parameters!$C$14 - Sheet6!D3)/(Fuzzy_Parameters!$C$14 - Fuzzy_Parameters!$C$13)), 0)</f>
        <v>0</v>
      </c>
      <c r="H3" s="25">
        <f>MAX(MIN((Sheet6!D3 - Fuzzy_Parameters!$C$13)/(Fuzzy_Parameters!$C$14 - Fuzzy_Parameters!$C$13), 1), 0)</f>
        <v>0</v>
      </c>
      <c r="I3" s="25">
        <f>MAX(MIN(1, (Fuzzy_Parameters!$C$20 - Sheet6!E3)/(Fuzzy_Parameters!$C$20 - Fuzzy_Parameters!$C$19)), 0)</f>
        <v>0</v>
      </c>
      <c r="J3" s="25">
        <f>MAX(MIN((Sheet6!E3 - Fuzzy_Parameters!$C$19)/(Fuzzy_Parameters!$C$20 - Fuzzy_Parameters!$C$19), 1, (Fuzzy_Parameters!$C$22 - Sheet6!E3)/(Fuzzy_Parameters!$C$22 - Fuzzy_Parameters!$C$21)), 0)</f>
        <v>0</v>
      </c>
      <c r="K3" s="25">
        <f>MAX(MIN((Sheet6!E3 - Fuzzy_Parameters!$C$21)/(Fuzzy_Parameters!$C$22 - Fuzzy_Parameters!$C$21), 1), 0)</f>
        <v>1</v>
      </c>
      <c r="L3" s="25">
        <f>MAX(MIN(1, (Fuzzy_Parameters!$C$28 - Sheet6!F3)/(Fuzzy_Parameters!$C$28 - Fuzzy_Parameters!$C$27)), 0)</f>
        <v>0</v>
      </c>
      <c r="M3" s="25">
        <f>MAX(MIN((Sheet6!F3 - Fuzzy_Parameters!$C$27)/(Fuzzy_Parameters!$C$28 - Fuzzy_Parameters!$C$27), 1, (Fuzzy_Parameters!$C$30 - Sheet6!F3)/(Fuzzy_Parameters!$C$30 - Fuzzy_Parameters!$C$29)), 0)</f>
        <v>1</v>
      </c>
      <c r="N3" s="25">
        <f>MAX(MIN((Sheet6!F3 - Fuzzy_Parameters!$C$29)/(Fuzzy_Parameters!$C$30 - Fuzzy_Parameters!$C$29), 1), 0)</f>
        <v>0</v>
      </c>
    </row>
    <row r="4">
      <c r="A4" s="6" t="s">
        <v>1</v>
      </c>
      <c r="B4" s="26">
        <v>2020.0</v>
      </c>
      <c r="C4" s="25">
        <f>MAX(MIN(1, (Fuzzy_Parameters!$C$4 - Sheet6!C4)/(Fuzzy_Parameters!$C$4 - Fuzzy_Parameters!$C$3)), 0)</f>
        <v>0.1025644435</v>
      </c>
      <c r="D4" s="25">
        <f>MAX(MIN((Sheet6!C4 - Fuzzy_Parameters!$C$3)/(Fuzzy_Parameters!$C$4 - Fuzzy_Parameters!$C$3), 1, (Fuzzy_Parameters!$C$6 - Sheet6!C4)/(Fuzzy_Parameters!$C$6 - Fuzzy_Parameters!$C$5)), 0)</f>
        <v>0.8974355565</v>
      </c>
      <c r="E4" s="25">
        <f>MAX(MIN((Sheet6!C4 - Fuzzy_Parameters!$C$5)/(Fuzzy_Parameters!$C$6 - Fuzzy_Parameters!$C$5), 1), 0)</f>
        <v>0</v>
      </c>
      <c r="F4" s="25">
        <f>MAX(MIN(1, (Fuzzy_Parameters!$C$12 - Sheet6!D4)/(Fuzzy_Parameters!$C$12 - Fuzzy_Parameters!$C$11)), 0)</f>
        <v>0</v>
      </c>
      <c r="G4" s="25">
        <f>MAX(MIN((Sheet6!D4 - Fuzzy_Parameters!$C$11)/(Fuzzy_Parameters!$C$12 - Fuzzy_Parameters!$C$11), 1, (Fuzzy_Parameters!$C$14 - Sheet6!D4)/(Fuzzy_Parameters!$C$14 - Fuzzy_Parameters!$C$13)), 0)</f>
        <v>1</v>
      </c>
      <c r="H4" s="25">
        <f>MAX(MIN((Sheet6!D4 - Fuzzy_Parameters!$C$13)/(Fuzzy_Parameters!$C$14 - Fuzzy_Parameters!$C$13), 1), 0)</f>
        <v>0</v>
      </c>
      <c r="I4" s="25">
        <f>MAX(MIN(1, (Fuzzy_Parameters!$C$20 - Sheet6!E4)/(Fuzzy_Parameters!$C$20 - Fuzzy_Parameters!$C$19)), 0)</f>
        <v>0</v>
      </c>
      <c r="J4" s="25">
        <f>MAX(MIN((Sheet6!E4 - Fuzzy_Parameters!$C$19)/(Fuzzy_Parameters!$C$20 - Fuzzy_Parameters!$C$19), 1, (Fuzzy_Parameters!$C$22 - Sheet6!E4)/(Fuzzy_Parameters!$C$22 - Fuzzy_Parameters!$C$21)), 0)</f>
        <v>0.7581395349</v>
      </c>
      <c r="K4" s="25">
        <f>MAX(MIN((Sheet6!E4 - Fuzzy_Parameters!$C$21)/(Fuzzy_Parameters!$C$22 - Fuzzy_Parameters!$C$21), 1), 0)</f>
        <v>0.2418604651</v>
      </c>
      <c r="L4" s="25">
        <f>MAX(MIN(1, (Fuzzy_Parameters!$C$28 - Sheet6!F4)/(Fuzzy_Parameters!$C$28 - Fuzzy_Parameters!$C$27)), 0)</f>
        <v>0</v>
      </c>
      <c r="M4" s="25">
        <f>MAX(MIN((Sheet6!F4 - Fuzzy_Parameters!$C$27)/(Fuzzy_Parameters!$C$28 - Fuzzy_Parameters!$C$27), 1, (Fuzzy_Parameters!$C$30 - Sheet6!F4)/(Fuzzy_Parameters!$C$30 - Fuzzy_Parameters!$C$29)), 0)</f>
        <v>1</v>
      </c>
      <c r="N4" s="25">
        <f>MAX(MIN((Sheet6!F4 - Fuzzy_Parameters!$C$29)/(Fuzzy_Parameters!$C$30 - Fuzzy_Parameters!$C$29), 1), 0)</f>
        <v>0</v>
      </c>
    </row>
    <row r="5">
      <c r="A5" s="6" t="s">
        <v>1</v>
      </c>
      <c r="B5" s="26">
        <v>2019.0</v>
      </c>
      <c r="C5" s="25">
        <f>MAX(MIN(1, (Fuzzy_Parameters!$C$4 - Sheet6!C5)/(Fuzzy_Parameters!$C$4 - Fuzzy_Parameters!$C$3)), 0)</f>
        <v>0</v>
      </c>
      <c r="D5" s="25">
        <f>MAX(MIN((Sheet6!C5 - Fuzzy_Parameters!$C$3)/(Fuzzy_Parameters!$C$4 - Fuzzy_Parameters!$C$3), 1, (Fuzzy_Parameters!$C$6 - Sheet6!C5)/(Fuzzy_Parameters!$C$6 - Fuzzy_Parameters!$C$5)), 0)</f>
        <v>1</v>
      </c>
      <c r="E5" s="25">
        <f>MAX(MIN((Sheet6!C5 - Fuzzy_Parameters!$C$5)/(Fuzzy_Parameters!$C$6 - Fuzzy_Parameters!$C$5), 1), 0)</f>
        <v>0</v>
      </c>
      <c r="F5" s="25">
        <f>MAX(MIN(1, (Fuzzy_Parameters!$C$12 - Sheet6!D5)/(Fuzzy_Parameters!$C$12 - Fuzzy_Parameters!$C$11)), 0)</f>
        <v>0.3926381788</v>
      </c>
      <c r="G5" s="25">
        <f>MAX(MIN((Sheet6!D5 - Fuzzy_Parameters!$C$11)/(Fuzzy_Parameters!$C$12 - Fuzzy_Parameters!$C$11), 1, (Fuzzy_Parameters!$C$14 - Sheet6!D5)/(Fuzzy_Parameters!$C$14 - Fuzzy_Parameters!$C$13)), 0)</f>
        <v>0.6073618212</v>
      </c>
      <c r="H5" s="25">
        <f>MAX(MIN((Sheet6!D5 - Fuzzy_Parameters!$C$13)/(Fuzzy_Parameters!$C$14 - Fuzzy_Parameters!$C$13), 1), 0)</f>
        <v>0</v>
      </c>
      <c r="I5" s="25">
        <f>MAX(MIN(1, (Fuzzy_Parameters!$C$20 - Sheet6!E5)/(Fuzzy_Parameters!$C$20 - Fuzzy_Parameters!$C$19)), 0)</f>
        <v>0</v>
      </c>
      <c r="J5" s="25">
        <f>MAX(MIN((Sheet6!E5 - Fuzzy_Parameters!$C$19)/(Fuzzy_Parameters!$C$20 - Fuzzy_Parameters!$C$19), 1, (Fuzzy_Parameters!$C$22 - Sheet6!E5)/(Fuzzy_Parameters!$C$22 - Fuzzy_Parameters!$C$21)), 0)</f>
        <v>0</v>
      </c>
      <c r="K5" s="25">
        <f>MAX(MIN((Sheet6!E5 - Fuzzy_Parameters!$C$21)/(Fuzzy_Parameters!$C$22 - Fuzzy_Parameters!$C$21), 1), 0)</f>
        <v>1</v>
      </c>
      <c r="L5" s="25">
        <f>MAX(MIN(1, (Fuzzy_Parameters!$C$28 - Sheet6!F5)/(Fuzzy_Parameters!$C$28 - Fuzzy_Parameters!$C$27)), 0)</f>
        <v>0</v>
      </c>
      <c r="M5" s="25">
        <f>MAX(MIN((Sheet6!F5 - Fuzzy_Parameters!$C$27)/(Fuzzy_Parameters!$C$28 - Fuzzy_Parameters!$C$27), 1, (Fuzzy_Parameters!$C$30 - Sheet6!F5)/(Fuzzy_Parameters!$C$30 - Fuzzy_Parameters!$C$29)), 0)</f>
        <v>1</v>
      </c>
      <c r="N5" s="25">
        <f>MAX(MIN((Sheet6!F5 - Fuzzy_Parameters!$C$29)/(Fuzzy_Parameters!$C$30 - Fuzzy_Parameters!$C$29), 1), 0)</f>
        <v>0</v>
      </c>
    </row>
    <row r="6">
      <c r="A6" s="6" t="s">
        <v>1</v>
      </c>
      <c r="B6" s="26">
        <v>2018.0</v>
      </c>
      <c r="C6" s="25">
        <f>MAX(MIN(1, (Fuzzy_Parameters!$C$4 - Sheet6!C6)/(Fuzzy_Parameters!$C$4 - Fuzzy_Parameters!$C$3)), 0)</f>
        <v>0.170569068</v>
      </c>
      <c r="D6" s="25">
        <f>MAX(MIN((Sheet6!C6 - Fuzzy_Parameters!$C$3)/(Fuzzy_Parameters!$C$4 - Fuzzy_Parameters!$C$3), 1, (Fuzzy_Parameters!$C$6 - Sheet6!C6)/(Fuzzy_Parameters!$C$6 - Fuzzy_Parameters!$C$5)), 0)</f>
        <v>0.829430932</v>
      </c>
      <c r="E6" s="25">
        <f>MAX(MIN((Sheet6!C6 - Fuzzy_Parameters!$C$5)/(Fuzzy_Parameters!$C$6 - Fuzzy_Parameters!$C$5), 1), 0)</f>
        <v>0</v>
      </c>
      <c r="F6" s="25">
        <f>MAX(MIN(1, (Fuzzy_Parameters!$C$12 - Sheet6!D6)/(Fuzzy_Parameters!$C$12 - Fuzzy_Parameters!$C$11)), 0)</f>
        <v>0.6608236982</v>
      </c>
      <c r="G6" s="25">
        <f>MAX(MIN((Sheet6!D6 - Fuzzy_Parameters!$C$11)/(Fuzzy_Parameters!$C$12 - Fuzzy_Parameters!$C$11), 1, (Fuzzy_Parameters!$C$14 - Sheet6!D6)/(Fuzzy_Parameters!$C$14 - Fuzzy_Parameters!$C$13)), 0)</f>
        <v>0.3391763018</v>
      </c>
      <c r="H6" s="25">
        <f>MAX(MIN((Sheet6!D6 - Fuzzy_Parameters!$C$13)/(Fuzzy_Parameters!$C$14 - Fuzzy_Parameters!$C$13), 1), 0)</f>
        <v>0</v>
      </c>
      <c r="I6" s="25">
        <f>MAX(MIN(1, (Fuzzy_Parameters!$C$20 - Sheet6!E6)/(Fuzzy_Parameters!$C$20 - Fuzzy_Parameters!$C$19)), 0)</f>
        <v>0</v>
      </c>
      <c r="J6" s="25">
        <f>MAX(MIN((Sheet6!E6 - Fuzzy_Parameters!$C$19)/(Fuzzy_Parameters!$C$20 - Fuzzy_Parameters!$C$19), 1, (Fuzzy_Parameters!$C$22 - Sheet6!E6)/(Fuzzy_Parameters!$C$22 - Fuzzy_Parameters!$C$21)), 0)</f>
        <v>0</v>
      </c>
      <c r="K6" s="25">
        <f>MAX(MIN((Sheet6!E6 - Fuzzy_Parameters!$C$21)/(Fuzzy_Parameters!$C$22 - Fuzzy_Parameters!$C$21), 1), 0)</f>
        <v>1</v>
      </c>
      <c r="L6" s="25">
        <f>MAX(MIN(1, (Fuzzy_Parameters!$C$28 - Sheet6!F6)/(Fuzzy_Parameters!$C$28 - Fuzzy_Parameters!$C$27)), 0)</f>
        <v>0</v>
      </c>
      <c r="M6" s="25">
        <f>MAX(MIN((Sheet6!F6 - Fuzzy_Parameters!$C$27)/(Fuzzy_Parameters!$C$28 - Fuzzy_Parameters!$C$27), 1, (Fuzzy_Parameters!$C$30 - Sheet6!F6)/(Fuzzy_Parameters!$C$30 - Fuzzy_Parameters!$C$29)), 0)</f>
        <v>1</v>
      </c>
      <c r="N6" s="25">
        <f>MAX(MIN((Sheet6!F6 - Fuzzy_Parameters!$C$29)/(Fuzzy_Parameters!$C$30 - Fuzzy_Parameters!$C$29), 1), 0)</f>
        <v>0</v>
      </c>
    </row>
    <row r="7">
      <c r="A7" s="6" t="s">
        <v>1</v>
      </c>
      <c r="B7" s="26">
        <v>2017.0</v>
      </c>
      <c r="C7" s="25">
        <f>MAX(MIN(1, (Fuzzy_Parameters!$C$4 - Sheet6!C7)/(Fuzzy_Parameters!$C$4 - Fuzzy_Parameters!$C$3)), 0)</f>
        <v>0.04236246371</v>
      </c>
      <c r="D7" s="25">
        <f>MAX(MIN((Sheet6!C7 - Fuzzy_Parameters!$C$3)/(Fuzzy_Parameters!$C$4 - Fuzzy_Parameters!$C$3), 1, (Fuzzy_Parameters!$C$6 - Sheet6!C7)/(Fuzzy_Parameters!$C$6 - Fuzzy_Parameters!$C$5)), 0)</f>
        <v>0.9576375363</v>
      </c>
      <c r="E7" s="25">
        <f>MAX(MIN((Sheet6!C7 - Fuzzy_Parameters!$C$5)/(Fuzzy_Parameters!$C$6 - Fuzzy_Parameters!$C$5), 1), 0)</f>
        <v>0</v>
      </c>
      <c r="F7" s="25">
        <f>MAX(MIN(1, (Fuzzy_Parameters!$C$12 - Sheet6!D7)/(Fuzzy_Parameters!$C$12 - Fuzzy_Parameters!$C$11)), 0)</f>
        <v>1</v>
      </c>
      <c r="G7" s="25">
        <f>MAX(MIN((Sheet6!D7 - Fuzzy_Parameters!$C$11)/(Fuzzy_Parameters!$C$12 - Fuzzy_Parameters!$C$11), 1, (Fuzzy_Parameters!$C$14 - Sheet6!D7)/(Fuzzy_Parameters!$C$14 - Fuzzy_Parameters!$C$13)), 0)</f>
        <v>0</v>
      </c>
      <c r="H7" s="25">
        <f>MAX(MIN((Sheet6!D7 - Fuzzy_Parameters!$C$13)/(Fuzzy_Parameters!$C$14 - Fuzzy_Parameters!$C$13), 1), 0)</f>
        <v>0</v>
      </c>
      <c r="I7" s="25">
        <f>MAX(MIN(1, (Fuzzy_Parameters!$C$20 - Sheet6!E7)/(Fuzzy_Parameters!$C$20 - Fuzzy_Parameters!$C$19)), 0)</f>
        <v>0</v>
      </c>
      <c r="J7" s="25">
        <f>MAX(MIN((Sheet6!E7 - Fuzzy_Parameters!$C$19)/(Fuzzy_Parameters!$C$20 - Fuzzy_Parameters!$C$19), 1, (Fuzzy_Parameters!$C$22 - Sheet6!E7)/(Fuzzy_Parameters!$C$22 - Fuzzy_Parameters!$C$21)), 0)</f>
        <v>0</v>
      </c>
      <c r="K7" s="25">
        <f>MAX(MIN((Sheet6!E7 - Fuzzy_Parameters!$C$21)/(Fuzzy_Parameters!$C$22 - Fuzzy_Parameters!$C$21), 1), 0)</f>
        <v>1</v>
      </c>
      <c r="L7" s="25">
        <f>MAX(MIN(1, (Fuzzy_Parameters!$C$28 - Sheet6!F7)/(Fuzzy_Parameters!$C$28 - Fuzzy_Parameters!$C$27)), 0)</f>
        <v>0</v>
      </c>
      <c r="M7" s="25">
        <f>MAX(MIN((Sheet6!F7 - Fuzzy_Parameters!$C$27)/(Fuzzy_Parameters!$C$28 - Fuzzy_Parameters!$C$27), 1, (Fuzzy_Parameters!$C$30 - Sheet6!F7)/(Fuzzy_Parameters!$C$30 - Fuzzy_Parameters!$C$29)), 0)</f>
        <v>1</v>
      </c>
      <c r="N7" s="25">
        <f>MAX(MIN((Sheet6!F7 - Fuzzy_Parameters!$C$29)/(Fuzzy_Parameters!$C$30 - Fuzzy_Parameters!$C$29), 1), 0)</f>
        <v>0</v>
      </c>
    </row>
    <row r="8">
      <c r="A8" s="6" t="s">
        <v>1</v>
      </c>
      <c r="B8" s="26">
        <v>2016.0</v>
      </c>
      <c r="C8" s="25">
        <f>MAX(MIN(1, (Fuzzy_Parameters!$C$4 - Sheet6!C8)/(Fuzzy_Parameters!$C$4 - Fuzzy_Parameters!$C$3)), 0)</f>
        <v>0.5886290851</v>
      </c>
      <c r="D8" s="25">
        <f>MAX(MIN((Sheet6!C8 - Fuzzy_Parameters!$C$3)/(Fuzzy_Parameters!$C$4 - Fuzzy_Parameters!$C$3), 1, (Fuzzy_Parameters!$C$6 - Sheet6!C8)/(Fuzzy_Parameters!$C$6 - Fuzzy_Parameters!$C$5)), 0)</f>
        <v>0.4113709149</v>
      </c>
      <c r="E8" s="25">
        <f>MAX(MIN((Sheet6!C8 - Fuzzy_Parameters!$C$5)/(Fuzzy_Parameters!$C$6 - Fuzzy_Parameters!$C$5), 1), 0)</f>
        <v>0</v>
      </c>
      <c r="F8" s="25">
        <f>MAX(MIN(1, (Fuzzy_Parameters!$C$12 - Sheet6!D8)/(Fuzzy_Parameters!$C$12 - Fuzzy_Parameters!$C$11)), 0)</f>
        <v>0</v>
      </c>
      <c r="G8" s="25">
        <f>MAX(MIN((Sheet6!D8 - Fuzzy_Parameters!$C$11)/(Fuzzy_Parameters!$C$12 - Fuzzy_Parameters!$C$11), 1, (Fuzzy_Parameters!$C$14 - Sheet6!D8)/(Fuzzy_Parameters!$C$14 - Fuzzy_Parameters!$C$13)), 0)</f>
        <v>1</v>
      </c>
      <c r="H8" s="25">
        <f>MAX(MIN((Sheet6!D8 - Fuzzy_Parameters!$C$13)/(Fuzzy_Parameters!$C$14 - Fuzzy_Parameters!$C$13), 1), 0)</f>
        <v>0</v>
      </c>
      <c r="I8" s="25">
        <f>MAX(MIN(1, (Fuzzy_Parameters!$C$20 - Sheet6!E8)/(Fuzzy_Parameters!$C$20 - Fuzzy_Parameters!$C$19)), 0)</f>
        <v>0</v>
      </c>
      <c r="J8" s="25">
        <f>MAX(MIN((Sheet6!E8 - Fuzzy_Parameters!$C$19)/(Fuzzy_Parameters!$C$20 - Fuzzy_Parameters!$C$19), 1, (Fuzzy_Parameters!$C$22 - Sheet6!E8)/(Fuzzy_Parameters!$C$22 - Fuzzy_Parameters!$C$21)), 0)</f>
        <v>0</v>
      </c>
      <c r="K8" s="25">
        <f>MAX(MIN((Sheet6!E8 - Fuzzy_Parameters!$C$21)/(Fuzzy_Parameters!$C$22 - Fuzzy_Parameters!$C$21), 1), 0)</f>
        <v>1</v>
      </c>
      <c r="L8" s="25">
        <f>MAX(MIN(1, (Fuzzy_Parameters!$C$28 - Sheet6!F8)/(Fuzzy_Parameters!$C$28 - Fuzzy_Parameters!$C$27)), 0)</f>
        <v>0</v>
      </c>
      <c r="M8" s="25">
        <f>MAX(MIN((Sheet6!F8 - Fuzzy_Parameters!$C$27)/(Fuzzy_Parameters!$C$28 - Fuzzy_Parameters!$C$27), 1, (Fuzzy_Parameters!$C$30 - Sheet6!F8)/(Fuzzy_Parameters!$C$30 - Fuzzy_Parameters!$C$29)), 0)</f>
        <v>1</v>
      </c>
      <c r="N8" s="25">
        <f>MAX(MIN((Sheet6!F8 - Fuzzy_Parameters!$C$29)/(Fuzzy_Parameters!$C$30 - Fuzzy_Parameters!$C$29), 1), 0)</f>
        <v>0</v>
      </c>
    </row>
    <row r="9">
      <c r="A9" s="6" t="s">
        <v>1</v>
      </c>
      <c r="B9" s="26">
        <v>2015.0</v>
      </c>
      <c r="C9" s="25">
        <f>MAX(MIN(1, (Fuzzy_Parameters!$C$4 - Sheet6!C9)/(Fuzzy_Parameters!$C$4 - Fuzzy_Parameters!$C$3)), 0)</f>
        <v>0.9018946112</v>
      </c>
      <c r="D9" s="25">
        <f>MAX(MIN((Sheet6!C9 - Fuzzy_Parameters!$C$3)/(Fuzzy_Parameters!$C$4 - Fuzzy_Parameters!$C$3), 1, (Fuzzy_Parameters!$C$6 - Sheet6!C9)/(Fuzzy_Parameters!$C$6 - Fuzzy_Parameters!$C$5)), 0)</f>
        <v>0.09810538884</v>
      </c>
      <c r="E9" s="25">
        <f>MAX(MIN((Sheet6!C9 - Fuzzy_Parameters!$C$5)/(Fuzzy_Parameters!$C$6 - Fuzzy_Parameters!$C$5), 1), 0)</f>
        <v>0</v>
      </c>
      <c r="F9" s="25">
        <f>MAX(MIN(1, (Fuzzy_Parameters!$C$12 - Sheet6!D9)/(Fuzzy_Parameters!$C$12 - Fuzzy_Parameters!$C$11)), 0)</f>
        <v>0.4408411258</v>
      </c>
      <c r="G9" s="25">
        <f>MAX(MIN((Sheet6!D9 - Fuzzy_Parameters!$C$11)/(Fuzzy_Parameters!$C$12 - Fuzzy_Parameters!$C$11), 1, (Fuzzy_Parameters!$C$14 - Sheet6!D9)/(Fuzzy_Parameters!$C$14 - Fuzzy_Parameters!$C$13)), 0)</f>
        <v>0.5591588742</v>
      </c>
      <c r="H9" s="25">
        <f>MAX(MIN((Sheet6!D9 - Fuzzy_Parameters!$C$13)/(Fuzzy_Parameters!$C$14 - Fuzzy_Parameters!$C$13), 1), 0)</f>
        <v>0</v>
      </c>
      <c r="I9" s="25">
        <f>MAX(MIN(1, (Fuzzy_Parameters!$C$20 - Sheet6!E9)/(Fuzzy_Parameters!$C$20 - Fuzzy_Parameters!$C$19)), 0)</f>
        <v>0</v>
      </c>
      <c r="J9" s="25">
        <f>MAX(MIN((Sheet6!E9 - Fuzzy_Parameters!$C$19)/(Fuzzy_Parameters!$C$20 - Fuzzy_Parameters!$C$19), 1, (Fuzzy_Parameters!$C$22 - Sheet6!E9)/(Fuzzy_Parameters!$C$22 - Fuzzy_Parameters!$C$21)), 0)</f>
        <v>0</v>
      </c>
      <c r="K9" s="25">
        <f>MAX(MIN((Sheet6!E9 - Fuzzy_Parameters!$C$21)/(Fuzzy_Parameters!$C$22 - Fuzzy_Parameters!$C$21), 1), 0)</f>
        <v>1</v>
      </c>
      <c r="L9" s="25">
        <f>MAX(MIN(1, (Fuzzy_Parameters!$C$28 - Sheet6!F9)/(Fuzzy_Parameters!$C$28 - Fuzzy_Parameters!$C$27)), 0)</f>
        <v>0</v>
      </c>
      <c r="M9" s="25">
        <f>MAX(MIN((Sheet6!F9 - Fuzzy_Parameters!$C$27)/(Fuzzy_Parameters!$C$28 - Fuzzy_Parameters!$C$27), 1, (Fuzzy_Parameters!$C$30 - Sheet6!F9)/(Fuzzy_Parameters!$C$30 - Fuzzy_Parameters!$C$29)), 0)</f>
        <v>1</v>
      </c>
      <c r="N9" s="25">
        <f>MAX(MIN((Sheet6!F9 - Fuzzy_Parameters!$C$29)/(Fuzzy_Parameters!$C$30 - Fuzzy_Parameters!$C$29), 1), 0)</f>
        <v>0</v>
      </c>
    </row>
    <row r="10">
      <c r="A10" s="56" t="s">
        <v>1</v>
      </c>
      <c r="B10" s="57">
        <v>2014.0</v>
      </c>
      <c r="C10" s="25">
        <f>MAX(MIN(1, (Fuzzy_Parameters!$C$4 - Sheet6!C10)/(Fuzzy_Parameters!$C$4 - Fuzzy_Parameters!$C$3)), 0)</f>
        <v>1</v>
      </c>
      <c r="D10" s="25">
        <f>MAX(MIN((Sheet6!C10 - Fuzzy_Parameters!$C$3)/(Fuzzy_Parameters!$C$4 - Fuzzy_Parameters!$C$3), 1, (Fuzzy_Parameters!$C$6 - Sheet6!C10)/(Fuzzy_Parameters!$C$6 - Fuzzy_Parameters!$C$5)), 0)</f>
        <v>0</v>
      </c>
      <c r="E10" s="25">
        <f>MAX(MIN((Sheet6!C10 - Fuzzy_Parameters!$C$5)/(Fuzzy_Parameters!$C$6 - Fuzzy_Parameters!$C$5), 1), 0)</f>
        <v>0</v>
      </c>
      <c r="F10" s="25">
        <f>MAX(MIN(1, (Fuzzy_Parameters!$C$12 - Sheet6!D10)/(Fuzzy_Parameters!$C$12 - Fuzzy_Parameters!$C$11)), 0)</f>
        <v>0.2261173652</v>
      </c>
      <c r="G10" s="25">
        <f>MAX(MIN((Sheet6!D10 - Fuzzy_Parameters!$C$11)/(Fuzzy_Parameters!$C$12 - Fuzzy_Parameters!$C$11), 1, (Fuzzy_Parameters!$C$14 - Sheet6!D10)/(Fuzzy_Parameters!$C$14 - Fuzzy_Parameters!$C$13)), 0)</f>
        <v>0.7738826348</v>
      </c>
      <c r="H10" s="25">
        <f>MAX(MIN((Sheet6!D10 - Fuzzy_Parameters!$C$13)/(Fuzzy_Parameters!$C$14 - Fuzzy_Parameters!$C$13), 1), 0)</f>
        <v>0</v>
      </c>
      <c r="I10" s="25">
        <f>MAX(MIN(1, (Fuzzy_Parameters!$C$20 - Sheet6!E10)/(Fuzzy_Parameters!$C$20 - Fuzzy_Parameters!$C$19)), 0)</f>
        <v>0</v>
      </c>
      <c r="J10" s="25">
        <f>MAX(MIN((Sheet6!E10 - Fuzzy_Parameters!$C$19)/(Fuzzy_Parameters!$C$20 - Fuzzy_Parameters!$C$19), 1, (Fuzzy_Parameters!$C$22 - Sheet6!E10)/(Fuzzy_Parameters!$C$22 - Fuzzy_Parameters!$C$21)), 0)</f>
        <v>0</v>
      </c>
      <c r="K10" s="25">
        <f>MAX(MIN((Sheet6!E10 - Fuzzy_Parameters!$C$21)/(Fuzzy_Parameters!$C$22 - Fuzzy_Parameters!$C$21), 1), 0)</f>
        <v>1</v>
      </c>
      <c r="L10" s="25">
        <f>MAX(MIN(1, (Fuzzy_Parameters!$C$28 - Sheet6!F10)/(Fuzzy_Parameters!$C$28 - Fuzzy_Parameters!$C$27)), 0)</f>
        <v>0</v>
      </c>
      <c r="M10" s="25">
        <f>MAX(MIN((Sheet6!F10 - Fuzzy_Parameters!$C$27)/(Fuzzy_Parameters!$C$28 - Fuzzy_Parameters!$C$27), 1, (Fuzzy_Parameters!$C$30 - Sheet6!F10)/(Fuzzy_Parameters!$C$30 - Fuzzy_Parameters!$C$29)), 0)</f>
        <v>1</v>
      </c>
      <c r="N10" s="25">
        <f>MAX(MIN((Sheet6!F10 - Fuzzy_Parameters!$C$29)/(Fuzzy_Parameters!$C$30 - Fuzzy_Parameters!$C$29), 1), 0)</f>
        <v>0</v>
      </c>
    </row>
    <row r="11">
      <c r="A11" s="6" t="s">
        <v>2</v>
      </c>
      <c r="B11" s="26">
        <v>2022.0</v>
      </c>
      <c r="C11" s="25">
        <f>MAX(MIN(1, (Fuzzy_Parameters!$C$4 - Sheet6!C11)/(Fuzzy_Parameters!$C$4 - Fuzzy_Parameters!$C$3)), 0)</f>
        <v>0</v>
      </c>
      <c r="D11" s="25">
        <f>MAX(MIN((Sheet6!C11 - Fuzzy_Parameters!$C$3)/(Fuzzy_Parameters!$C$4 - Fuzzy_Parameters!$C$3), 1, (Fuzzy_Parameters!$C$6 - Sheet6!C11)/(Fuzzy_Parameters!$C$6 - Fuzzy_Parameters!$C$5)), 0)</f>
        <v>1</v>
      </c>
      <c r="E11" s="25">
        <f>MAX(MIN((Sheet6!C11 - Fuzzy_Parameters!$C$5)/(Fuzzy_Parameters!$C$6 - Fuzzy_Parameters!$C$5), 1), 0)</f>
        <v>0</v>
      </c>
      <c r="F11" s="25">
        <f>MAX(MIN(1, (Fuzzy_Parameters!$C$12 - Sheet6!D11)/(Fuzzy_Parameters!$C$12 - Fuzzy_Parameters!$C$11)), 0)</f>
        <v>0</v>
      </c>
      <c r="G11" s="25">
        <f>MAX(MIN((Sheet6!D11 - Fuzzy_Parameters!$C$11)/(Fuzzy_Parameters!$C$12 - Fuzzy_Parameters!$C$11), 1, (Fuzzy_Parameters!$C$14 - Sheet6!D11)/(Fuzzy_Parameters!$C$14 - Fuzzy_Parameters!$C$13)), 0)</f>
        <v>0</v>
      </c>
      <c r="H11" s="25">
        <f>MAX(MIN((Sheet6!D11 - Fuzzy_Parameters!$C$13)/(Fuzzy_Parameters!$C$14 - Fuzzy_Parameters!$C$13), 1), 0)</f>
        <v>1</v>
      </c>
      <c r="I11" s="25">
        <f>MAX(MIN(1, (Fuzzy_Parameters!$C$20 - Sheet6!E11)/(Fuzzy_Parameters!$C$20 - Fuzzy_Parameters!$C$19)), 0)</f>
        <v>0</v>
      </c>
      <c r="J11" s="25">
        <f>MAX(MIN((Sheet6!E11 - Fuzzy_Parameters!$C$19)/(Fuzzy_Parameters!$C$20 - Fuzzy_Parameters!$C$19), 1, (Fuzzy_Parameters!$C$22 - Sheet6!E11)/(Fuzzy_Parameters!$C$22 - Fuzzy_Parameters!$C$21)), 0)</f>
        <v>0</v>
      </c>
      <c r="K11" s="25">
        <f>MAX(MIN((Sheet6!E11 - Fuzzy_Parameters!$C$21)/(Fuzzy_Parameters!$C$22 - Fuzzy_Parameters!$C$21), 1), 0)</f>
        <v>1</v>
      </c>
      <c r="L11" s="25">
        <f>MAX(MIN(1, (Fuzzy_Parameters!$C$28 - Sheet6!F11)/(Fuzzy_Parameters!$C$28 - Fuzzy_Parameters!$C$27)), 0)</f>
        <v>1</v>
      </c>
      <c r="M11" s="25">
        <f>MAX(MIN((Sheet6!F11 - Fuzzy_Parameters!$C$27)/(Fuzzy_Parameters!$C$28 - Fuzzy_Parameters!$C$27), 1, (Fuzzy_Parameters!$C$30 - Sheet6!F11)/(Fuzzy_Parameters!$C$30 - Fuzzy_Parameters!$C$29)), 0)</f>
        <v>0</v>
      </c>
      <c r="N11" s="25">
        <f>MAX(MIN((Sheet6!F11 - Fuzzy_Parameters!$C$29)/(Fuzzy_Parameters!$C$30 - Fuzzy_Parameters!$C$29), 1), 0)</f>
        <v>0</v>
      </c>
    </row>
    <row r="12">
      <c r="A12" s="6" t="s">
        <v>2</v>
      </c>
      <c r="B12" s="26">
        <v>2021.0</v>
      </c>
      <c r="C12" s="25">
        <f>MAX(MIN(1, (Fuzzy_Parameters!$C$4 - Sheet6!C12)/(Fuzzy_Parameters!$C$4 - Fuzzy_Parameters!$C$3)), 0)</f>
        <v>0</v>
      </c>
      <c r="D12" s="25">
        <f>MAX(MIN((Sheet6!C12 - Fuzzy_Parameters!$C$3)/(Fuzzy_Parameters!$C$4 - Fuzzy_Parameters!$C$3), 1, (Fuzzy_Parameters!$C$6 - Sheet6!C12)/(Fuzzy_Parameters!$C$6 - Fuzzy_Parameters!$C$5)), 0)</f>
        <v>1</v>
      </c>
      <c r="E12" s="25">
        <f>MAX(MIN((Sheet6!C12 - Fuzzy_Parameters!$C$5)/(Fuzzy_Parameters!$C$6 - Fuzzy_Parameters!$C$5), 1), 0)</f>
        <v>0</v>
      </c>
      <c r="F12" s="25">
        <f>MAX(MIN(1, (Fuzzy_Parameters!$C$12 - Sheet6!D12)/(Fuzzy_Parameters!$C$12 - Fuzzy_Parameters!$C$11)), 0)</f>
        <v>0.4057844371</v>
      </c>
      <c r="G12" s="25">
        <f>MAX(MIN((Sheet6!D12 - Fuzzy_Parameters!$C$11)/(Fuzzy_Parameters!$C$12 - Fuzzy_Parameters!$C$11), 1, (Fuzzy_Parameters!$C$14 - Sheet6!D12)/(Fuzzy_Parameters!$C$14 - Fuzzy_Parameters!$C$13)), 0)</f>
        <v>0.5942155629</v>
      </c>
      <c r="H12" s="25">
        <f>MAX(MIN((Sheet6!D12 - Fuzzy_Parameters!$C$13)/(Fuzzy_Parameters!$C$14 - Fuzzy_Parameters!$C$13), 1), 0)</f>
        <v>0</v>
      </c>
      <c r="I12" s="25">
        <f>MAX(MIN(1, (Fuzzy_Parameters!$C$20 - Sheet6!E12)/(Fuzzy_Parameters!$C$20 - Fuzzy_Parameters!$C$19)), 0)</f>
        <v>0</v>
      </c>
      <c r="J12" s="25">
        <f>MAX(MIN((Sheet6!E12 - Fuzzy_Parameters!$C$19)/(Fuzzy_Parameters!$C$20 - Fuzzy_Parameters!$C$19), 1, (Fuzzy_Parameters!$C$22 - Sheet6!E12)/(Fuzzy_Parameters!$C$22 - Fuzzy_Parameters!$C$21)), 0)</f>
        <v>0</v>
      </c>
      <c r="K12" s="25">
        <f>MAX(MIN((Sheet6!E12 - Fuzzy_Parameters!$C$21)/(Fuzzy_Parameters!$C$22 - Fuzzy_Parameters!$C$21), 1), 0)</f>
        <v>1</v>
      </c>
      <c r="L12" s="25">
        <f>MAX(MIN(1, (Fuzzy_Parameters!$C$28 - Sheet6!F12)/(Fuzzy_Parameters!$C$28 - Fuzzy_Parameters!$C$27)), 0)</f>
        <v>1</v>
      </c>
      <c r="M12" s="25">
        <f>MAX(MIN((Sheet6!F12 - Fuzzy_Parameters!$C$27)/(Fuzzy_Parameters!$C$28 - Fuzzy_Parameters!$C$27), 1, (Fuzzy_Parameters!$C$30 - Sheet6!F12)/(Fuzzy_Parameters!$C$30 - Fuzzy_Parameters!$C$29)), 0)</f>
        <v>0</v>
      </c>
      <c r="N12" s="25">
        <f>MAX(MIN((Sheet6!F12 - Fuzzy_Parameters!$C$29)/(Fuzzy_Parameters!$C$30 - Fuzzy_Parameters!$C$29), 1), 0)</f>
        <v>0</v>
      </c>
    </row>
    <row r="13">
      <c r="A13" s="6" t="s">
        <v>2</v>
      </c>
      <c r="B13" s="26">
        <v>2020.0</v>
      </c>
      <c r="C13" s="25">
        <f>MAX(MIN(1, (Fuzzy_Parameters!$C$4 - Sheet6!C13)/(Fuzzy_Parameters!$C$4 - Fuzzy_Parameters!$C$3)), 0)</f>
        <v>0</v>
      </c>
      <c r="D13" s="25">
        <f>MAX(MIN((Sheet6!C13 - Fuzzy_Parameters!$C$3)/(Fuzzy_Parameters!$C$4 - Fuzzy_Parameters!$C$3), 1, (Fuzzy_Parameters!$C$6 - Sheet6!C13)/(Fuzzy_Parameters!$C$6 - Fuzzy_Parameters!$C$5)), 0)</f>
        <v>1</v>
      </c>
      <c r="E13" s="25">
        <f>MAX(MIN((Sheet6!C13 - Fuzzy_Parameters!$C$5)/(Fuzzy_Parameters!$C$6 - Fuzzy_Parameters!$C$5), 1), 0)</f>
        <v>0</v>
      </c>
      <c r="F13" s="25">
        <f>MAX(MIN(1, (Fuzzy_Parameters!$C$12 - Sheet6!D13)/(Fuzzy_Parameters!$C$12 - Fuzzy_Parameters!$C$11)), 0)</f>
        <v>0</v>
      </c>
      <c r="G13" s="25">
        <f>MAX(MIN((Sheet6!D13 - Fuzzy_Parameters!$C$11)/(Fuzzy_Parameters!$C$12 - Fuzzy_Parameters!$C$11), 1, (Fuzzy_Parameters!$C$14 - Sheet6!D13)/(Fuzzy_Parameters!$C$14 - Fuzzy_Parameters!$C$13)), 0)</f>
        <v>0</v>
      </c>
      <c r="H13" s="25">
        <f>MAX(MIN((Sheet6!D13 - Fuzzy_Parameters!$C$13)/(Fuzzy_Parameters!$C$14 - Fuzzy_Parameters!$C$13), 1), 0)</f>
        <v>1</v>
      </c>
      <c r="I13" s="25">
        <f>MAX(MIN(1, (Fuzzy_Parameters!$C$20 - Sheet6!E13)/(Fuzzy_Parameters!$C$20 - Fuzzy_Parameters!$C$19)), 0)</f>
        <v>0</v>
      </c>
      <c r="J13" s="25">
        <f>MAX(MIN((Sheet6!E13 - Fuzzy_Parameters!$C$19)/(Fuzzy_Parameters!$C$20 - Fuzzy_Parameters!$C$19), 1, (Fuzzy_Parameters!$C$22 - Sheet6!E13)/(Fuzzy_Parameters!$C$22 - Fuzzy_Parameters!$C$21)), 0)</f>
        <v>0</v>
      </c>
      <c r="K13" s="25">
        <f>MAX(MIN((Sheet6!E13 - Fuzzy_Parameters!$C$21)/(Fuzzy_Parameters!$C$22 - Fuzzy_Parameters!$C$21), 1), 0)</f>
        <v>1</v>
      </c>
      <c r="L13" s="25">
        <f>MAX(MIN(1, (Fuzzy_Parameters!$C$28 - Sheet6!F13)/(Fuzzy_Parameters!$C$28 - Fuzzy_Parameters!$C$27)), 0)</f>
        <v>1</v>
      </c>
      <c r="M13" s="25">
        <f>MAX(MIN((Sheet6!F13 - Fuzzy_Parameters!$C$27)/(Fuzzy_Parameters!$C$28 - Fuzzy_Parameters!$C$27), 1, (Fuzzy_Parameters!$C$30 - Sheet6!F13)/(Fuzzy_Parameters!$C$30 - Fuzzy_Parameters!$C$29)), 0)</f>
        <v>0</v>
      </c>
      <c r="N13" s="25">
        <f>MAX(MIN((Sheet6!F13 - Fuzzy_Parameters!$C$29)/(Fuzzy_Parameters!$C$30 - Fuzzy_Parameters!$C$29), 1), 0)</f>
        <v>0</v>
      </c>
    </row>
    <row r="14">
      <c r="A14" s="6" t="s">
        <v>2</v>
      </c>
      <c r="B14" s="26">
        <v>2019.0</v>
      </c>
      <c r="C14" s="25">
        <f>MAX(MIN(1, (Fuzzy_Parameters!$C$4 - Sheet6!C14)/(Fuzzy_Parameters!$C$4 - Fuzzy_Parameters!$C$3)), 0)</f>
        <v>0</v>
      </c>
      <c r="D14" s="25">
        <f>MAX(MIN((Sheet6!C14 - Fuzzy_Parameters!$C$3)/(Fuzzy_Parameters!$C$4 - Fuzzy_Parameters!$C$3), 1, (Fuzzy_Parameters!$C$6 - Sheet6!C14)/(Fuzzy_Parameters!$C$6 - Fuzzy_Parameters!$C$5)), 0)</f>
        <v>1</v>
      </c>
      <c r="E14" s="25">
        <f>MAX(MIN((Sheet6!C14 - Fuzzy_Parameters!$C$5)/(Fuzzy_Parameters!$C$6 - Fuzzy_Parameters!$C$5), 1), 0)</f>
        <v>0</v>
      </c>
      <c r="F14" s="25">
        <f>MAX(MIN(1, (Fuzzy_Parameters!$C$12 - Sheet6!D14)/(Fuzzy_Parameters!$C$12 - Fuzzy_Parameters!$C$11)), 0)</f>
        <v>0</v>
      </c>
      <c r="G14" s="25">
        <f>MAX(MIN((Sheet6!D14 - Fuzzy_Parameters!$C$11)/(Fuzzy_Parameters!$C$12 - Fuzzy_Parameters!$C$11), 1, (Fuzzy_Parameters!$C$14 - Sheet6!D14)/(Fuzzy_Parameters!$C$14 - Fuzzy_Parameters!$C$13)), 0)</f>
        <v>0.158338107</v>
      </c>
      <c r="H14" s="25">
        <f>MAX(MIN((Sheet6!D14 - Fuzzy_Parameters!$C$13)/(Fuzzy_Parameters!$C$14 - Fuzzy_Parameters!$C$13), 1), 0)</f>
        <v>0.841661893</v>
      </c>
      <c r="I14" s="25">
        <f>MAX(MIN(1, (Fuzzy_Parameters!$C$20 - Sheet6!E14)/(Fuzzy_Parameters!$C$20 - Fuzzy_Parameters!$C$19)), 0)</f>
        <v>0</v>
      </c>
      <c r="J14" s="25">
        <f>MAX(MIN((Sheet6!E14 - Fuzzy_Parameters!$C$19)/(Fuzzy_Parameters!$C$20 - Fuzzy_Parameters!$C$19), 1, (Fuzzy_Parameters!$C$22 - Sheet6!E14)/(Fuzzy_Parameters!$C$22 - Fuzzy_Parameters!$C$21)), 0)</f>
        <v>0</v>
      </c>
      <c r="K14" s="25">
        <f>MAX(MIN((Sheet6!E14 - Fuzzy_Parameters!$C$21)/(Fuzzy_Parameters!$C$22 - Fuzzy_Parameters!$C$21), 1), 0)</f>
        <v>1</v>
      </c>
      <c r="L14" s="25">
        <f>MAX(MIN(1, (Fuzzy_Parameters!$C$28 - Sheet6!F14)/(Fuzzy_Parameters!$C$28 - Fuzzy_Parameters!$C$27)), 0)</f>
        <v>1</v>
      </c>
      <c r="M14" s="25">
        <f>MAX(MIN((Sheet6!F14 - Fuzzy_Parameters!$C$27)/(Fuzzy_Parameters!$C$28 - Fuzzy_Parameters!$C$27), 1, (Fuzzy_Parameters!$C$30 - Sheet6!F14)/(Fuzzy_Parameters!$C$30 - Fuzzy_Parameters!$C$29)), 0)</f>
        <v>0</v>
      </c>
      <c r="N14" s="25">
        <f>MAX(MIN((Sheet6!F14 - Fuzzy_Parameters!$C$29)/(Fuzzy_Parameters!$C$30 - Fuzzy_Parameters!$C$29), 1), 0)</f>
        <v>0</v>
      </c>
    </row>
    <row r="15">
      <c r="A15" s="6" t="s">
        <v>2</v>
      </c>
      <c r="B15" s="26">
        <v>2018.0</v>
      </c>
      <c r="C15" s="25">
        <f>MAX(MIN(1, (Fuzzy_Parameters!$C$4 - Sheet6!C15)/(Fuzzy_Parameters!$C$4 - Fuzzy_Parameters!$C$3)), 0)</f>
        <v>0</v>
      </c>
      <c r="D15" s="25">
        <f>MAX(MIN((Sheet6!C15 - Fuzzy_Parameters!$C$3)/(Fuzzy_Parameters!$C$4 - Fuzzy_Parameters!$C$3), 1, (Fuzzy_Parameters!$C$6 - Sheet6!C15)/(Fuzzy_Parameters!$C$6 - Fuzzy_Parameters!$C$5)), 0)</f>
        <v>1</v>
      </c>
      <c r="E15" s="25">
        <f>MAX(MIN((Sheet6!C15 - Fuzzy_Parameters!$C$5)/(Fuzzy_Parameters!$C$6 - Fuzzy_Parameters!$C$5), 1), 0)</f>
        <v>0</v>
      </c>
      <c r="F15" s="25">
        <f>MAX(MIN(1, (Fuzzy_Parameters!$C$12 - Sheet6!D15)/(Fuzzy_Parameters!$C$12 - Fuzzy_Parameters!$C$11)), 0)</f>
        <v>0</v>
      </c>
      <c r="G15" s="25">
        <f>MAX(MIN((Sheet6!D15 - Fuzzy_Parameters!$C$11)/(Fuzzy_Parameters!$C$12 - Fuzzy_Parameters!$C$11), 1, (Fuzzy_Parameters!$C$14 - Sheet6!D15)/(Fuzzy_Parameters!$C$14 - Fuzzy_Parameters!$C$13)), 0)</f>
        <v>0</v>
      </c>
      <c r="H15" s="25">
        <f>MAX(MIN((Sheet6!D15 - Fuzzy_Parameters!$C$13)/(Fuzzy_Parameters!$C$14 - Fuzzy_Parameters!$C$13), 1), 0)</f>
        <v>1</v>
      </c>
      <c r="I15" s="25">
        <f>MAX(MIN(1, (Fuzzy_Parameters!$C$20 - Sheet6!E15)/(Fuzzy_Parameters!$C$20 - Fuzzy_Parameters!$C$19)), 0)</f>
        <v>0</v>
      </c>
      <c r="J15" s="25">
        <f>MAX(MIN((Sheet6!E15 - Fuzzy_Parameters!$C$19)/(Fuzzy_Parameters!$C$20 - Fuzzy_Parameters!$C$19), 1, (Fuzzy_Parameters!$C$22 - Sheet6!E15)/(Fuzzy_Parameters!$C$22 - Fuzzy_Parameters!$C$21)), 0)</f>
        <v>0</v>
      </c>
      <c r="K15" s="25">
        <f>MAX(MIN((Sheet6!E15 - Fuzzy_Parameters!$C$21)/(Fuzzy_Parameters!$C$22 - Fuzzy_Parameters!$C$21), 1), 0)</f>
        <v>1</v>
      </c>
      <c r="L15" s="25">
        <f>MAX(MIN(1, (Fuzzy_Parameters!$C$28 - Sheet6!F15)/(Fuzzy_Parameters!$C$28 - Fuzzy_Parameters!$C$27)), 0)</f>
        <v>1</v>
      </c>
      <c r="M15" s="25">
        <f>MAX(MIN((Sheet6!F15 - Fuzzy_Parameters!$C$27)/(Fuzzy_Parameters!$C$28 - Fuzzy_Parameters!$C$27), 1, (Fuzzy_Parameters!$C$30 - Sheet6!F15)/(Fuzzy_Parameters!$C$30 - Fuzzy_Parameters!$C$29)), 0)</f>
        <v>0</v>
      </c>
      <c r="N15" s="25">
        <f>MAX(MIN((Sheet6!F15 - Fuzzy_Parameters!$C$29)/(Fuzzy_Parameters!$C$30 - Fuzzy_Parameters!$C$29), 1), 0)</f>
        <v>0</v>
      </c>
    </row>
    <row r="16">
      <c r="A16" s="6" t="s">
        <v>2</v>
      </c>
      <c r="B16" s="26">
        <v>2017.0</v>
      </c>
      <c r="C16" s="25">
        <f>MAX(MIN(1, (Fuzzy_Parameters!$C$4 - Sheet6!C16)/(Fuzzy_Parameters!$C$4 - Fuzzy_Parameters!$C$3)), 0)</f>
        <v>0</v>
      </c>
      <c r="D16" s="25">
        <f>MAX(MIN((Sheet6!C16 - Fuzzy_Parameters!$C$3)/(Fuzzy_Parameters!$C$4 - Fuzzy_Parameters!$C$3), 1, (Fuzzy_Parameters!$C$6 - Sheet6!C16)/(Fuzzy_Parameters!$C$6 - Fuzzy_Parameters!$C$5)), 0)</f>
        <v>1</v>
      </c>
      <c r="E16" s="25">
        <f>MAX(MIN((Sheet6!C16 - Fuzzy_Parameters!$C$5)/(Fuzzy_Parameters!$C$6 - Fuzzy_Parameters!$C$5), 1), 0)</f>
        <v>0</v>
      </c>
      <c r="F16" s="25">
        <f>MAX(MIN(1, (Fuzzy_Parameters!$C$12 - Sheet6!D16)/(Fuzzy_Parameters!$C$12 - Fuzzy_Parameters!$C$11)), 0)</f>
        <v>0</v>
      </c>
      <c r="G16" s="25">
        <f>MAX(MIN((Sheet6!D16 - Fuzzy_Parameters!$C$11)/(Fuzzy_Parameters!$C$12 - Fuzzy_Parameters!$C$11), 1, (Fuzzy_Parameters!$C$14 - Sheet6!D16)/(Fuzzy_Parameters!$C$14 - Fuzzy_Parameters!$C$13)), 0)</f>
        <v>0.1740595856</v>
      </c>
      <c r="H16" s="25">
        <f>MAX(MIN((Sheet6!D16 - Fuzzy_Parameters!$C$13)/(Fuzzy_Parameters!$C$14 - Fuzzy_Parameters!$C$13), 1), 0)</f>
        <v>0.8259404144</v>
      </c>
      <c r="I16" s="25">
        <f>MAX(MIN(1, (Fuzzy_Parameters!$C$20 - Sheet6!E16)/(Fuzzy_Parameters!$C$20 - Fuzzy_Parameters!$C$19)), 0)</f>
        <v>0</v>
      </c>
      <c r="J16" s="25">
        <f>MAX(MIN((Sheet6!E16 - Fuzzy_Parameters!$C$19)/(Fuzzy_Parameters!$C$20 - Fuzzy_Parameters!$C$19), 1, (Fuzzy_Parameters!$C$22 - Sheet6!E16)/(Fuzzy_Parameters!$C$22 - Fuzzy_Parameters!$C$21)), 0)</f>
        <v>0</v>
      </c>
      <c r="K16" s="25">
        <f>MAX(MIN((Sheet6!E16 - Fuzzy_Parameters!$C$21)/(Fuzzy_Parameters!$C$22 - Fuzzy_Parameters!$C$21), 1), 0)</f>
        <v>1</v>
      </c>
      <c r="L16" s="25">
        <f>MAX(MIN(1, (Fuzzy_Parameters!$C$28 - Sheet6!F16)/(Fuzzy_Parameters!$C$28 - Fuzzy_Parameters!$C$27)), 0)</f>
        <v>1</v>
      </c>
      <c r="M16" s="25">
        <f>MAX(MIN((Sheet6!F16 - Fuzzy_Parameters!$C$27)/(Fuzzy_Parameters!$C$28 - Fuzzy_Parameters!$C$27), 1, (Fuzzy_Parameters!$C$30 - Sheet6!F16)/(Fuzzy_Parameters!$C$30 - Fuzzy_Parameters!$C$29)), 0)</f>
        <v>0</v>
      </c>
      <c r="N16" s="25">
        <f>MAX(MIN((Sheet6!F16 - Fuzzy_Parameters!$C$29)/(Fuzzy_Parameters!$C$30 - Fuzzy_Parameters!$C$29), 1), 0)</f>
        <v>0</v>
      </c>
    </row>
    <row r="17">
      <c r="A17" s="6" t="s">
        <v>2</v>
      </c>
      <c r="B17" s="26">
        <v>2016.0</v>
      </c>
      <c r="C17" s="25">
        <f>MAX(MIN(1, (Fuzzy_Parameters!$C$4 - Sheet6!C17)/(Fuzzy_Parameters!$C$4 - Fuzzy_Parameters!$C$3)), 0)</f>
        <v>0.120401448</v>
      </c>
      <c r="D17" s="25">
        <f>MAX(MIN((Sheet6!C17 - Fuzzy_Parameters!$C$3)/(Fuzzy_Parameters!$C$4 - Fuzzy_Parameters!$C$3), 1, (Fuzzy_Parameters!$C$6 - Sheet6!C17)/(Fuzzy_Parameters!$C$6 - Fuzzy_Parameters!$C$5)), 0)</f>
        <v>0.879598552</v>
      </c>
      <c r="E17" s="25">
        <f>MAX(MIN((Sheet6!C17 - Fuzzy_Parameters!$C$5)/(Fuzzy_Parameters!$C$6 - Fuzzy_Parameters!$C$5), 1), 0)</f>
        <v>0</v>
      </c>
      <c r="F17" s="25">
        <f>MAX(MIN(1, (Fuzzy_Parameters!$C$12 - Sheet6!D17)/(Fuzzy_Parameters!$C$12 - Fuzzy_Parameters!$C$11)), 0)</f>
        <v>0</v>
      </c>
      <c r="G17" s="25">
        <f>MAX(MIN((Sheet6!D17 - Fuzzy_Parameters!$C$11)/(Fuzzy_Parameters!$C$12 - Fuzzy_Parameters!$C$11), 1, (Fuzzy_Parameters!$C$14 - Sheet6!D17)/(Fuzzy_Parameters!$C$14 - Fuzzy_Parameters!$C$13)), 0)</f>
        <v>0.3756319111</v>
      </c>
      <c r="H17" s="25">
        <f>MAX(MIN((Sheet6!D17 - Fuzzy_Parameters!$C$13)/(Fuzzy_Parameters!$C$14 - Fuzzy_Parameters!$C$13), 1), 0)</f>
        <v>0.6243680889</v>
      </c>
      <c r="I17" s="25">
        <f>MAX(MIN(1, (Fuzzy_Parameters!$C$20 - Sheet6!E17)/(Fuzzy_Parameters!$C$20 - Fuzzy_Parameters!$C$19)), 0)</f>
        <v>0</v>
      </c>
      <c r="J17" s="25">
        <f>MAX(MIN((Sheet6!E17 - Fuzzy_Parameters!$C$19)/(Fuzzy_Parameters!$C$20 - Fuzzy_Parameters!$C$19), 1, (Fuzzy_Parameters!$C$22 - Sheet6!E17)/(Fuzzy_Parameters!$C$22 - Fuzzy_Parameters!$C$21)), 0)</f>
        <v>0.04186046512</v>
      </c>
      <c r="K17" s="25">
        <f>MAX(MIN((Sheet6!E17 - Fuzzy_Parameters!$C$21)/(Fuzzy_Parameters!$C$22 - Fuzzy_Parameters!$C$21), 1), 0)</f>
        <v>0.9581395349</v>
      </c>
      <c r="L17" s="25">
        <f>MAX(MIN(1, (Fuzzy_Parameters!$C$28 - Sheet6!F17)/(Fuzzy_Parameters!$C$28 - Fuzzy_Parameters!$C$27)), 0)</f>
        <v>1</v>
      </c>
      <c r="M17" s="25">
        <f>MAX(MIN((Sheet6!F17 - Fuzzy_Parameters!$C$27)/(Fuzzy_Parameters!$C$28 - Fuzzy_Parameters!$C$27), 1, (Fuzzy_Parameters!$C$30 - Sheet6!F17)/(Fuzzy_Parameters!$C$30 - Fuzzy_Parameters!$C$29)), 0)</f>
        <v>0</v>
      </c>
      <c r="N17" s="25">
        <f>MAX(MIN((Sheet6!F17 - Fuzzy_Parameters!$C$29)/(Fuzzy_Parameters!$C$30 - Fuzzy_Parameters!$C$29), 1), 0)</f>
        <v>0</v>
      </c>
    </row>
    <row r="18">
      <c r="A18" s="6" t="s">
        <v>2</v>
      </c>
      <c r="B18" s="26">
        <v>2015.0</v>
      </c>
      <c r="C18" s="25">
        <f>MAX(MIN(1, (Fuzzy_Parameters!$C$4 - Sheet6!C18)/(Fuzzy_Parameters!$C$4 - Fuzzy_Parameters!$C$3)), 0)</f>
        <v>0.5273133373</v>
      </c>
      <c r="D18" s="25">
        <f>MAX(MIN((Sheet6!C18 - Fuzzy_Parameters!$C$3)/(Fuzzy_Parameters!$C$4 - Fuzzy_Parameters!$C$3), 1, (Fuzzy_Parameters!$C$6 - Sheet6!C18)/(Fuzzy_Parameters!$C$6 - Fuzzy_Parameters!$C$5)), 0)</f>
        <v>0.4726866627</v>
      </c>
      <c r="E18" s="25">
        <f>MAX(MIN((Sheet6!C18 - Fuzzy_Parameters!$C$5)/(Fuzzy_Parameters!$C$6 - Fuzzy_Parameters!$C$5), 1), 0)</f>
        <v>0</v>
      </c>
      <c r="F18" s="25">
        <f>MAX(MIN(1, (Fuzzy_Parameters!$C$12 - Sheet6!D18)/(Fuzzy_Parameters!$C$12 - Fuzzy_Parameters!$C$11)), 0)</f>
        <v>0</v>
      </c>
      <c r="G18" s="25">
        <f>MAX(MIN((Sheet6!D18 - Fuzzy_Parameters!$C$11)/(Fuzzy_Parameters!$C$12 - Fuzzy_Parameters!$C$11), 1, (Fuzzy_Parameters!$C$14 - Sheet6!D18)/(Fuzzy_Parameters!$C$14 - Fuzzy_Parameters!$C$13)), 0)</f>
        <v>0.02695100639</v>
      </c>
      <c r="H18" s="25">
        <f>MAX(MIN((Sheet6!D18 - Fuzzy_Parameters!$C$13)/(Fuzzy_Parameters!$C$14 - Fuzzy_Parameters!$C$13), 1), 0)</f>
        <v>0.9730489936</v>
      </c>
      <c r="I18" s="25">
        <f>MAX(MIN(1, (Fuzzy_Parameters!$C$20 - Sheet6!E18)/(Fuzzy_Parameters!$C$20 - Fuzzy_Parameters!$C$19)), 0)</f>
        <v>0</v>
      </c>
      <c r="J18" s="25">
        <f>MAX(MIN((Sheet6!E18 - Fuzzy_Parameters!$C$19)/(Fuzzy_Parameters!$C$20 - Fuzzy_Parameters!$C$19), 1, (Fuzzy_Parameters!$C$22 - Sheet6!E18)/(Fuzzy_Parameters!$C$22 - Fuzzy_Parameters!$C$21)), 0)</f>
        <v>0.2139534884</v>
      </c>
      <c r="K18" s="25">
        <f>MAX(MIN((Sheet6!E18 - Fuzzy_Parameters!$C$21)/(Fuzzy_Parameters!$C$22 - Fuzzy_Parameters!$C$21), 1), 0)</f>
        <v>0.7860465116</v>
      </c>
      <c r="L18" s="25">
        <f>MAX(MIN(1, (Fuzzy_Parameters!$C$28 - Sheet6!F18)/(Fuzzy_Parameters!$C$28 - Fuzzy_Parameters!$C$27)), 0)</f>
        <v>1</v>
      </c>
      <c r="M18" s="25">
        <f>MAX(MIN((Sheet6!F18 - Fuzzy_Parameters!$C$27)/(Fuzzy_Parameters!$C$28 - Fuzzy_Parameters!$C$27), 1, (Fuzzy_Parameters!$C$30 - Sheet6!F18)/(Fuzzy_Parameters!$C$30 - Fuzzy_Parameters!$C$29)), 0)</f>
        <v>0</v>
      </c>
      <c r="N18" s="25">
        <f>MAX(MIN((Sheet6!F18 - Fuzzy_Parameters!$C$29)/(Fuzzy_Parameters!$C$30 - Fuzzy_Parameters!$C$29), 1), 0)</f>
        <v>0</v>
      </c>
    </row>
    <row r="19">
      <c r="A19" s="56" t="s">
        <v>2</v>
      </c>
      <c r="B19" s="57">
        <v>2014.0</v>
      </c>
      <c r="C19" s="25">
        <f>MAX(MIN(1, (Fuzzy_Parameters!$C$4 - Sheet6!C19)/(Fuzzy_Parameters!$C$4 - Fuzzy_Parameters!$C$3)), 0)</f>
        <v>0.7313272108</v>
      </c>
      <c r="D19" s="25">
        <f>MAX(MIN((Sheet6!C19 - Fuzzy_Parameters!$C$3)/(Fuzzy_Parameters!$C$4 - Fuzzy_Parameters!$C$3), 1, (Fuzzy_Parameters!$C$6 - Sheet6!C19)/(Fuzzy_Parameters!$C$6 - Fuzzy_Parameters!$C$5)), 0)</f>
        <v>0.2686727892</v>
      </c>
      <c r="E19" s="25">
        <f>MAX(MIN((Sheet6!C19 - Fuzzy_Parameters!$C$5)/(Fuzzy_Parameters!$C$6 - Fuzzy_Parameters!$C$5), 1), 0)</f>
        <v>0</v>
      </c>
      <c r="F19" s="25">
        <f>MAX(MIN(1, (Fuzzy_Parameters!$C$12 - Sheet6!D19)/(Fuzzy_Parameters!$C$12 - Fuzzy_Parameters!$C$11)), 0)</f>
        <v>0</v>
      </c>
      <c r="G19" s="25">
        <f>MAX(MIN((Sheet6!D19 - Fuzzy_Parameters!$C$11)/(Fuzzy_Parameters!$C$12 - Fuzzy_Parameters!$C$11), 1, (Fuzzy_Parameters!$C$14 - Sheet6!D19)/(Fuzzy_Parameters!$C$14 - Fuzzy_Parameters!$C$13)), 0)</f>
        <v>0.03930391423</v>
      </c>
      <c r="H19" s="25">
        <f>MAX(MIN((Sheet6!D19 - Fuzzy_Parameters!$C$13)/(Fuzzy_Parameters!$C$14 - Fuzzy_Parameters!$C$13), 1), 0)</f>
        <v>0.9606960858</v>
      </c>
      <c r="I19" s="25">
        <f>MAX(MIN(1, (Fuzzy_Parameters!$C$20 - Sheet6!E19)/(Fuzzy_Parameters!$C$20 - Fuzzy_Parameters!$C$19)), 0)</f>
        <v>0</v>
      </c>
      <c r="J19" s="25">
        <f>MAX(MIN((Sheet6!E19 - Fuzzy_Parameters!$C$19)/(Fuzzy_Parameters!$C$20 - Fuzzy_Parameters!$C$19), 1, (Fuzzy_Parameters!$C$22 - Sheet6!E19)/(Fuzzy_Parameters!$C$22 - Fuzzy_Parameters!$C$21)), 0)</f>
        <v>0.8418604651</v>
      </c>
      <c r="K19" s="25">
        <f>MAX(MIN((Sheet6!E19 - Fuzzy_Parameters!$C$21)/(Fuzzy_Parameters!$C$22 - Fuzzy_Parameters!$C$21), 1), 0)</f>
        <v>0.1581395349</v>
      </c>
      <c r="L19" s="25">
        <f>MAX(MIN(1, (Fuzzy_Parameters!$C$28 - Sheet6!F19)/(Fuzzy_Parameters!$C$28 - Fuzzy_Parameters!$C$27)), 0)</f>
        <v>1</v>
      </c>
      <c r="M19" s="25">
        <f>MAX(MIN((Sheet6!F19 - Fuzzy_Parameters!$C$27)/(Fuzzy_Parameters!$C$28 - Fuzzy_Parameters!$C$27), 1, (Fuzzy_Parameters!$C$30 - Sheet6!F19)/(Fuzzy_Parameters!$C$30 - Fuzzy_Parameters!$C$29)), 0)</f>
        <v>0</v>
      </c>
      <c r="N19" s="25">
        <f>MAX(MIN((Sheet6!F19 - Fuzzy_Parameters!$C$29)/(Fuzzy_Parameters!$C$30 - Fuzzy_Parameters!$C$29), 1), 0)</f>
        <v>0</v>
      </c>
    </row>
    <row r="20">
      <c r="A20" s="6" t="s">
        <v>3</v>
      </c>
      <c r="B20" s="26">
        <v>2022.0</v>
      </c>
      <c r="C20" s="25">
        <f>MAX(MIN(1, (Fuzzy_Parameters!$C$4 - Sheet6!C20)/(Fuzzy_Parameters!$C$4 - Fuzzy_Parameters!$C$3)), 0)</f>
        <v>0</v>
      </c>
      <c r="D20" s="25">
        <f>MAX(MIN((Sheet6!C20 - Fuzzy_Parameters!$C$3)/(Fuzzy_Parameters!$C$4 - Fuzzy_Parameters!$C$3), 1, (Fuzzy_Parameters!$C$6 - Sheet6!C20)/(Fuzzy_Parameters!$C$6 - Fuzzy_Parameters!$C$5)), 0)</f>
        <v>0.8248874835</v>
      </c>
      <c r="E20" s="25">
        <f>MAX(MIN((Sheet6!C20 - Fuzzy_Parameters!$C$5)/(Fuzzy_Parameters!$C$6 - Fuzzy_Parameters!$C$5), 1), 0)</f>
        <v>0.1751125165</v>
      </c>
      <c r="F20" s="25">
        <f>MAX(MIN(1, (Fuzzy_Parameters!$C$12 - Sheet6!D20)/(Fuzzy_Parameters!$C$12 - Fuzzy_Parameters!$C$11)), 0)</f>
        <v>1</v>
      </c>
      <c r="G20" s="25">
        <f>MAX(MIN((Sheet6!D20 - Fuzzy_Parameters!$C$11)/(Fuzzy_Parameters!$C$12 - Fuzzy_Parameters!$C$11), 1, (Fuzzy_Parameters!$C$14 - Sheet6!D20)/(Fuzzy_Parameters!$C$14 - Fuzzy_Parameters!$C$13)), 0)</f>
        <v>0</v>
      </c>
      <c r="H20" s="25">
        <f>MAX(MIN((Sheet6!D20 - Fuzzy_Parameters!$C$13)/(Fuzzy_Parameters!$C$14 - Fuzzy_Parameters!$C$13), 1), 0)</f>
        <v>0</v>
      </c>
      <c r="I20" s="25">
        <f>MAX(MIN(1, (Fuzzy_Parameters!$C$20 - Sheet6!E20)/(Fuzzy_Parameters!$C$20 - Fuzzy_Parameters!$C$19)), 0)</f>
        <v>0</v>
      </c>
      <c r="J20" s="25">
        <f>MAX(MIN((Sheet6!E20 - Fuzzy_Parameters!$C$19)/(Fuzzy_Parameters!$C$20 - Fuzzy_Parameters!$C$19), 1, (Fuzzy_Parameters!$C$22 - Sheet6!E20)/(Fuzzy_Parameters!$C$22 - Fuzzy_Parameters!$C$21)), 0)</f>
        <v>1</v>
      </c>
      <c r="K20" s="25">
        <f>MAX(MIN((Sheet6!E20 - Fuzzy_Parameters!$C$21)/(Fuzzy_Parameters!$C$22 - Fuzzy_Parameters!$C$21), 1), 0)</f>
        <v>0</v>
      </c>
      <c r="L20" s="25">
        <f>MAX(MIN(1, (Fuzzy_Parameters!$C$28 - Sheet6!F20)/(Fuzzy_Parameters!$C$28 - Fuzzy_Parameters!$C$27)), 0)</f>
        <v>0</v>
      </c>
      <c r="M20" s="25">
        <f>MAX(MIN((Sheet6!F20 - Fuzzy_Parameters!$C$27)/(Fuzzy_Parameters!$C$28 - Fuzzy_Parameters!$C$27), 1, (Fuzzy_Parameters!$C$30 - Sheet6!F20)/(Fuzzy_Parameters!$C$30 - Fuzzy_Parameters!$C$29)), 0)</f>
        <v>0</v>
      </c>
      <c r="N20" s="25">
        <f>MAX(MIN((Sheet6!F20 - Fuzzy_Parameters!$C$29)/(Fuzzy_Parameters!$C$30 - Fuzzy_Parameters!$C$29), 1), 0)</f>
        <v>1</v>
      </c>
    </row>
    <row r="21">
      <c r="A21" s="6" t="s">
        <v>3</v>
      </c>
      <c r="B21" s="26">
        <v>2021.0</v>
      </c>
      <c r="C21" s="25">
        <f>MAX(MIN(1, (Fuzzy_Parameters!$C$4 - Sheet6!C21)/(Fuzzy_Parameters!$C$4 - Fuzzy_Parameters!$C$3)), 0)</f>
        <v>0</v>
      </c>
      <c r="D21" s="25">
        <f>MAX(MIN((Sheet6!C21 - Fuzzy_Parameters!$C$3)/(Fuzzy_Parameters!$C$4 - Fuzzy_Parameters!$C$3), 1, (Fuzzy_Parameters!$C$6 - Sheet6!C21)/(Fuzzy_Parameters!$C$6 - Fuzzy_Parameters!$C$5)), 0)</f>
        <v>1</v>
      </c>
      <c r="E21" s="25">
        <f>MAX(MIN((Sheet6!C21 - Fuzzy_Parameters!$C$5)/(Fuzzy_Parameters!$C$6 - Fuzzy_Parameters!$C$5), 1), 0)</f>
        <v>0</v>
      </c>
      <c r="F21" s="25">
        <f>MAX(MIN(1, (Fuzzy_Parameters!$C$12 - Sheet6!D21)/(Fuzzy_Parameters!$C$12 - Fuzzy_Parameters!$C$11)), 0)</f>
        <v>1</v>
      </c>
      <c r="G21" s="25">
        <f>MAX(MIN((Sheet6!D21 - Fuzzy_Parameters!$C$11)/(Fuzzy_Parameters!$C$12 - Fuzzy_Parameters!$C$11), 1, (Fuzzy_Parameters!$C$14 - Sheet6!D21)/(Fuzzy_Parameters!$C$14 - Fuzzy_Parameters!$C$13)), 0)</f>
        <v>0</v>
      </c>
      <c r="H21" s="25">
        <f>MAX(MIN((Sheet6!D21 - Fuzzy_Parameters!$C$13)/(Fuzzy_Parameters!$C$14 - Fuzzy_Parameters!$C$13), 1), 0)</f>
        <v>0</v>
      </c>
      <c r="I21" s="25">
        <f>MAX(MIN(1, (Fuzzy_Parameters!$C$20 - Sheet6!E21)/(Fuzzy_Parameters!$C$20 - Fuzzy_Parameters!$C$19)), 0)</f>
        <v>0</v>
      </c>
      <c r="J21" s="25">
        <f>MAX(MIN((Sheet6!E21 - Fuzzy_Parameters!$C$19)/(Fuzzy_Parameters!$C$20 - Fuzzy_Parameters!$C$19), 1, (Fuzzy_Parameters!$C$22 - Sheet6!E21)/(Fuzzy_Parameters!$C$22 - Fuzzy_Parameters!$C$21)), 0)</f>
        <v>1</v>
      </c>
      <c r="K21" s="25">
        <f>MAX(MIN((Sheet6!E21 - Fuzzy_Parameters!$C$21)/(Fuzzy_Parameters!$C$22 - Fuzzy_Parameters!$C$21), 1), 0)</f>
        <v>0</v>
      </c>
      <c r="L21" s="25">
        <f>MAX(MIN(1, (Fuzzy_Parameters!$C$28 - Sheet6!F21)/(Fuzzy_Parameters!$C$28 - Fuzzy_Parameters!$C$27)), 0)</f>
        <v>0</v>
      </c>
      <c r="M21" s="25">
        <f>MAX(MIN((Sheet6!F21 - Fuzzy_Parameters!$C$27)/(Fuzzy_Parameters!$C$28 - Fuzzy_Parameters!$C$27), 1, (Fuzzy_Parameters!$C$30 - Sheet6!F21)/(Fuzzy_Parameters!$C$30 - Fuzzy_Parameters!$C$29)), 0)</f>
        <v>0</v>
      </c>
      <c r="N21" s="25">
        <f>MAX(MIN((Sheet6!F21 - Fuzzy_Parameters!$C$29)/(Fuzzy_Parameters!$C$30 - Fuzzy_Parameters!$C$29), 1), 0)</f>
        <v>1</v>
      </c>
    </row>
    <row r="22">
      <c r="A22" s="6" t="s">
        <v>3</v>
      </c>
      <c r="B22" s="26">
        <v>2020.0</v>
      </c>
      <c r="C22" s="25">
        <f>MAX(MIN(1, (Fuzzy_Parameters!$C$4 - Sheet6!C22)/(Fuzzy_Parameters!$C$4 - Fuzzy_Parameters!$C$3)), 0)</f>
        <v>1</v>
      </c>
      <c r="D22" s="25">
        <f>MAX(MIN((Sheet6!C22 - Fuzzy_Parameters!$C$3)/(Fuzzy_Parameters!$C$4 - Fuzzy_Parameters!$C$3), 1, (Fuzzy_Parameters!$C$6 - Sheet6!C22)/(Fuzzy_Parameters!$C$6 - Fuzzy_Parameters!$C$5)), 0)</f>
        <v>0</v>
      </c>
      <c r="E22" s="25">
        <f>MAX(MIN((Sheet6!C22 - Fuzzy_Parameters!$C$5)/(Fuzzy_Parameters!$C$6 - Fuzzy_Parameters!$C$5), 1), 0)</f>
        <v>0</v>
      </c>
      <c r="F22" s="25">
        <f>MAX(MIN(1, (Fuzzy_Parameters!$C$12 - Sheet6!D22)/(Fuzzy_Parameters!$C$12 - Fuzzy_Parameters!$C$11)), 0)</f>
        <v>1</v>
      </c>
      <c r="G22" s="25">
        <f>MAX(MIN((Sheet6!D22 - Fuzzy_Parameters!$C$11)/(Fuzzy_Parameters!$C$12 - Fuzzy_Parameters!$C$11), 1, (Fuzzy_Parameters!$C$14 - Sheet6!D22)/(Fuzzy_Parameters!$C$14 - Fuzzy_Parameters!$C$13)), 0)</f>
        <v>0</v>
      </c>
      <c r="H22" s="25">
        <f>MAX(MIN((Sheet6!D22 - Fuzzy_Parameters!$C$13)/(Fuzzy_Parameters!$C$14 - Fuzzy_Parameters!$C$13), 1), 0)</f>
        <v>0</v>
      </c>
      <c r="I22" s="25">
        <f>MAX(MIN(1, (Fuzzy_Parameters!$C$20 - Sheet6!E22)/(Fuzzy_Parameters!$C$20 - Fuzzy_Parameters!$C$19)), 0)</f>
        <v>0.7580645161</v>
      </c>
      <c r="J22" s="25">
        <f>MAX(MIN((Sheet6!E22 - Fuzzy_Parameters!$C$19)/(Fuzzy_Parameters!$C$20 - Fuzzy_Parameters!$C$19), 1, (Fuzzy_Parameters!$C$22 - Sheet6!E22)/(Fuzzy_Parameters!$C$22 - Fuzzy_Parameters!$C$21)), 0)</f>
        <v>0.2419354839</v>
      </c>
      <c r="K22" s="25">
        <f>MAX(MIN((Sheet6!E22 - Fuzzy_Parameters!$C$21)/(Fuzzy_Parameters!$C$22 - Fuzzy_Parameters!$C$21), 1), 0)</f>
        <v>0</v>
      </c>
      <c r="L22" s="25">
        <f>MAX(MIN(1, (Fuzzy_Parameters!$C$28 - Sheet6!F22)/(Fuzzy_Parameters!$C$28 - Fuzzy_Parameters!$C$27)), 0)</f>
        <v>0</v>
      </c>
      <c r="M22" s="25">
        <f>MAX(MIN((Sheet6!F22 - Fuzzy_Parameters!$C$27)/(Fuzzy_Parameters!$C$28 - Fuzzy_Parameters!$C$27), 1, (Fuzzy_Parameters!$C$30 - Sheet6!F22)/(Fuzzy_Parameters!$C$30 - Fuzzy_Parameters!$C$29)), 0)</f>
        <v>0</v>
      </c>
      <c r="N22" s="25">
        <f>MAX(MIN((Sheet6!F22 - Fuzzy_Parameters!$C$29)/(Fuzzy_Parameters!$C$30 - Fuzzy_Parameters!$C$29), 1), 0)</f>
        <v>1</v>
      </c>
    </row>
    <row r="23">
      <c r="A23" s="6" t="s">
        <v>3</v>
      </c>
      <c r="B23" s="26">
        <v>2019.0</v>
      </c>
      <c r="C23" s="25">
        <f>MAX(MIN(1, (Fuzzy_Parameters!$C$4 - Sheet6!C23)/(Fuzzy_Parameters!$C$4 - Fuzzy_Parameters!$C$3)), 0)</f>
        <v>0</v>
      </c>
      <c r="D23" s="25">
        <f>MAX(MIN((Sheet6!C23 - Fuzzy_Parameters!$C$3)/(Fuzzy_Parameters!$C$4 - Fuzzy_Parameters!$C$3), 1, (Fuzzy_Parameters!$C$6 - Sheet6!C23)/(Fuzzy_Parameters!$C$6 - Fuzzy_Parameters!$C$5)), 0)</f>
        <v>1</v>
      </c>
      <c r="E23" s="25">
        <f>MAX(MIN((Sheet6!C23 - Fuzzy_Parameters!$C$5)/(Fuzzy_Parameters!$C$6 - Fuzzy_Parameters!$C$5), 1), 0)</f>
        <v>0</v>
      </c>
      <c r="F23" s="25">
        <f>MAX(MIN(1, (Fuzzy_Parameters!$C$12 - Sheet6!D23)/(Fuzzy_Parameters!$C$12 - Fuzzy_Parameters!$C$11)), 0)</f>
        <v>1</v>
      </c>
      <c r="G23" s="25">
        <f>MAX(MIN((Sheet6!D23 - Fuzzy_Parameters!$C$11)/(Fuzzy_Parameters!$C$12 - Fuzzy_Parameters!$C$11), 1, (Fuzzy_Parameters!$C$14 - Sheet6!D23)/(Fuzzy_Parameters!$C$14 - Fuzzy_Parameters!$C$13)), 0)</f>
        <v>0</v>
      </c>
      <c r="H23" s="25">
        <f>MAX(MIN((Sheet6!D23 - Fuzzy_Parameters!$C$13)/(Fuzzy_Parameters!$C$14 - Fuzzy_Parameters!$C$13), 1), 0)</f>
        <v>0</v>
      </c>
      <c r="I23" s="25">
        <f>MAX(MIN(1, (Fuzzy_Parameters!$C$20 - Sheet6!E23)/(Fuzzy_Parameters!$C$20 - Fuzzy_Parameters!$C$19)), 0)</f>
        <v>0</v>
      </c>
      <c r="J23" s="25">
        <f>MAX(MIN((Sheet6!E23 - Fuzzy_Parameters!$C$19)/(Fuzzy_Parameters!$C$20 - Fuzzy_Parameters!$C$19), 1, (Fuzzy_Parameters!$C$22 - Sheet6!E23)/(Fuzzy_Parameters!$C$22 - Fuzzy_Parameters!$C$21)), 0)</f>
        <v>1</v>
      </c>
      <c r="K23" s="25">
        <f>MAX(MIN((Sheet6!E23 - Fuzzy_Parameters!$C$21)/(Fuzzy_Parameters!$C$22 - Fuzzy_Parameters!$C$21), 1), 0)</f>
        <v>0</v>
      </c>
      <c r="L23" s="25">
        <f>MAX(MIN(1, (Fuzzy_Parameters!$C$28 - Sheet6!F23)/(Fuzzy_Parameters!$C$28 - Fuzzy_Parameters!$C$27)), 0)</f>
        <v>0</v>
      </c>
      <c r="M23" s="25">
        <f>MAX(MIN((Sheet6!F23 - Fuzzy_Parameters!$C$27)/(Fuzzy_Parameters!$C$28 - Fuzzy_Parameters!$C$27), 1, (Fuzzy_Parameters!$C$30 - Sheet6!F23)/(Fuzzy_Parameters!$C$30 - Fuzzy_Parameters!$C$29)), 0)</f>
        <v>0</v>
      </c>
      <c r="N23" s="25">
        <f>MAX(MIN((Sheet6!F23 - Fuzzy_Parameters!$C$29)/(Fuzzy_Parameters!$C$30 - Fuzzy_Parameters!$C$29), 1), 0)</f>
        <v>1</v>
      </c>
    </row>
    <row r="24">
      <c r="A24" s="6" t="s">
        <v>3</v>
      </c>
      <c r="B24" s="26">
        <v>2018.0</v>
      </c>
      <c r="C24" s="25">
        <f>MAX(MIN(1, (Fuzzy_Parameters!$C$4 - Sheet6!C24)/(Fuzzy_Parameters!$C$4 - Fuzzy_Parameters!$C$3)), 0)</f>
        <v>1</v>
      </c>
      <c r="D24" s="25">
        <f>MAX(MIN((Sheet6!C24 - Fuzzy_Parameters!$C$3)/(Fuzzy_Parameters!$C$4 - Fuzzy_Parameters!$C$3), 1, (Fuzzy_Parameters!$C$6 - Sheet6!C24)/(Fuzzy_Parameters!$C$6 - Fuzzy_Parameters!$C$5)), 0)</f>
        <v>0</v>
      </c>
      <c r="E24" s="25">
        <f>MAX(MIN((Sheet6!C24 - Fuzzy_Parameters!$C$5)/(Fuzzy_Parameters!$C$6 - Fuzzy_Parameters!$C$5), 1), 0)</f>
        <v>0</v>
      </c>
      <c r="F24" s="25">
        <f>MAX(MIN(1, (Fuzzy_Parameters!$C$12 - Sheet6!D24)/(Fuzzy_Parameters!$C$12 - Fuzzy_Parameters!$C$11)), 0)</f>
        <v>1</v>
      </c>
      <c r="G24" s="25">
        <f>MAX(MIN((Sheet6!D24 - Fuzzy_Parameters!$C$11)/(Fuzzy_Parameters!$C$12 - Fuzzy_Parameters!$C$11), 1, (Fuzzy_Parameters!$C$14 - Sheet6!D24)/(Fuzzy_Parameters!$C$14 - Fuzzy_Parameters!$C$13)), 0)</f>
        <v>0</v>
      </c>
      <c r="H24" s="25">
        <f>MAX(MIN((Sheet6!D24 - Fuzzy_Parameters!$C$13)/(Fuzzy_Parameters!$C$14 - Fuzzy_Parameters!$C$13), 1), 0)</f>
        <v>0</v>
      </c>
      <c r="I24" s="25">
        <f>MAX(MIN(1, (Fuzzy_Parameters!$C$20 - Sheet6!E24)/(Fuzzy_Parameters!$C$20 - Fuzzy_Parameters!$C$19)), 0)</f>
        <v>0</v>
      </c>
      <c r="J24" s="25">
        <f>MAX(MIN((Sheet6!E24 - Fuzzy_Parameters!$C$19)/(Fuzzy_Parameters!$C$20 - Fuzzy_Parameters!$C$19), 1, (Fuzzy_Parameters!$C$22 - Sheet6!E24)/(Fuzzy_Parameters!$C$22 - Fuzzy_Parameters!$C$21)), 0)</f>
        <v>1</v>
      </c>
      <c r="K24" s="25">
        <f>MAX(MIN((Sheet6!E24 - Fuzzy_Parameters!$C$21)/(Fuzzy_Parameters!$C$22 - Fuzzy_Parameters!$C$21), 1), 0)</f>
        <v>0</v>
      </c>
      <c r="L24" s="25">
        <f>MAX(MIN(1, (Fuzzy_Parameters!$C$28 - Sheet6!F24)/(Fuzzy_Parameters!$C$28 - Fuzzy_Parameters!$C$27)), 0)</f>
        <v>0</v>
      </c>
      <c r="M24" s="25">
        <f>MAX(MIN((Sheet6!F24 - Fuzzy_Parameters!$C$27)/(Fuzzy_Parameters!$C$28 - Fuzzy_Parameters!$C$27), 1, (Fuzzy_Parameters!$C$30 - Sheet6!F24)/(Fuzzy_Parameters!$C$30 - Fuzzy_Parameters!$C$29)), 0)</f>
        <v>0</v>
      </c>
      <c r="N24" s="25">
        <f>MAX(MIN((Sheet6!F24 - Fuzzy_Parameters!$C$29)/(Fuzzy_Parameters!$C$30 - Fuzzy_Parameters!$C$29), 1), 0)</f>
        <v>1</v>
      </c>
    </row>
    <row r="25">
      <c r="A25" s="6" t="s">
        <v>3</v>
      </c>
      <c r="B25" s="26">
        <v>2017.0</v>
      </c>
      <c r="C25" s="25">
        <f>MAX(MIN(1, (Fuzzy_Parameters!$C$4 - Sheet6!C25)/(Fuzzy_Parameters!$C$4 - Fuzzy_Parameters!$C$3)), 0)</f>
        <v>0.3110375681</v>
      </c>
      <c r="D25" s="25">
        <f>MAX(MIN((Sheet6!C25 - Fuzzy_Parameters!$C$3)/(Fuzzy_Parameters!$C$4 - Fuzzy_Parameters!$C$3), 1, (Fuzzy_Parameters!$C$6 - Sheet6!C25)/(Fuzzy_Parameters!$C$6 - Fuzzy_Parameters!$C$5)), 0)</f>
        <v>0.6889624319</v>
      </c>
      <c r="E25" s="25">
        <f>MAX(MIN((Sheet6!C25 - Fuzzy_Parameters!$C$5)/(Fuzzy_Parameters!$C$6 - Fuzzy_Parameters!$C$5), 1), 0)</f>
        <v>0</v>
      </c>
      <c r="F25" s="25">
        <f>MAX(MIN(1, (Fuzzy_Parameters!$C$12 - Sheet6!D25)/(Fuzzy_Parameters!$C$12 - Fuzzy_Parameters!$C$11)), 0)</f>
        <v>1</v>
      </c>
      <c r="G25" s="25">
        <f>MAX(MIN((Sheet6!D25 - Fuzzy_Parameters!$C$11)/(Fuzzy_Parameters!$C$12 - Fuzzy_Parameters!$C$11), 1, (Fuzzy_Parameters!$C$14 - Sheet6!D25)/(Fuzzy_Parameters!$C$14 - Fuzzy_Parameters!$C$13)), 0)</f>
        <v>0</v>
      </c>
      <c r="H25" s="25">
        <f>MAX(MIN((Sheet6!D25 - Fuzzy_Parameters!$C$13)/(Fuzzy_Parameters!$C$14 - Fuzzy_Parameters!$C$13), 1), 0)</f>
        <v>0</v>
      </c>
      <c r="I25" s="25">
        <f>MAX(MIN(1, (Fuzzy_Parameters!$C$20 - Sheet6!E25)/(Fuzzy_Parameters!$C$20 - Fuzzy_Parameters!$C$19)), 0)</f>
        <v>0.01612903226</v>
      </c>
      <c r="J25" s="25">
        <f>MAX(MIN((Sheet6!E25 - Fuzzy_Parameters!$C$19)/(Fuzzy_Parameters!$C$20 - Fuzzy_Parameters!$C$19), 1, (Fuzzy_Parameters!$C$22 - Sheet6!E25)/(Fuzzy_Parameters!$C$22 - Fuzzy_Parameters!$C$21)), 0)</f>
        <v>0.9838709677</v>
      </c>
      <c r="K25" s="25">
        <f>MAX(MIN((Sheet6!E25 - Fuzzy_Parameters!$C$21)/(Fuzzy_Parameters!$C$22 - Fuzzy_Parameters!$C$21), 1), 0)</f>
        <v>0</v>
      </c>
      <c r="L25" s="25">
        <f>MAX(MIN(1, (Fuzzy_Parameters!$C$28 - Sheet6!F25)/(Fuzzy_Parameters!$C$28 - Fuzzy_Parameters!$C$27)), 0)</f>
        <v>0</v>
      </c>
      <c r="M25" s="25">
        <f>MAX(MIN((Sheet6!F25 - Fuzzy_Parameters!$C$27)/(Fuzzy_Parameters!$C$28 - Fuzzy_Parameters!$C$27), 1, (Fuzzy_Parameters!$C$30 - Sheet6!F25)/(Fuzzy_Parameters!$C$30 - Fuzzy_Parameters!$C$29)), 0)</f>
        <v>0</v>
      </c>
      <c r="N25" s="25">
        <f>MAX(MIN((Sheet6!F25 - Fuzzy_Parameters!$C$29)/(Fuzzy_Parameters!$C$30 - Fuzzy_Parameters!$C$29), 1), 0)</f>
        <v>1</v>
      </c>
    </row>
    <row r="26">
      <c r="A26" s="6" t="s">
        <v>3</v>
      </c>
      <c r="B26" s="26">
        <v>2016.0</v>
      </c>
      <c r="C26" s="25">
        <f>MAX(MIN(1, (Fuzzy_Parameters!$C$4 - Sheet6!C26)/(Fuzzy_Parameters!$C$4 - Fuzzy_Parameters!$C$3)), 0)</f>
        <v>0</v>
      </c>
      <c r="D26" s="25">
        <f>MAX(MIN((Sheet6!C26 - Fuzzy_Parameters!$C$3)/(Fuzzy_Parameters!$C$4 - Fuzzy_Parameters!$C$3), 1, (Fuzzy_Parameters!$C$6 - Sheet6!C26)/(Fuzzy_Parameters!$C$6 - Fuzzy_Parameters!$C$5)), 0)</f>
        <v>1</v>
      </c>
      <c r="E26" s="25">
        <f>MAX(MIN((Sheet6!C26 - Fuzzy_Parameters!$C$5)/(Fuzzy_Parameters!$C$6 - Fuzzy_Parameters!$C$5), 1), 0)</f>
        <v>0</v>
      </c>
      <c r="F26" s="25">
        <f>MAX(MIN(1, (Fuzzy_Parameters!$C$12 - Sheet6!D26)/(Fuzzy_Parameters!$C$12 - Fuzzy_Parameters!$C$11)), 0)</f>
        <v>1</v>
      </c>
      <c r="G26" s="25">
        <f>MAX(MIN((Sheet6!D26 - Fuzzy_Parameters!$C$11)/(Fuzzy_Parameters!$C$12 - Fuzzy_Parameters!$C$11), 1, (Fuzzy_Parameters!$C$14 - Sheet6!D26)/(Fuzzy_Parameters!$C$14 - Fuzzy_Parameters!$C$13)), 0)</f>
        <v>0</v>
      </c>
      <c r="H26" s="25">
        <f>MAX(MIN((Sheet6!D26 - Fuzzy_Parameters!$C$13)/(Fuzzy_Parameters!$C$14 - Fuzzy_Parameters!$C$13), 1), 0)</f>
        <v>0</v>
      </c>
      <c r="I26" s="25">
        <f>MAX(MIN(1, (Fuzzy_Parameters!$C$20 - Sheet6!E26)/(Fuzzy_Parameters!$C$20 - Fuzzy_Parameters!$C$19)), 0)</f>
        <v>0.04838709677</v>
      </c>
      <c r="J26" s="25">
        <f>MAX(MIN((Sheet6!E26 - Fuzzy_Parameters!$C$19)/(Fuzzy_Parameters!$C$20 - Fuzzy_Parameters!$C$19), 1, (Fuzzy_Parameters!$C$22 - Sheet6!E26)/(Fuzzy_Parameters!$C$22 - Fuzzy_Parameters!$C$21)), 0)</f>
        <v>0.9516129032</v>
      </c>
      <c r="K26" s="25">
        <f>MAX(MIN((Sheet6!E26 - Fuzzy_Parameters!$C$21)/(Fuzzy_Parameters!$C$22 - Fuzzy_Parameters!$C$21), 1), 0)</f>
        <v>0</v>
      </c>
      <c r="L26" s="25">
        <f>MAX(MIN(1, (Fuzzy_Parameters!$C$28 - Sheet6!F26)/(Fuzzy_Parameters!$C$28 - Fuzzy_Parameters!$C$27)), 0)</f>
        <v>0</v>
      </c>
      <c r="M26" s="25">
        <f>MAX(MIN((Sheet6!F26 - Fuzzy_Parameters!$C$27)/(Fuzzy_Parameters!$C$28 - Fuzzy_Parameters!$C$27), 1, (Fuzzy_Parameters!$C$30 - Sheet6!F26)/(Fuzzy_Parameters!$C$30 - Fuzzy_Parameters!$C$29)), 0)</f>
        <v>0</v>
      </c>
      <c r="N26" s="25">
        <f>MAX(MIN((Sheet6!F26 - Fuzzy_Parameters!$C$29)/(Fuzzy_Parameters!$C$30 - Fuzzy_Parameters!$C$29), 1), 0)</f>
        <v>1</v>
      </c>
    </row>
    <row r="27">
      <c r="A27" s="6" t="s">
        <v>3</v>
      </c>
      <c r="B27" s="26">
        <v>2015.0</v>
      </c>
      <c r="C27" s="25">
        <f>MAX(MIN(1, (Fuzzy_Parameters!$C$4 - Sheet6!C27)/(Fuzzy_Parameters!$C$4 - Fuzzy_Parameters!$C$3)), 0)</f>
        <v>0</v>
      </c>
      <c r="D27" s="25">
        <f>MAX(MIN((Sheet6!C27 - Fuzzy_Parameters!$C$3)/(Fuzzy_Parameters!$C$4 - Fuzzy_Parameters!$C$3), 1, (Fuzzy_Parameters!$C$6 - Sheet6!C27)/(Fuzzy_Parameters!$C$6 - Fuzzy_Parameters!$C$5)), 0)</f>
        <v>1</v>
      </c>
      <c r="E27" s="25">
        <f>MAX(MIN((Sheet6!C27 - Fuzzy_Parameters!$C$5)/(Fuzzy_Parameters!$C$6 - Fuzzy_Parameters!$C$5), 1), 0)</f>
        <v>0</v>
      </c>
      <c r="F27" s="25">
        <f>MAX(MIN(1, (Fuzzy_Parameters!$C$12 - Sheet6!D27)/(Fuzzy_Parameters!$C$12 - Fuzzy_Parameters!$C$11)), 0)</f>
        <v>1</v>
      </c>
      <c r="G27" s="25">
        <f>MAX(MIN((Sheet6!D27 - Fuzzy_Parameters!$C$11)/(Fuzzy_Parameters!$C$12 - Fuzzy_Parameters!$C$11), 1, (Fuzzy_Parameters!$C$14 - Sheet6!D27)/(Fuzzy_Parameters!$C$14 - Fuzzy_Parameters!$C$13)), 0)</f>
        <v>0</v>
      </c>
      <c r="H27" s="25">
        <f>MAX(MIN((Sheet6!D27 - Fuzzy_Parameters!$C$13)/(Fuzzy_Parameters!$C$14 - Fuzzy_Parameters!$C$13), 1), 0)</f>
        <v>0</v>
      </c>
      <c r="I27" s="25">
        <f>MAX(MIN(1, (Fuzzy_Parameters!$C$20 - Sheet6!E27)/(Fuzzy_Parameters!$C$20 - Fuzzy_Parameters!$C$19)), 0)</f>
        <v>0</v>
      </c>
      <c r="J27" s="25">
        <f>MAX(MIN((Sheet6!E27 - Fuzzy_Parameters!$C$19)/(Fuzzy_Parameters!$C$20 - Fuzzy_Parameters!$C$19), 1, (Fuzzy_Parameters!$C$22 - Sheet6!E27)/(Fuzzy_Parameters!$C$22 - Fuzzy_Parameters!$C$21)), 0)</f>
        <v>1</v>
      </c>
      <c r="K27" s="25">
        <f>MAX(MIN((Sheet6!E27 - Fuzzy_Parameters!$C$21)/(Fuzzy_Parameters!$C$22 - Fuzzy_Parameters!$C$21), 1), 0)</f>
        <v>0</v>
      </c>
      <c r="L27" s="25">
        <f>MAX(MIN(1, (Fuzzy_Parameters!$C$28 - Sheet6!F27)/(Fuzzy_Parameters!$C$28 - Fuzzy_Parameters!$C$27)), 0)</f>
        <v>0</v>
      </c>
      <c r="M27" s="25">
        <f>MAX(MIN((Sheet6!F27 - Fuzzy_Parameters!$C$27)/(Fuzzy_Parameters!$C$28 - Fuzzy_Parameters!$C$27), 1, (Fuzzy_Parameters!$C$30 - Sheet6!F27)/(Fuzzy_Parameters!$C$30 - Fuzzy_Parameters!$C$29)), 0)</f>
        <v>0</v>
      </c>
      <c r="N27" s="25">
        <f>MAX(MIN((Sheet6!F27 - Fuzzy_Parameters!$C$29)/(Fuzzy_Parameters!$C$30 - Fuzzy_Parameters!$C$29), 1), 0)</f>
        <v>1</v>
      </c>
    </row>
    <row r="28">
      <c r="A28" s="56" t="s">
        <v>3</v>
      </c>
      <c r="B28" s="57">
        <v>2014.0</v>
      </c>
      <c r="C28" s="25">
        <f>MAX(MIN(1, (Fuzzy_Parameters!$C$4 - Sheet6!C28)/(Fuzzy_Parameters!$C$4 - Fuzzy_Parameters!$C$3)), 0)</f>
        <v>0</v>
      </c>
      <c r="D28" s="25">
        <f>MAX(MIN((Sheet6!C28 - Fuzzy_Parameters!$C$3)/(Fuzzy_Parameters!$C$4 - Fuzzy_Parameters!$C$3), 1, (Fuzzy_Parameters!$C$6 - Sheet6!C28)/(Fuzzy_Parameters!$C$6 - Fuzzy_Parameters!$C$5)), 0)</f>
        <v>0</v>
      </c>
      <c r="E28" s="25">
        <f>MAX(MIN((Sheet6!C28 - Fuzzy_Parameters!$C$5)/(Fuzzy_Parameters!$C$6 - Fuzzy_Parameters!$C$5), 1), 0)</f>
        <v>1</v>
      </c>
      <c r="F28" s="25">
        <f>MAX(MIN(1, (Fuzzy_Parameters!$C$12 - Sheet6!D28)/(Fuzzy_Parameters!$C$12 - Fuzzy_Parameters!$C$11)), 0)</f>
        <v>1</v>
      </c>
      <c r="G28" s="25">
        <f>MAX(MIN((Sheet6!D28 - Fuzzy_Parameters!$C$11)/(Fuzzy_Parameters!$C$12 - Fuzzy_Parameters!$C$11), 1, (Fuzzy_Parameters!$C$14 - Sheet6!D28)/(Fuzzy_Parameters!$C$14 - Fuzzy_Parameters!$C$13)), 0)</f>
        <v>0</v>
      </c>
      <c r="H28" s="25">
        <f>MAX(MIN((Sheet6!D28 - Fuzzy_Parameters!$C$13)/(Fuzzy_Parameters!$C$14 - Fuzzy_Parameters!$C$13), 1), 0)</f>
        <v>0</v>
      </c>
      <c r="I28" s="25">
        <f>MAX(MIN(1, (Fuzzy_Parameters!$C$20 - Sheet6!E28)/(Fuzzy_Parameters!$C$20 - Fuzzy_Parameters!$C$19)), 0)</f>
        <v>0.314516129</v>
      </c>
      <c r="J28" s="25">
        <f>MAX(MIN((Sheet6!E28 - Fuzzy_Parameters!$C$19)/(Fuzzy_Parameters!$C$20 - Fuzzy_Parameters!$C$19), 1, (Fuzzy_Parameters!$C$22 - Sheet6!E28)/(Fuzzy_Parameters!$C$22 - Fuzzy_Parameters!$C$21)), 0)</f>
        <v>0.685483871</v>
      </c>
      <c r="K28" s="25">
        <f>MAX(MIN((Sheet6!E28 - Fuzzy_Parameters!$C$21)/(Fuzzy_Parameters!$C$22 - Fuzzy_Parameters!$C$21), 1), 0)</f>
        <v>0</v>
      </c>
      <c r="L28" s="25">
        <f>MAX(MIN(1, (Fuzzy_Parameters!$C$28 - Sheet6!F28)/(Fuzzy_Parameters!$C$28 - Fuzzy_Parameters!$C$27)), 0)</f>
        <v>0</v>
      </c>
      <c r="M28" s="25">
        <f>MAX(MIN((Sheet6!F28 - Fuzzy_Parameters!$C$27)/(Fuzzy_Parameters!$C$28 - Fuzzy_Parameters!$C$27), 1, (Fuzzy_Parameters!$C$30 - Sheet6!F28)/(Fuzzy_Parameters!$C$30 - Fuzzy_Parameters!$C$29)), 0)</f>
        <v>0</v>
      </c>
      <c r="N28" s="25">
        <f>MAX(MIN((Sheet6!F28 - Fuzzy_Parameters!$C$29)/(Fuzzy_Parameters!$C$30 - Fuzzy_Parameters!$C$29), 1), 0)</f>
        <v>1</v>
      </c>
    </row>
    <row r="29">
      <c r="A29" s="6" t="s">
        <v>4</v>
      </c>
      <c r="B29" s="26">
        <v>2022.0</v>
      </c>
      <c r="C29" s="25">
        <f>MAX(MIN(1, (Fuzzy_Parameters!$C$4 - Sheet6!C29)/(Fuzzy_Parameters!$C$4 - Fuzzy_Parameters!$C$3)), 0)</f>
        <v>0</v>
      </c>
      <c r="D29" s="25">
        <f>MAX(MIN((Sheet6!C29 - Fuzzy_Parameters!$C$3)/(Fuzzy_Parameters!$C$4 - Fuzzy_Parameters!$C$3), 1, (Fuzzy_Parameters!$C$6 - Sheet6!C29)/(Fuzzy_Parameters!$C$6 - Fuzzy_Parameters!$C$5)), 0)</f>
        <v>1</v>
      </c>
      <c r="E29" s="25">
        <f>MAX(MIN((Sheet6!C29 - Fuzzy_Parameters!$C$5)/(Fuzzy_Parameters!$C$6 - Fuzzy_Parameters!$C$5), 1), 0)</f>
        <v>0</v>
      </c>
      <c r="F29" s="25">
        <f>MAX(MIN(1, (Fuzzy_Parameters!$C$12 - Sheet6!D29)/(Fuzzy_Parameters!$C$12 - Fuzzy_Parameters!$C$11)), 0)</f>
        <v>1</v>
      </c>
      <c r="G29" s="25">
        <f>MAX(MIN((Sheet6!D29 - Fuzzy_Parameters!$C$11)/(Fuzzy_Parameters!$C$12 - Fuzzy_Parameters!$C$11), 1, (Fuzzy_Parameters!$C$14 - Sheet6!D29)/(Fuzzy_Parameters!$C$14 - Fuzzy_Parameters!$C$13)), 0)</f>
        <v>0</v>
      </c>
      <c r="H29" s="25">
        <f>MAX(MIN((Sheet6!D29 - Fuzzy_Parameters!$C$13)/(Fuzzy_Parameters!$C$14 - Fuzzy_Parameters!$C$13), 1), 0)</f>
        <v>0</v>
      </c>
      <c r="I29" s="25">
        <f>MAX(MIN(1, (Fuzzy_Parameters!$C$20 - Sheet6!E29)/(Fuzzy_Parameters!$C$20 - Fuzzy_Parameters!$C$19)), 0)</f>
        <v>0</v>
      </c>
      <c r="J29" s="25">
        <f>MAX(MIN((Sheet6!E29 - Fuzzy_Parameters!$C$19)/(Fuzzy_Parameters!$C$20 - Fuzzy_Parameters!$C$19), 1, (Fuzzy_Parameters!$C$22 - Sheet6!E29)/(Fuzzy_Parameters!$C$22 - Fuzzy_Parameters!$C$21)), 0)</f>
        <v>0.911627907</v>
      </c>
      <c r="K29" s="25">
        <f>MAX(MIN((Sheet6!E29 - Fuzzy_Parameters!$C$21)/(Fuzzy_Parameters!$C$22 - Fuzzy_Parameters!$C$21), 1), 0)</f>
        <v>0.08837209302</v>
      </c>
      <c r="L29" s="25">
        <f>MAX(MIN(1, (Fuzzy_Parameters!$C$28 - Sheet6!F29)/(Fuzzy_Parameters!$C$28 - Fuzzy_Parameters!$C$27)), 0)</f>
        <v>0</v>
      </c>
      <c r="M29" s="25">
        <f>MAX(MIN((Sheet6!F29 - Fuzzy_Parameters!$C$27)/(Fuzzy_Parameters!$C$28 - Fuzzy_Parameters!$C$27), 1, (Fuzzy_Parameters!$C$30 - Sheet6!F29)/(Fuzzy_Parameters!$C$30 - Fuzzy_Parameters!$C$29)), 0)</f>
        <v>0.008261546707</v>
      </c>
      <c r="N29" s="25">
        <f>MAX(MIN((Sheet6!F29 - Fuzzy_Parameters!$C$29)/(Fuzzy_Parameters!$C$30 - Fuzzy_Parameters!$C$29), 1), 0)</f>
        <v>0.9917384533</v>
      </c>
    </row>
    <row r="30">
      <c r="A30" s="6" t="s">
        <v>4</v>
      </c>
      <c r="B30" s="26">
        <v>2021.0</v>
      </c>
      <c r="C30" s="25">
        <f>MAX(MIN(1, (Fuzzy_Parameters!$C$4 - Sheet6!C30)/(Fuzzy_Parameters!$C$4 - Fuzzy_Parameters!$C$3)), 0)</f>
        <v>0.8996649856</v>
      </c>
      <c r="D30" s="25">
        <f>MAX(MIN((Sheet6!C30 - Fuzzy_Parameters!$C$3)/(Fuzzy_Parameters!$C$4 - Fuzzy_Parameters!$C$3), 1, (Fuzzy_Parameters!$C$6 - Sheet6!C30)/(Fuzzy_Parameters!$C$6 - Fuzzy_Parameters!$C$5)), 0)</f>
        <v>0.1003350144</v>
      </c>
      <c r="E30" s="25">
        <f>MAX(MIN((Sheet6!C30 - Fuzzy_Parameters!$C$5)/(Fuzzy_Parameters!$C$6 - Fuzzy_Parameters!$C$5), 1), 0)</f>
        <v>0</v>
      </c>
      <c r="F30" s="25">
        <f>MAX(MIN(1, (Fuzzy_Parameters!$C$12 - Sheet6!D30)/(Fuzzy_Parameters!$C$12 - Fuzzy_Parameters!$C$11)), 0)</f>
        <v>1</v>
      </c>
      <c r="G30" s="25">
        <f>MAX(MIN((Sheet6!D30 - Fuzzy_Parameters!$C$11)/(Fuzzy_Parameters!$C$12 - Fuzzy_Parameters!$C$11), 1, (Fuzzy_Parameters!$C$14 - Sheet6!D30)/(Fuzzy_Parameters!$C$14 - Fuzzy_Parameters!$C$13)), 0)</f>
        <v>0</v>
      </c>
      <c r="H30" s="25">
        <f>MAX(MIN((Sheet6!D30 - Fuzzy_Parameters!$C$13)/(Fuzzy_Parameters!$C$14 - Fuzzy_Parameters!$C$13), 1), 0)</f>
        <v>0</v>
      </c>
      <c r="I30" s="25">
        <f>MAX(MIN(1, (Fuzzy_Parameters!$C$20 - Sheet6!E30)/(Fuzzy_Parameters!$C$20 - Fuzzy_Parameters!$C$19)), 0)</f>
        <v>0.06451612903</v>
      </c>
      <c r="J30" s="25">
        <f>MAX(MIN((Sheet6!E30 - Fuzzy_Parameters!$C$19)/(Fuzzy_Parameters!$C$20 - Fuzzy_Parameters!$C$19), 1, (Fuzzy_Parameters!$C$22 - Sheet6!E30)/(Fuzzy_Parameters!$C$22 - Fuzzy_Parameters!$C$21)), 0)</f>
        <v>0.935483871</v>
      </c>
      <c r="K30" s="25">
        <f>MAX(MIN((Sheet6!E30 - Fuzzy_Parameters!$C$21)/(Fuzzy_Parameters!$C$22 - Fuzzy_Parameters!$C$21), 1), 0)</f>
        <v>0</v>
      </c>
      <c r="L30" s="25">
        <f>MAX(MIN(1, (Fuzzy_Parameters!$C$28 - Sheet6!F30)/(Fuzzy_Parameters!$C$28 - Fuzzy_Parameters!$C$27)), 0)</f>
        <v>0</v>
      </c>
      <c r="M30" s="25">
        <f>MAX(MIN((Sheet6!F30 - Fuzzy_Parameters!$C$27)/(Fuzzy_Parameters!$C$28 - Fuzzy_Parameters!$C$27), 1, (Fuzzy_Parameters!$C$30 - Sheet6!F30)/(Fuzzy_Parameters!$C$30 - Fuzzy_Parameters!$C$29)), 0)</f>
        <v>0.1294442799</v>
      </c>
      <c r="N30" s="25">
        <f>MAX(MIN((Sheet6!F30 - Fuzzy_Parameters!$C$29)/(Fuzzy_Parameters!$C$30 - Fuzzy_Parameters!$C$29), 1), 0)</f>
        <v>0.8705557201</v>
      </c>
    </row>
    <row r="31">
      <c r="A31" s="6" t="s">
        <v>4</v>
      </c>
      <c r="B31" s="26">
        <v>2020.0</v>
      </c>
      <c r="C31" s="25">
        <f>MAX(MIN(1, (Fuzzy_Parameters!$C$4 - Sheet6!C31)/(Fuzzy_Parameters!$C$4 - Fuzzy_Parameters!$C$3)), 0)</f>
        <v>0</v>
      </c>
      <c r="D31" s="25">
        <f>MAX(MIN((Sheet6!C31 - Fuzzy_Parameters!$C$3)/(Fuzzy_Parameters!$C$4 - Fuzzy_Parameters!$C$3), 1, (Fuzzy_Parameters!$C$6 - Sheet6!C31)/(Fuzzy_Parameters!$C$6 - Fuzzy_Parameters!$C$5)), 0)</f>
        <v>0.9377814866</v>
      </c>
      <c r="E31" s="25">
        <f>MAX(MIN((Sheet6!C31 - Fuzzy_Parameters!$C$5)/(Fuzzy_Parameters!$C$6 - Fuzzy_Parameters!$C$5), 1), 0)</f>
        <v>0.06221851342</v>
      </c>
      <c r="F31" s="25">
        <f>MAX(MIN(1, (Fuzzy_Parameters!$C$12 - Sheet6!D31)/(Fuzzy_Parameters!$C$12 - Fuzzy_Parameters!$C$11)), 0)</f>
        <v>0.9921118741</v>
      </c>
      <c r="G31" s="25">
        <f>MAX(MIN((Sheet6!D31 - Fuzzy_Parameters!$C$11)/(Fuzzy_Parameters!$C$12 - Fuzzy_Parameters!$C$11), 1, (Fuzzy_Parameters!$C$14 - Sheet6!D31)/(Fuzzy_Parameters!$C$14 - Fuzzy_Parameters!$C$13)), 0)</f>
        <v>0.007888125855</v>
      </c>
      <c r="H31" s="25">
        <f>MAX(MIN((Sheet6!D31 - Fuzzy_Parameters!$C$13)/(Fuzzy_Parameters!$C$14 - Fuzzy_Parameters!$C$13), 1), 0)</f>
        <v>0</v>
      </c>
      <c r="I31" s="25">
        <f>MAX(MIN(1, (Fuzzy_Parameters!$C$20 - Sheet6!E31)/(Fuzzy_Parameters!$C$20 - Fuzzy_Parameters!$C$19)), 0)</f>
        <v>1</v>
      </c>
      <c r="J31" s="25">
        <f>MAX(MIN((Sheet6!E31 - Fuzzy_Parameters!$C$19)/(Fuzzy_Parameters!$C$20 - Fuzzy_Parameters!$C$19), 1, (Fuzzy_Parameters!$C$22 - Sheet6!E31)/(Fuzzy_Parameters!$C$22 - Fuzzy_Parameters!$C$21)), 0)</f>
        <v>0</v>
      </c>
      <c r="K31" s="25">
        <f>MAX(MIN((Sheet6!E31 - Fuzzy_Parameters!$C$21)/(Fuzzy_Parameters!$C$22 - Fuzzy_Parameters!$C$21), 1), 0)</f>
        <v>0</v>
      </c>
      <c r="L31" s="25">
        <f>MAX(MIN(1, (Fuzzy_Parameters!$C$28 - Sheet6!F31)/(Fuzzy_Parameters!$C$28 - Fuzzy_Parameters!$C$27)), 0)</f>
        <v>0</v>
      </c>
      <c r="M31" s="25">
        <f>MAX(MIN((Sheet6!F31 - Fuzzy_Parameters!$C$27)/(Fuzzy_Parameters!$C$28 - Fuzzy_Parameters!$C$27), 1, (Fuzzy_Parameters!$C$30 - Sheet6!F31)/(Fuzzy_Parameters!$C$30 - Fuzzy_Parameters!$C$29)), 0)</f>
        <v>0</v>
      </c>
      <c r="N31" s="25">
        <f>MAX(MIN((Sheet6!F31 - Fuzzy_Parameters!$C$29)/(Fuzzy_Parameters!$C$30 - Fuzzy_Parameters!$C$29), 1), 0)</f>
        <v>1</v>
      </c>
    </row>
    <row r="32">
      <c r="A32" s="6" t="s">
        <v>4</v>
      </c>
      <c r="B32" s="26">
        <v>2019.0</v>
      </c>
      <c r="C32" s="25">
        <f>MAX(MIN(1, (Fuzzy_Parameters!$C$4 - Sheet6!C32)/(Fuzzy_Parameters!$C$4 - Fuzzy_Parameters!$C$3)), 0)</f>
        <v>0</v>
      </c>
      <c r="D32" s="25">
        <f>MAX(MIN((Sheet6!C32 - Fuzzy_Parameters!$C$3)/(Fuzzy_Parameters!$C$4 - Fuzzy_Parameters!$C$3), 1, (Fuzzy_Parameters!$C$6 - Sheet6!C32)/(Fuzzy_Parameters!$C$6 - Fuzzy_Parameters!$C$5)), 0)</f>
        <v>1</v>
      </c>
      <c r="E32" s="25">
        <f>MAX(MIN((Sheet6!C32 - Fuzzy_Parameters!$C$5)/(Fuzzy_Parameters!$C$6 - Fuzzy_Parameters!$C$5), 1), 0)</f>
        <v>0</v>
      </c>
      <c r="F32" s="25">
        <f>MAX(MIN(1, (Fuzzy_Parameters!$C$12 - Sheet6!D32)/(Fuzzy_Parameters!$C$12 - Fuzzy_Parameters!$C$11)), 0)</f>
        <v>1</v>
      </c>
      <c r="G32" s="25">
        <f>MAX(MIN((Sheet6!D32 - Fuzzy_Parameters!$C$11)/(Fuzzy_Parameters!$C$12 - Fuzzy_Parameters!$C$11), 1, (Fuzzy_Parameters!$C$14 - Sheet6!D32)/(Fuzzy_Parameters!$C$14 - Fuzzy_Parameters!$C$13)), 0)</f>
        <v>0</v>
      </c>
      <c r="H32" s="25">
        <f>MAX(MIN((Sheet6!D32 - Fuzzy_Parameters!$C$13)/(Fuzzy_Parameters!$C$14 - Fuzzy_Parameters!$C$13), 1), 0)</f>
        <v>0</v>
      </c>
      <c r="I32" s="25">
        <f>MAX(MIN(1, (Fuzzy_Parameters!$C$20 - Sheet6!E32)/(Fuzzy_Parameters!$C$20 - Fuzzy_Parameters!$C$19)), 0)</f>
        <v>0</v>
      </c>
      <c r="J32" s="25">
        <f>MAX(MIN((Sheet6!E32 - Fuzzy_Parameters!$C$19)/(Fuzzy_Parameters!$C$20 - Fuzzy_Parameters!$C$19), 1, (Fuzzy_Parameters!$C$22 - Sheet6!E32)/(Fuzzy_Parameters!$C$22 - Fuzzy_Parameters!$C$21)), 0)</f>
        <v>1</v>
      </c>
      <c r="K32" s="25">
        <f>MAX(MIN((Sheet6!E32 - Fuzzy_Parameters!$C$21)/(Fuzzy_Parameters!$C$22 - Fuzzy_Parameters!$C$21), 1), 0)</f>
        <v>0</v>
      </c>
      <c r="L32" s="25">
        <f>MAX(MIN(1, (Fuzzy_Parameters!$C$28 - Sheet6!F32)/(Fuzzy_Parameters!$C$28 - Fuzzy_Parameters!$C$27)), 0)</f>
        <v>0</v>
      </c>
      <c r="M32" s="25">
        <f>MAX(MIN((Sheet6!F32 - Fuzzy_Parameters!$C$27)/(Fuzzy_Parameters!$C$28 - Fuzzy_Parameters!$C$27), 1, (Fuzzy_Parameters!$C$30 - Sheet6!F32)/(Fuzzy_Parameters!$C$30 - Fuzzy_Parameters!$C$29)), 0)</f>
        <v>0</v>
      </c>
      <c r="N32" s="25">
        <f>MAX(MIN((Sheet6!F32 - Fuzzy_Parameters!$C$29)/(Fuzzy_Parameters!$C$30 - Fuzzy_Parameters!$C$29), 1), 0)</f>
        <v>1</v>
      </c>
    </row>
    <row r="33">
      <c r="A33" s="6" t="s">
        <v>4</v>
      </c>
      <c r="B33" s="26">
        <v>2018.0</v>
      </c>
      <c r="C33" s="25">
        <f>MAX(MIN(1, (Fuzzy_Parameters!$C$4 - Sheet6!C33)/(Fuzzy_Parameters!$C$4 - Fuzzy_Parameters!$C$3)), 0)</f>
        <v>1</v>
      </c>
      <c r="D33" s="25">
        <f>MAX(MIN((Sheet6!C33 - Fuzzy_Parameters!$C$3)/(Fuzzy_Parameters!$C$4 - Fuzzy_Parameters!$C$3), 1, (Fuzzy_Parameters!$C$6 - Sheet6!C33)/(Fuzzy_Parameters!$C$6 - Fuzzy_Parameters!$C$5)), 0)</f>
        <v>0</v>
      </c>
      <c r="E33" s="25">
        <f>MAX(MIN((Sheet6!C33 - Fuzzy_Parameters!$C$5)/(Fuzzy_Parameters!$C$6 - Fuzzy_Parameters!$C$5), 1), 0)</f>
        <v>0</v>
      </c>
      <c r="F33" s="25">
        <f>MAX(MIN(1, (Fuzzy_Parameters!$C$12 - Sheet6!D33)/(Fuzzy_Parameters!$C$12 - Fuzzy_Parameters!$C$11)), 0)</f>
        <v>1</v>
      </c>
      <c r="G33" s="25">
        <f>MAX(MIN((Sheet6!D33 - Fuzzy_Parameters!$C$11)/(Fuzzy_Parameters!$C$12 - Fuzzy_Parameters!$C$11), 1, (Fuzzy_Parameters!$C$14 - Sheet6!D33)/(Fuzzy_Parameters!$C$14 - Fuzzy_Parameters!$C$13)), 0)</f>
        <v>0</v>
      </c>
      <c r="H33" s="25">
        <f>MAX(MIN((Sheet6!D33 - Fuzzy_Parameters!$C$13)/(Fuzzy_Parameters!$C$14 - Fuzzy_Parameters!$C$13), 1), 0)</f>
        <v>0</v>
      </c>
      <c r="I33" s="25">
        <f>MAX(MIN(1, (Fuzzy_Parameters!$C$20 - Sheet6!E33)/(Fuzzy_Parameters!$C$20 - Fuzzy_Parameters!$C$19)), 0)</f>
        <v>0.08870967742</v>
      </c>
      <c r="J33" s="25">
        <f>MAX(MIN((Sheet6!E33 - Fuzzy_Parameters!$C$19)/(Fuzzy_Parameters!$C$20 - Fuzzy_Parameters!$C$19), 1, (Fuzzy_Parameters!$C$22 - Sheet6!E33)/(Fuzzy_Parameters!$C$22 - Fuzzy_Parameters!$C$21)), 0)</f>
        <v>0.9112903226</v>
      </c>
      <c r="K33" s="25">
        <f>MAX(MIN((Sheet6!E33 - Fuzzy_Parameters!$C$21)/(Fuzzy_Parameters!$C$22 - Fuzzy_Parameters!$C$21), 1), 0)</f>
        <v>0</v>
      </c>
      <c r="L33" s="25">
        <f>MAX(MIN(1, (Fuzzy_Parameters!$C$28 - Sheet6!F33)/(Fuzzy_Parameters!$C$28 - Fuzzy_Parameters!$C$27)), 0)</f>
        <v>0</v>
      </c>
      <c r="M33" s="25">
        <f>MAX(MIN((Sheet6!F33 - Fuzzy_Parameters!$C$27)/(Fuzzy_Parameters!$C$28 - Fuzzy_Parameters!$C$27), 1, (Fuzzy_Parameters!$C$30 - Sheet6!F33)/(Fuzzy_Parameters!$C$30 - Fuzzy_Parameters!$C$29)), 0)</f>
        <v>0.2324696044</v>
      </c>
      <c r="N33" s="25">
        <f>MAX(MIN((Sheet6!F33 - Fuzzy_Parameters!$C$29)/(Fuzzy_Parameters!$C$30 - Fuzzy_Parameters!$C$29), 1), 0)</f>
        <v>0.7675303956</v>
      </c>
    </row>
    <row r="34">
      <c r="A34" s="6" t="s">
        <v>4</v>
      </c>
      <c r="B34" s="26">
        <v>2017.0</v>
      </c>
      <c r="C34" s="25">
        <f>MAX(MIN(1, (Fuzzy_Parameters!$C$4 - Sheet6!C34)/(Fuzzy_Parameters!$C$4 - Fuzzy_Parameters!$C$3)), 0)</f>
        <v>1</v>
      </c>
      <c r="D34" s="25">
        <f>MAX(MIN((Sheet6!C34 - Fuzzy_Parameters!$C$3)/(Fuzzy_Parameters!$C$4 - Fuzzy_Parameters!$C$3), 1, (Fuzzy_Parameters!$C$6 - Sheet6!C34)/(Fuzzy_Parameters!$C$6 - Fuzzy_Parameters!$C$5)), 0)</f>
        <v>0</v>
      </c>
      <c r="E34" s="25">
        <f>MAX(MIN((Sheet6!C34 - Fuzzy_Parameters!$C$5)/(Fuzzy_Parameters!$C$6 - Fuzzy_Parameters!$C$5), 1), 0)</f>
        <v>0</v>
      </c>
      <c r="F34" s="25">
        <f>MAX(MIN(1, (Fuzzy_Parameters!$C$12 - Sheet6!D34)/(Fuzzy_Parameters!$C$12 - Fuzzy_Parameters!$C$11)), 0)</f>
        <v>1</v>
      </c>
      <c r="G34" s="25">
        <f>MAX(MIN((Sheet6!D34 - Fuzzy_Parameters!$C$11)/(Fuzzy_Parameters!$C$12 - Fuzzy_Parameters!$C$11), 1, (Fuzzy_Parameters!$C$14 - Sheet6!D34)/(Fuzzy_Parameters!$C$14 - Fuzzy_Parameters!$C$13)), 0)</f>
        <v>0</v>
      </c>
      <c r="H34" s="25">
        <f>MAX(MIN((Sheet6!D34 - Fuzzy_Parameters!$C$13)/(Fuzzy_Parameters!$C$14 - Fuzzy_Parameters!$C$13), 1), 0)</f>
        <v>0</v>
      </c>
      <c r="I34" s="25">
        <f>MAX(MIN(1, (Fuzzy_Parameters!$C$20 - Sheet6!E34)/(Fuzzy_Parameters!$C$20 - Fuzzy_Parameters!$C$19)), 0)</f>
        <v>0</v>
      </c>
      <c r="J34" s="25">
        <f>MAX(MIN((Sheet6!E34 - Fuzzy_Parameters!$C$19)/(Fuzzy_Parameters!$C$20 - Fuzzy_Parameters!$C$19), 1, (Fuzzy_Parameters!$C$22 - Sheet6!E34)/(Fuzzy_Parameters!$C$22 - Fuzzy_Parameters!$C$21)), 0)</f>
        <v>1</v>
      </c>
      <c r="K34" s="25">
        <f>MAX(MIN((Sheet6!E34 - Fuzzy_Parameters!$C$21)/(Fuzzy_Parameters!$C$22 - Fuzzy_Parameters!$C$21), 1), 0)</f>
        <v>0</v>
      </c>
      <c r="L34" s="25">
        <f>MAX(MIN(1, (Fuzzy_Parameters!$C$28 - Sheet6!F34)/(Fuzzy_Parameters!$C$28 - Fuzzy_Parameters!$C$27)), 0)</f>
        <v>0</v>
      </c>
      <c r="M34" s="25">
        <f>MAX(MIN((Sheet6!F34 - Fuzzy_Parameters!$C$27)/(Fuzzy_Parameters!$C$28 - Fuzzy_Parameters!$C$27), 1, (Fuzzy_Parameters!$C$30 - Sheet6!F34)/(Fuzzy_Parameters!$C$30 - Fuzzy_Parameters!$C$29)), 0)</f>
        <v>0.2324696044</v>
      </c>
      <c r="N34" s="25">
        <f>MAX(MIN((Sheet6!F34 - Fuzzy_Parameters!$C$29)/(Fuzzy_Parameters!$C$30 - Fuzzy_Parameters!$C$29), 1), 0)</f>
        <v>0.7675303956</v>
      </c>
    </row>
    <row r="35">
      <c r="A35" s="6" t="s">
        <v>4</v>
      </c>
      <c r="B35" s="26">
        <v>2016.0</v>
      </c>
      <c r="C35" s="25">
        <f>MAX(MIN(1, (Fuzzy_Parameters!$C$4 - Sheet6!C35)/(Fuzzy_Parameters!$C$4 - Fuzzy_Parameters!$C$3)), 0)</f>
        <v>1</v>
      </c>
      <c r="D35" s="25">
        <f>MAX(MIN((Sheet6!C35 - Fuzzy_Parameters!$C$3)/(Fuzzy_Parameters!$C$4 - Fuzzy_Parameters!$C$3), 1, (Fuzzy_Parameters!$C$6 - Sheet6!C35)/(Fuzzy_Parameters!$C$6 - Fuzzy_Parameters!$C$5)), 0)</f>
        <v>0</v>
      </c>
      <c r="E35" s="25">
        <f>MAX(MIN((Sheet6!C35 - Fuzzy_Parameters!$C$5)/(Fuzzy_Parameters!$C$6 - Fuzzy_Parameters!$C$5), 1), 0)</f>
        <v>0</v>
      </c>
      <c r="F35" s="25">
        <f>MAX(MIN(1, (Fuzzy_Parameters!$C$12 - Sheet6!D35)/(Fuzzy_Parameters!$C$12 - Fuzzy_Parameters!$C$11)), 0)</f>
        <v>1</v>
      </c>
      <c r="G35" s="25">
        <f>MAX(MIN((Sheet6!D35 - Fuzzy_Parameters!$C$11)/(Fuzzy_Parameters!$C$12 - Fuzzy_Parameters!$C$11), 1, (Fuzzy_Parameters!$C$14 - Sheet6!D35)/(Fuzzy_Parameters!$C$14 - Fuzzy_Parameters!$C$13)), 0)</f>
        <v>0</v>
      </c>
      <c r="H35" s="25">
        <f>MAX(MIN((Sheet6!D35 - Fuzzy_Parameters!$C$13)/(Fuzzy_Parameters!$C$14 - Fuzzy_Parameters!$C$13), 1), 0)</f>
        <v>0</v>
      </c>
      <c r="I35" s="25">
        <f>MAX(MIN(1, (Fuzzy_Parameters!$C$20 - Sheet6!E35)/(Fuzzy_Parameters!$C$20 - Fuzzy_Parameters!$C$19)), 0)</f>
        <v>0</v>
      </c>
      <c r="J35" s="25">
        <f>MAX(MIN((Sheet6!E35 - Fuzzy_Parameters!$C$19)/(Fuzzy_Parameters!$C$20 - Fuzzy_Parameters!$C$19), 1, (Fuzzy_Parameters!$C$22 - Sheet6!E35)/(Fuzzy_Parameters!$C$22 - Fuzzy_Parameters!$C$21)), 0)</f>
        <v>1</v>
      </c>
      <c r="K35" s="25">
        <f>MAX(MIN((Sheet6!E35 - Fuzzy_Parameters!$C$21)/(Fuzzy_Parameters!$C$22 - Fuzzy_Parameters!$C$21), 1), 0)</f>
        <v>0</v>
      </c>
      <c r="L35" s="25">
        <f>MAX(MIN(1, (Fuzzy_Parameters!$C$28 - Sheet6!F35)/(Fuzzy_Parameters!$C$28 - Fuzzy_Parameters!$C$27)), 0)</f>
        <v>0</v>
      </c>
      <c r="M35" s="25">
        <f>MAX(MIN((Sheet6!F35 - Fuzzy_Parameters!$C$27)/(Fuzzy_Parameters!$C$28 - Fuzzy_Parameters!$C$27), 1, (Fuzzy_Parameters!$C$30 - Sheet6!F35)/(Fuzzy_Parameters!$C$30 - Fuzzy_Parameters!$C$29)), 0)</f>
        <v>0.2324696044</v>
      </c>
      <c r="N35" s="25">
        <f>MAX(MIN((Sheet6!F35 - Fuzzy_Parameters!$C$29)/(Fuzzy_Parameters!$C$30 - Fuzzy_Parameters!$C$29), 1), 0)</f>
        <v>0.7675303956</v>
      </c>
    </row>
    <row r="36">
      <c r="A36" s="6" t="s">
        <v>4</v>
      </c>
      <c r="B36" s="26">
        <v>2015.0</v>
      </c>
      <c r="C36" s="25">
        <f>MAX(MIN(1, (Fuzzy_Parameters!$C$4 - Sheet6!C36)/(Fuzzy_Parameters!$C$4 - Fuzzy_Parameters!$C$3)), 0)</f>
        <v>1</v>
      </c>
      <c r="D36" s="25">
        <f>MAX(MIN((Sheet6!C36 - Fuzzy_Parameters!$C$3)/(Fuzzy_Parameters!$C$4 - Fuzzy_Parameters!$C$3), 1, (Fuzzy_Parameters!$C$6 - Sheet6!C36)/(Fuzzy_Parameters!$C$6 - Fuzzy_Parameters!$C$5)), 0)</f>
        <v>0</v>
      </c>
      <c r="E36" s="25">
        <f>MAX(MIN((Sheet6!C36 - Fuzzy_Parameters!$C$5)/(Fuzzy_Parameters!$C$6 - Fuzzy_Parameters!$C$5), 1), 0)</f>
        <v>0</v>
      </c>
      <c r="F36" s="25">
        <f>MAX(MIN(1, (Fuzzy_Parameters!$C$12 - Sheet6!D36)/(Fuzzy_Parameters!$C$12 - Fuzzy_Parameters!$C$11)), 0)</f>
        <v>1</v>
      </c>
      <c r="G36" s="25">
        <f>MAX(MIN((Sheet6!D36 - Fuzzy_Parameters!$C$11)/(Fuzzy_Parameters!$C$12 - Fuzzy_Parameters!$C$11), 1, (Fuzzy_Parameters!$C$14 - Sheet6!D36)/(Fuzzy_Parameters!$C$14 - Fuzzy_Parameters!$C$13)), 0)</f>
        <v>0</v>
      </c>
      <c r="H36" s="25">
        <f>MAX(MIN((Sheet6!D36 - Fuzzy_Parameters!$C$13)/(Fuzzy_Parameters!$C$14 - Fuzzy_Parameters!$C$13), 1), 0)</f>
        <v>0</v>
      </c>
      <c r="I36" s="25">
        <f>MAX(MIN(1, (Fuzzy_Parameters!$C$20 - Sheet6!E36)/(Fuzzy_Parameters!$C$20 - Fuzzy_Parameters!$C$19)), 0)</f>
        <v>0</v>
      </c>
      <c r="J36" s="25">
        <f>MAX(MIN((Sheet6!E36 - Fuzzy_Parameters!$C$19)/(Fuzzy_Parameters!$C$20 - Fuzzy_Parameters!$C$19), 1, (Fuzzy_Parameters!$C$22 - Sheet6!E36)/(Fuzzy_Parameters!$C$22 - Fuzzy_Parameters!$C$21)), 0)</f>
        <v>1</v>
      </c>
      <c r="K36" s="25">
        <f>MAX(MIN((Sheet6!E36 - Fuzzy_Parameters!$C$21)/(Fuzzy_Parameters!$C$22 - Fuzzy_Parameters!$C$21), 1), 0)</f>
        <v>0</v>
      </c>
      <c r="L36" s="25">
        <f>MAX(MIN(1, (Fuzzy_Parameters!$C$28 - Sheet6!F36)/(Fuzzy_Parameters!$C$28 - Fuzzy_Parameters!$C$27)), 0)</f>
        <v>0</v>
      </c>
      <c r="M36" s="25">
        <f>MAX(MIN((Sheet6!F36 - Fuzzy_Parameters!$C$27)/(Fuzzy_Parameters!$C$28 - Fuzzy_Parameters!$C$27), 1, (Fuzzy_Parameters!$C$30 - Sheet6!F36)/(Fuzzy_Parameters!$C$30 - Fuzzy_Parameters!$C$29)), 0)</f>
        <v>0.2324696044</v>
      </c>
      <c r="N36" s="25">
        <f>MAX(MIN((Sheet6!F36 - Fuzzy_Parameters!$C$29)/(Fuzzy_Parameters!$C$30 - Fuzzy_Parameters!$C$29), 1), 0)</f>
        <v>0.7675303956</v>
      </c>
    </row>
    <row r="37">
      <c r="A37" s="56" t="s">
        <v>4</v>
      </c>
      <c r="B37" s="57">
        <v>2014.0</v>
      </c>
      <c r="C37" s="25">
        <f>MAX(MIN(1, (Fuzzy_Parameters!$C$4 - Sheet6!C37)/(Fuzzy_Parameters!$C$4 - Fuzzy_Parameters!$C$3)), 0)</f>
        <v>1</v>
      </c>
      <c r="D37" s="25">
        <f>MAX(MIN((Sheet6!C37 - Fuzzy_Parameters!$C$3)/(Fuzzy_Parameters!$C$4 - Fuzzy_Parameters!$C$3), 1, (Fuzzy_Parameters!$C$6 - Sheet6!C37)/(Fuzzy_Parameters!$C$6 - Fuzzy_Parameters!$C$5)), 0)</f>
        <v>0</v>
      </c>
      <c r="E37" s="25">
        <f>MAX(MIN((Sheet6!C37 - Fuzzy_Parameters!$C$5)/(Fuzzy_Parameters!$C$6 - Fuzzy_Parameters!$C$5), 1), 0)</f>
        <v>0</v>
      </c>
      <c r="F37" s="25">
        <f>MAX(MIN(1, (Fuzzy_Parameters!$C$12 - Sheet6!D37)/(Fuzzy_Parameters!$C$12 - Fuzzy_Parameters!$C$11)), 0)</f>
        <v>1</v>
      </c>
      <c r="G37" s="25">
        <f>MAX(MIN((Sheet6!D37 - Fuzzy_Parameters!$C$11)/(Fuzzy_Parameters!$C$12 - Fuzzy_Parameters!$C$11), 1, (Fuzzy_Parameters!$C$14 - Sheet6!D37)/(Fuzzy_Parameters!$C$14 - Fuzzy_Parameters!$C$13)), 0)</f>
        <v>0</v>
      </c>
      <c r="H37" s="25">
        <f>MAX(MIN((Sheet6!D37 - Fuzzy_Parameters!$C$13)/(Fuzzy_Parameters!$C$14 - Fuzzy_Parameters!$C$13), 1), 0)</f>
        <v>0</v>
      </c>
      <c r="I37" s="25">
        <f>MAX(MIN(1, (Fuzzy_Parameters!$C$20 - Sheet6!E37)/(Fuzzy_Parameters!$C$20 - Fuzzy_Parameters!$C$19)), 0)</f>
        <v>0.4274193548</v>
      </c>
      <c r="J37" s="25">
        <f>MAX(MIN((Sheet6!E37 - Fuzzy_Parameters!$C$19)/(Fuzzy_Parameters!$C$20 - Fuzzy_Parameters!$C$19), 1, (Fuzzy_Parameters!$C$22 - Sheet6!E37)/(Fuzzy_Parameters!$C$22 - Fuzzy_Parameters!$C$21)), 0)</f>
        <v>0.5725806452</v>
      </c>
      <c r="K37" s="25">
        <f>MAX(MIN((Sheet6!E37 - Fuzzy_Parameters!$C$21)/(Fuzzy_Parameters!$C$22 - Fuzzy_Parameters!$C$21), 1), 0)</f>
        <v>0</v>
      </c>
      <c r="L37" s="25">
        <f>MAX(MIN(1, (Fuzzy_Parameters!$C$28 - Sheet6!F37)/(Fuzzy_Parameters!$C$28 - Fuzzy_Parameters!$C$27)), 0)</f>
        <v>0</v>
      </c>
      <c r="M37" s="25">
        <f>MAX(MIN((Sheet6!F37 - Fuzzy_Parameters!$C$27)/(Fuzzy_Parameters!$C$28 - Fuzzy_Parameters!$C$27), 1, (Fuzzy_Parameters!$C$30 - Sheet6!F37)/(Fuzzy_Parameters!$C$30 - Fuzzy_Parameters!$C$29)), 0)</f>
        <v>0.2324696044</v>
      </c>
      <c r="N37" s="25">
        <f>MAX(MIN((Sheet6!F37 - Fuzzy_Parameters!$C$29)/(Fuzzy_Parameters!$C$30 - Fuzzy_Parameters!$C$29), 1), 0)</f>
        <v>0.7675303956</v>
      </c>
    </row>
    <row r="38">
      <c r="A38" s="6" t="s">
        <v>5</v>
      </c>
      <c r="B38" s="26">
        <v>2022.0</v>
      </c>
      <c r="C38" s="25">
        <f>MAX(MIN(1, (Fuzzy_Parameters!$C$4 - Sheet6!C38)/(Fuzzy_Parameters!$C$4 - Fuzzy_Parameters!$C$3)), 0)</f>
        <v>0</v>
      </c>
      <c r="D38" s="25">
        <f>MAX(MIN((Sheet6!C38 - Fuzzy_Parameters!$C$3)/(Fuzzy_Parameters!$C$4 - Fuzzy_Parameters!$C$3), 1, (Fuzzy_Parameters!$C$6 - Sheet6!C38)/(Fuzzy_Parameters!$C$6 - Fuzzy_Parameters!$C$5)), 0)</f>
        <v>0</v>
      </c>
      <c r="E38" s="25">
        <f>MAX(MIN((Sheet6!C38 - Fuzzy_Parameters!$C$5)/(Fuzzy_Parameters!$C$6 - Fuzzy_Parameters!$C$5), 1), 0)</f>
        <v>1</v>
      </c>
      <c r="F38" s="25">
        <f>MAX(MIN(1, (Fuzzy_Parameters!$C$12 - Sheet6!D38)/(Fuzzy_Parameters!$C$12 - Fuzzy_Parameters!$C$11)), 0)</f>
        <v>0.5512707748</v>
      </c>
      <c r="G38" s="25">
        <f>MAX(MIN((Sheet6!D38 - Fuzzy_Parameters!$C$11)/(Fuzzy_Parameters!$C$12 - Fuzzy_Parameters!$C$11), 1, (Fuzzy_Parameters!$C$14 - Sheet6!D38)/(Fuzzy_Parameters!$C$14 - Fuzzy_Parameters!$C$13)), 0)</f>
        <v>0.4487292252</v>
      </c>
      <c r="H38" s="25">
        <f>MAX(MIN((Sheet6!D38 - Fuzzy_Parameters!$C$13)/(Fuzzy_Parameters!$C$14 - Fuzzy_Parameters!$C$13), 1), 0)</f>
        <v>0</v>
      </c>
      <c r="I38" s="25">
        <f>MAX(MIN(1, (Fuzzy_Parameters!$C$20 - Sheet6!E38)/(Fuzzy_Parameters!$C$20 - Fuzzy_Parameters!$C$19)), 0)</f>
        <v>0</v>
      </c>
      <c r="J38" s="25">
        <f>MAX(MIN((Sheet6!E38 - Fuzzy_Parameters!$C$19)/(Fuzzy_Parameters!$C$20 - Fuzzy_Parameters!$C$19), 1, (Fuzzy_Parameters!$C$22 - Sheet6!E38)/(Fuzzy_Parameters!$C$22 - Fuzzy_Parameters!$C$21)), 0)</f>
        <v>0</v>
      </c>
      <c r="K38" s="25">
        <f>MAX(MIN((Sheet6!E38 - Fuzzy_Parameters!$C$21)/(Fuzzy_Parameters!$C$22 - Fuzzy_Parameters!$C$21), 1), 0)</f>
        <v>1</v>
      </c>
      <c r="L38" s="25">
        <f>MAX(MIN(1, (Fuzzy_Parameters!$C$28 - Sheet6!F38)/(Fuzzy_Parameters!$C$28 - Fuzzy_Parameters!$C$27)), 0)</f>
        <v>0</v>
      </c>
      <c r="M38" s="25">
        <f>MAX(MIN((Sheet6!F38 - Fuzzy_Parameters!$C$27)/(Fuzzy_Parameters!$C$28 - Fuzzy_Parameters!$C$27), 1, (Fuzzy_Parameters!$C$30 - Sheet6!F38)/(Fuzzy_Parameters!$C$30 - Fuzzy_Parameters!$C$29)), 0)</f>
        <v>0.06752130296</v>
      </c>
      <c r="N38" s="25">
        <f>MAX(MIN((Sheet6!F38 - Fuzzy_Parameters!$C$29)/(Fuzzy_Parameters!$C$30 - Fuzzy_Parameters!$C$29), 1), 0)</f>
        <v>0.932478697</v>
      </c>
    </row>
    <row r="39">
      <c r="A39" s="6" t="s">
        <v>5</v>
      </c>
      <c r="B39" s="26">
        <v>2021.0</v>
      </c>
      <c r="C39" s="25">
        <f>MAX(MIN(1, (Fuzzy_Parameters!$C$4 - Sheet6!C39)/(Fuzzy_Parameters!$C$4 - Fuzzy_Parameters!$C$3)), 0)</f>
        <v>0</v>
      </c>
      <c r="D39" s="25">
        <f>MAX(MIN((Sheet6!C39 - Fuzzy_Parameters!$C$3)/(Fuzzy_Parameters!$C$4 - Fuzzy_Parameters!$C$3), 1, (Fuzzy_Parameters!$C$6 - Sheet6!C39)/(Fuzzy_Parameters!$C$6 - Fuzzy_Parameters!$C$5)), 0)</f>
        <v>0.06221866723</v>
      </c>
      <c r="E39" s="25">
        <f>MAX(MIN((Sheet6!C39 - Fuzzy_Parameters!$C$5)/(Fuzzy_Parameters!$C$6 - Fuzzy_Parameters!$C$5), 1), 0)</f>
        <v>0.9377813328</v>
      </c>
      <c r="F39" s="25">
        <f>MAX(MIN(1, (Fuzzy_Parameters!$C$12 - Sheet6!D39)/(Fuzzy_Parameters!$C$12 - Fuzzy_Parameters!$C$11)), 0)</f>
        <v>1</v>
      </c>
      <c r="G39" s="25">
        <f>MAX(MIN((Sheet6!D39 - Fuzzy_Parameters!$C$11)/(Fuzzy_Parameters!$C$12 - Fuzzy_Parameters!$C$11), 1, (Fuzzy_Parameters!$C$14 - Sheet6!D39)/(Fuzzy_Parameters!$C$14 - Fuzzy_Parameters!$C$13)), 0)</f>
        <v>0</v>
      </c>
      <c r="H39" s="25">
        <f>MAX(MIN((Sheet6!D39 - Fuzzy_Parameters!$C$13)/(Fuzzy_Parameters!$C$14 - Fuzzy_Parameters!$C$13), 1), 0)</f>
        <v>0</v>
      </c>
      <c r="I39" s="25">
        <f>MAX(MIN(1, (Fuzzy_Parameters!$C$20 - Sheet6!E39)/(Fuzzy_Parameters!$C$20 - Fuzzy_Parameters!$C$19)), 0)</f>
        <v>0</v>
      </c>
      <c r="J39" s="25">
        <f>MAX(MIN((Sheet6!E39 - Fuzzy_Parameters!$C$19)/(Fuzzy_Parameters!$C$20 - Fuzzy_Parameters!$C$19), 1, (Fuzzy_Parameters!$C$22 - Sheet6!E39)/(Fuzzy_Parameters!$C$22 - Fuzzy_Parameters!$C$21)), 0)</f>
        <v>0</v>
      </c>
      <c r="K39" s="25">
        <f>MAX(MIN((Sheet6!E39 - Fuzzy_Parameters!$C$21)/(Fuzzy_Parameters!$C$22 - Fuzzy_Parameters!$C$21), 1), 0)</f>
        <v>1</v>
      </c>
      <c r="L39" s="25">
        <f>MAX(MIN(1, (Fuzzy_Parameters!$C$28 - Sheet6!F39)/(Fuzzy_Parameters!$C$28 - Fuzzy_Parameters!$C$27)), 0)</f>
        <v>0</v>
      </c>
      <c r="M39" s="25">
        <f>MAX(MIN((Sheet6!F39 - Fuzzy_Parameters!$C$27)/(Fuzzy_Parameters!$C$28 - Fuzzy_Parameters!$C$27), 1, (Fuzzy_Parameters!$C$30 - Sheet6!F39)/(Fuzzy_Parameters!$C$30 - Fuzzy_Parameters!$C$29)), 0)</f>
        <v>0.1294442799</v>
      </c>
      <c r="N39" s="25">
        <f>MAX(MIN((Sheet6!F39 - Fuzzy_Parameters!$C$29)/(Fuzzy_Parameters!$C$30 - Fuzzy_Parameters!$C$29), 1), 0)</f>
        <v>0.8705557201</v>
      </c>
    </row>
    <row r="40">
      <c r="A40" s="6" t="s">
        <v>5</v>
      </c>
      <c r="B40" s="26">
        <v>2020.0</v>
      </c>
      <c r="C40" s="25">
        <f>MAX(MIN(1, (Fuzzy_Parameters!$C$4 - Sheet6!C40)/(Fuzzy_Parameters!$C$4 - Fuzzy_Parameters!$C$3)), 0)</f>
        <v>0</v>
      </c>
      <c r="D40" s="25">
        <f>MAX(MIN((Sheet6!C40 - Fuzzy_Parameters!$C$3)/(Fuzzy_Parameters!$C$4 - Fuzzy_Parameters!$C$3), 1, (Fuzzy_Parameters!$C$6 - Sheet6!C40)/(Fuzzy_Parameters!$C$6 - Fuzzy_Parameters!$C$5)), 0)</f>
        <v>0</v>
      </c>
      <c r="E40" s="25">
        <f>MAX(MIN((Sheet6!C40 - Fuzzy_Parameters!$C$5)/(Fuzzy_Parameters!$C$6 - Fuzzy_Parameters!$C$5), 1), 0)</f>
        <v>1</v>
      </c>
      <c r="F40" s="25">
        <f>MAX(MIN(1, (Fuzzy_Parameters!$C$12 - Sheet6!D40)/(Fuzzy_Parameters!$C$12 - Fuzzy_Parameters!$C$11)), 0)</f>
        <v>0</v>
      </c>
      <c r="G40" s="25">
        <f>MAX(MIN((Sheet6!D40 - Fuzzy_Parameters!$C$11)/(Fuzzy_Parameters!$C$12 - Fuzzy_Parameters!$C$11), 1, (Fuzzy_Parameters!$C$14 - Sheet6!D40)/(Fuzzy_Parameters!$C$14 - Fuzzy_Parameters!$C$13)), 0)</f>
        <v>1</v>
      </c>
      <c r="H40" s="25">
        <f>MAX(MIN((Sheet6!D40 - Fuzzy_Parameters!$C$13)/(Fuzzy_Parameters!$C$14 - Fuzzy_Parameters!$C$13), 1), 0)</f>
        <v>0</v>
      </c>
      <c r="I40" s="25">
        <f>MAX(MIN(1, (Fuzzy_Parameters!$C$20 - Sheet6!E40)/(Fuzzy_Parameters!$C$20 - Fuzzy_Parameters!$C$19)), 0)</f>
        <v>0</v>
      </c>
      <c r="J40" s="25">
        <f>MAX(MIN((Sheet6!E40 - Fuzzy_Parameters!$C$19)/(Fuzzy_Parameters!$C$20 - Fuzzy_Parameters!$C$19), 1, (Fuzzy_Parameters!$C$22 - Sheet6!E40)/(Fuzzy_Parameters!$C$22 - Fuzzy_Parameters!$C$21)), 0)</f>
        <v>0.4139534884</v>
      </c>
      <c r="K40" s="25">
        <f>MAX(MIN((Sheet6!E40 - Fuzzy_Parameters!$C$21)/(Fuzzy_Parameters!$C$22 - Fuzzy_Parameters!$C$21), 1), 0)</f>
        <v>0.5860465116</v>
      </c>
      <c r="L40" s="25">
        <f>MAX(MIN(1, (Fuzzy_Parameters!$C$28 - Sheet6!F40)/(Fuzzy_Parameters!$C$28 - Fuzzy_Parameters!$C$27)), 0)</f>
        <v>0</v>
      </c>
      <c r="M40" s="25">
        <f>MAX(MIN((Sheet6!F40 - Fuzzy_Parameters!$C$27)/(Fuzzy_Parameters!$C$28 - Fuzzy_Parameters!$C$27), 1, (Fuzzy_Parameters!$C$30 - Sheet6!F40)/(Fuzzy_Parameters!$C$30 - Fuzzy_Parameters!$C$29)), 0)</f>
        <v>0</v>
      </c>
      <c r="N40" s="25">
        <f>MAX(MIN((Sheet6!F40 - Fuzzy_Parameters!$C$29)/(Fuzzy_Parameters!$C$30 - Fuzzy_Parameters!$C$29), 1), 0)</f>
        <v>1</v>
      </c>
    </row>
    <row r="41">
      <c r="A41" s="6" t="s">
        <v>5</v>
      </c>
      <c r="B41" s="26">
        <v>2019.0</v>
      </c>
      <c r="C41" s="25">
        <f>MAX(MIN(1, (Fuzzy_Parameters!$C$4 - Sheet6!C41)/(Fuzzy_Parameters!$C$4 - Fuzzy_Parameters!$C$3)), 0)</f>
        <v>0</v>
      </c>
      <c r="D41" s="25">
        <f>MAX(MIN((Sheet6!C41 - Fuzzy_Parameters!$C$3)/(Fuzzy_Parameters!$C$4 - Fuzzy_Parameters!$C$3), 1, (Fuzzy_Parameters!$C$6 - Sheet6!C41)/(Fuzzy_Parameters!$C$6 - Fuzzy_Parameters!$C$5)), 0)</f>
        <v>0.1818693397</v>
      </c>
      <c r="E41" s="25">
        <f>MAX(MIN((Sheet6!C41 - Fuzzy_Parameters!$C$5)/(Fuzzy_Parameters!$C$6 - Fuzzy_Parameters!$C$5), 1), 0)</f>
        <v>0.8181306603</v>
      </c>
      <c r="F41" s="25">
        <f>MAX(MIN(1, (Fuzzy_Parameters!$C$12 - Sheet6!D41)/(Fuzzy_Parameters!$C$12 - Fuzzy_Parameters!$C$11)), 0)</f>
        <v>0.7957931835</v>
      </c>
      <c r="G41" s="25">
        <f>MAX(MIN((Sheet6!D41 - Fuzzy_Parameters!$C$11)/(Fuzzy_Parameters!$C$12 - Fuzzy_Parameters!$C$11), 1, (Fuzzy_Parameters!$C$14 - Sheet6!D41)/(Fuzzy_Parameters!$C$14 - Fuzzy_Parameters!$C$13)), 0)</f>
        <v>0.2042068165</v>
      </c>
      <c r="H41" s="25">
        <f>MAX(MIN((Sheet6!D41 - Fuzzy_Parameters!$C$13)/(Fuzzy_Parameters!$C$14 - Fuzzy_Parameters!$C$13), 1), 0)</f>
        <v>0</v>
      </c>
      <c r="I41" s="25">
        <f>MAX(MIN(1, (Fuzzy_Parameters!$C$20 - Sheet6!E41)/(Fuzzy_Parameters!$C$20 - Fuzzy_Parameters!$C$19)), 0)</f>
        <v>0</v>
      </c>
      <c r="J41" s="25">
        <f>MAX(MIN((Sheet6!E41 - Fuzzy_Parameters!$C$19)/(Fuzzy_Parameters!$C$20 - Fuzzy_Parameters!$C$19), 1, (Fuzzy_Parameters!$C$22 - Sheet6!E41)/(Fuzzy_Parameters!$C$22 - Fuzzy_Parameters!$C$21)), 0)</f>
        <v>0</v>
      </c>
      <c r="K41" s="25">
        <f>MAX(MIN((Sheet6!E41 - Fuzzy_Parameters!$C$21)/(Fuzzy_Parameters!$C$22 - Fuzzy_Parameters!$C$21), 1), 0)</f>
        <v>1</v>
      </c>
      <c r="L41" s="25">
        <f>MAX(MIN(1, (Fuzzy_Parameters!$C$28 - Sheet6!F41)/(Fuzzy_Parameters!$C$28 - Fuzzy_Parameters!$C$27)), 0)</f>
        <v>0</v>
      </c>
      <c r="M41" s="25">
        <f>MAX(MIN((Sheet6!F41 - Fuzzy_Parameters!$C$27)/(Fuzzy_Parameters!$C$28 - Fuzzy_Parameters!$C$27), 1, (Fuzzy_Parameters!$C$30 - Sheet6!F41)/(Fuzzy_Parameters!$C$30 - Fuzzy_Parameters!$C$29)), 0)</f>
        <v>0</v>
      </c>
      <c r="N41" s="25">
        <f>MAX(MIN((Sheet6!F41 - Fuzzy_Parameters!$C$29)/(Fuzzy_Parameters!$C$30 - Fuzzy_Parameters!$C$29), 1), 0)</f>
        <v>1</v>
      </c>
    </row>
    <row r="42">
      <c r="A42" s="6" t="s">
        <v>5</v>
      </c>
      <c r="B42" s="26">
        <v>2018.0</v>
      </c>
      <c r="C42" s="25">
        <f>MAX(MIN(1, (Fuzzy_Parameters!$C$4 - Sheet6!C42)/(Fuzzy_Parameters!$C$4 - Fuzzy_Parameters!$C$3)), 0)</f>
        <v>0</v>
      </c>
      <c r="D42" s="25">
        <f>MAX(MIN((Sheet6!C42 - Fuzzy_Parameters!$C$3)/(Fuzzy_Parameters!$C$4 - Fuzzy_Parameters!$C$3), 1, (Fuzzy_Parameters!$C$6 - Sheet6!C42)/(Fuzzy_Parameters!$C$6 - Fuzzy_Parameters!$C$5)), 0)</f>
        <v>0.7927927763</v>
      </c>
      <c r="E42" s="25">
        <f>MAX(MIN((Sheet6!C42 - Fuzzy_Parameters!$C$5)/(Fuzzy_Parameters!$C$6 - Fuzzy_Parameters!$C$5), 1), 0)</f>
        <v>0.2072072237</v>
      </c>
      <c r="F42" s="25">
        <f>MAX(MIN(1, (Fuzzy_Parameters!$C$12 - Sheet6!D42)/(Fuzzy_Parameters!$C$12 - Fuzzy_Parameters!$C$11)), 0)</f>
        <v>0.6538122062</v>
      </c>
      <c r="G42" s="25">
        <f>MAX(MIN((Sheet6!D42 - Fuzzy_Parameters!$C$11)/(Fuzzy_Parameters!$C$12 - Fuzzy_Parameters!$C$11), 1, (Fuzzy_Parameters!$C$14 - Sheet6!D42)/(Fuzzy_Parameters!$C$14 - Fuzzy_Parameters!$C$13)), 0)</f>
        <v>0.3461877938</v>
      </c>
      <c r="H42" s="25">
        <f>MAX(MIN((Sheet6!D42 - Fuzzy_Parameters!$C$13)/(Fuzzy_Parameters!$C$14 - Fuzzy_Parameters!$C$13), 1), 0)</f>
        <v>0</v>
      </c>
      <c r="I42" s="25">
        <f>MAX(MIN(1, (Fuzzy_Parameters!$C$20 - Sheet6!E42)/(Fuzzy_Parameters!$C$20 - Fuzzy_Parameters!$C$19)), 0)</f>
        <v>0</v>
      </c>
      <c r="J42" s="25">
        <f>MAX(MIN((Sheet6!E42 - Fuzzy_Parameters!$C$19)/(Fuzzy_Parameters!$C$20 - Fuzzy_Parameters!$C$19), 1, (Fuzzy_Parameters!$C$22 - Sheet6!E42)/(Fuzzy_Parameters!$C$22 - Fuzzy_Parameters!$C$21)), 0)</f>
        <v>0</v>
      </c>
      <c r="K42" s="25">
        <f>MAX(MIN((Sheet6!E42 - Fuzzy_Parameters!$C$21)/(Fuzzy_Parameters!$C$22 - Fuzzy_Parameters!$C$21), 1), 0)</f>
        <v>1</v>
      </c>
      <c r="L42" s="25">
        <f>MAX(MIN(1, (Fuzzy_Parameters!$C$28 - Sheet6!F42)/(Fuzzy_Parameters!$C$28 - Fuzzy_Parameters!$C$27)), 0)</f>
        <v>0</v>
      </c>
      <c r="M42" s="25">
        <f>MAX(MIN((Sheet6!F42 - Fuzzy_Parameters!$C$27)/(Fuzzy_Parameters!$C$28 - Fuzzy_Parameters!$C$27), 1, (Fuzzy_Parameters!$C$30 - Sheet6!F42)/(Fuzzy_Parameters!$C$30 - Fuzzy_Parameters!$C$29)), 0)</f>
        <v>0.1754424814</v>
      </c>
      <c r="N42" s="25">
        <f>MAX(MIN((Sheet6!F42 - Fuzzy_Parameters!$C$29)/(Fuzzy_Parameters!$C$30 - Fuzzy_Parameters!$C$29), 1), 0)</f>
        <v>0.8245575186</v>
      </c>
    </row>
    <row r="43">
      <c r="A43" s="6" t="s">
        <v>5</v>
      </c>
      <c r="B43" s="26">
        <v>2017.0</v>
      </c>
      <c r="C43" s="25">
        <f>MAX(MIN(1, (Fuzzy_Parameters!$C$4 - Sheet6!C43)/(Fuzzy_Parameters!$C$4 - Fuzzy_Parameters!$C$3)), 0)</f>
        <v>0</v>
      </c>
      <c r="D43" s="25">
        <f>MAX(MIN((Sheet6!C43 - Fuzzy_Parameters!$C$3)/(Fuzzy_Parameters!$C$4 - Fuzzy_Parameters!$C$3), 1, (Fuzzy_Parameters!$C$6 - Sheet6!C43)/(Fuzzy_Parameters!$C$6 - Fuzzy_Parameters!$C$5)), 0)</f>
        <v>1</v>
      </c>
      <c r="E43" s="25">
        <f>MAX(MIN((Sheet6!C43 - Fuzzy_Parameters!$C$5)/(Fuzzy_Parameters!$C$6 - Fuzzy_Parameters!$C$5), 1), 0)</f>
        <v>0</v>
      </c>
      <c r="F43" s="25">
        <f>MAX(MIN(1, (Fuzzy_Parameters!$C$12 - Sheet6!D43)/(Fuzzy_Parameters!$C$12 - Fuzzy_Parameters!$C$11)), 0)</f>
        <v>1</v>
      </c>
      <c r="G43" s="25">
        <f>MAX(MIN((Sheet6!D43 - Fuzzy_Parameters!$C$11)/(Fuzzy_Parameters!$C$12 - Fuzzy_Parameters!$C$11), 1, (Fuzzy_Parameters!$C$14 - Sheet6!D43)/(Fuzzy_Parameters!$C$14 - Fuzzy_Parameters!$C$13)), 0)</f>
        <v>0</v>
      </c>
      <c r="H43" s="25">
        <f>MAX(MIN((Sheet6!D43 - Fuzzy_Parameters!$C$13)/(Fuzzy_Parameters!$C$14 - Fuzzy_Parameters!$C$13), 1), 0)</f>
        <v>0</v>
      </c>
      <c r="I43" s="25">
        <f>MAX(MIN(1, (Fuzzy_Parameters!$C$20 - Sheet6!E43)/(Fuzzy_Parameters!$C$20 - Fuzzy_Parameters!$C$19)), 0)</f>
        <v>0</v>
      </c>
      <c r="J43" s="25">
        <f>MAX(MIN((Sheet6!E43 - Fuzzy_Parameters!$C$19)/(Fuzzy_Parameters!$C$20 - Fuzzy_Parameters!$C$19), 1, (Fuzzy_Parameters!$C$22 - Sheet6!E43)/(Fuzzy_Parameters!$C$22 - Fuzzy_Parameters!$C$21)), 0)</f>
        <v>0</v>
      </c>
      <c r="K43" s="25">
        <f>MAX(MIN((Sheet6!E43 - Fuzzy_Parameters!$C$21)/(Fuzzy_Parameters!$C$22 - Fuzzy_Parameters!$C$21), 1), 0)</f>
        <v>1</v>
      </c>
      <c r="L43" s="25">
        <f>MAX(MIN(1, (Fuzzy_Parameters!$C$28 - Sheet6!F43)/(Fuzzy_Parameters!$C$28 - Fuzzy_Parameters!$C$27)), 0)</f>
        <v>0</v>
      </c>
      <c r="M43" s="25">
        <f>MAX(MIN((Sheet6!F43 - Fuzzy_Parameters!$C$27)/(Fuzzy_Parameters!$C$28 - Fuzzy_Parameters!$C$27), 1, (Fuzzy_Parameters!$C$30 - Sheet6!F43)/(Fuzzy_Parameters!$C$30 - Fuzzy_Parameters!$C$29)), 0)</f>
        <v>0</v>
      </c>
      <c r="N43" s="25">
        <f>MAX(MIN((Sheet6!F43 - Fuzzy_Parameters!$C$29)/(Fuzzy_Parameters!$C$30 - Fuzzy_Parameters!$C$29), 1), 0)</f>
        <v>1</v>
      </c>
    </row>
    <row r="44">
      <c r="A44" s="6" t="s">
        <v>5</v>
      </c>
      <c r="B44" s="26">
        <v>2016.0</v>
      </c>
      <c r="C44" s="25">
        <f>MAX(MIN(1, (Fuzzy_Parameters!$C$4 - Sheet6!C44)/(Fuzzy_Parameters!$C$4 - Fuzzy_Parameters!$C$3)), 0)</f>
        <v>0</v>
      </c>
      <c r="D44" s="25">
        <f>MAX(MIN((Sheet6!C44 - Fuzzy_Parameters!$C$3)/(Fuzzy_Parameters!$C$4 - Fuzzy_Parameters!$C$3), 1, (Fuzzy_Parameters!$C$6 - Sheet6!C44)/(Fuzzy_Parameters!$C$6 - Fuzzy_Parameters!$C$5)), 0)</f>
        <v>0</v>
      </c>
      <c r="E44" s="25">
        <f>MAX(MIN((Sheet6!C44 - Fuzzy_Parameters!$C$5)/(Fuzzy_Parameters!$C$6 - Fuzzy_Parameters!$C$5), 1), 0)</f>
        <v>1</v>
      </c>
      <c r="F44" s="25">
        <f>MAX(MIN(1, (Fuzzy_Parameters!$C$12 - Sheet6!D44)/(Fuzzy_Parameters!$C$12 - Fuzzy_Parameters!$C$11)), 0)</f>
        <v>0.33917642</v>
      </c>
      <c r="G44" s="25">
        <f>MAX(MIN((Sheet6!D44 - Fuzzy_Parameters!$C$11)/(Fuzzy_Parameters!$C$12 - Fuzzy_Parameters!$C$11), 1, (Fuzzy_Parameters!$C$14 - Sheet6!D44)/(Fuzzy_Parameters!$C$14 - Fuzzy_Parameters!$C$13)), 0)</f>
        <v>0.66082358</v>
      </c>
      <c r="H44" s="25">
        <f>MAX(MIN((Sheet6!D44 - Fuzzy_Parameters!$C$13)/(Fuzzy_Parameters!$C$14 - Fuzzy_Parameters!$C$13), 1), 0)</f>
        <v>0</v>
      </c>
      <c r="I44" s="25">
        <f>MAX(MIN(1, (Fuzzy_Parameters!$C$20 - Sheet6!E44)/(Fuzzy_Parameters!$C$20 - Fuzzy_Parameters!$C$19)), 0)</f>
        <v>0</v>
      </c>
      <c r="J44" s="25">
        <f>MAX(MIN((Sheet6!E44 - Fuzzy_Parameters!$C$19)/(Fuzzy_Parameters!$C$20 - Fuzzy_Parameters!$C$19), 1, (Fuzzy_Parameters!$C$22 - Sheet6!E44)/(Fuzzy_Parameters!$C$22 - Fuzzy_Parameters!$C$21)), 0)</f>
        <v>0.3953488372</v>
      </c>
      <c r="K44" s="25">
        <f>MAX(MIN((Sheet6!E44 - Fuzzy_Parameters!$C$21)/(Fuzzy_Parameters!$C$22 - Fuzzy_Parameters!$C$21), 1), 0)</f>
        <v>0.6046511628</v>
      </c>
      <c r="L44" s="25">
        <f>MAX(MIN(1, (Fuzzy_Parameters!$C$28 - Sheet6!F44)/(Fuzzy_Parameters!$C$28 - Fuzzy_Parameters!$C$27)), 0)</f>
        <v>0</v>
      </c>
      <c r="M44" s="25">
        <f>MAX(MIN((Sheet6!F44 - Fuzzy_Parameters!$C$27)/(Fuzzy_Parameters!$C$28 - Fuzzy_Parameters!$C$27), 1, (Fuzzy_Parameters!$C$30 - Sheet6!F44)/(Fuzzy_Parameters!$C$30 - Fuzzy_Parameters!$C$29)), 0)</f>
        <v>0</v>
      </c>
      <c r="N44" s="25">
        <f>MAX(MIN((Sheet6!F44 - Fuzzy_Parameters!$C$29)/(Fuzzy_Parameters!$C$30 - Fuzzy_Parameters!$C$29), 1), 0)</f>
        <v>1</v>
      </c>
    </row>
    <row r="45">
      <c r="A45" s="6" t="s">
        <v>5</v>
      </c>
      <c r="B45" s="26">
        <v>2015.0</v>
      </c>
      <c r="C45" s="25">
        <f>MAX(MIN(1, (Fuzzy_Parameters!$C$4 - Sheet6!C45)/(Fuzzy_Parameters!$C$4 - Fuzzy_Parameters!$C$3)), 0)</f>
        <v>0</v>
      </c>
      <c r="D45" s="25">
        <f>MAX(MIN((Sheet6!C45 - Fuzzy_Parameters!$C$3)/(Fuzzy_Parameters!$C$4 - Fuzzy_Parameters!$C$3), 1, (Fuzzy_Parameters!$C$6 - Sheet6!C45)/(Fuzzy_Parameters!$C$6 - Fuzzy_Parameters!$C$5)), 0)</f>
        <v>0</v>
      </c>
      <c r="E45" s="25">
        <f>MAX(MIN((Sheet6!C45 - Fuzzy_Parameters!$C$5)/(Fuzzy_Parameters!$C$6 - Fuzzy_Parameters!$C$5), 1), 0)</f>
        <v>1</v>
      </c>
      <c r="F45" s="25">
        <f>MAX(MIN(1, (Fuzzy_Parameters!$C$12 - Sheet6!D45)/(Fuzzy_Parameters!$C$12 - Fuzzy_Parameters!$C$11)), 0)</f>
        <v>0.4215601012</v>
      </c>
      <c r="G45" s="25">
        <f>MAX(MIN((Sheet6!D45 - Fuzzy_Parameters!$C$11)/(Fuzzy_Parameters!$C$12 - Fuzzy_Parameters!$C$11), 1, (Fuzzy_Parameters!$C$14 - Sheet6!D45)/(Fuzzy_Parameters!$C$14 - Fuzzy_Parameters!$C$13)), 0)</f>
        <v>0.5784398988</v>
      </c>
      <c r="H45" s="25">
        <f>MAX(MIN((Sheet6!D45 - Fuzzy_Parameters!$C$13)/(Fuzzy_Parameters!$C$14 - Fuzzy_Parameters!$C$13), 1), 0)</f>
        <v>0</v>
      </c>
      <c r="I45" s="25">
        <f>MAX(MIN(1, (Fuzzy_Parameters!$C$20 - Sheet6!E45)/(Fuzzy_Parameters!$C$20 - Fuzzy_Parameters!$C$19)), 0)</f>
        <v>0</v>
      </c>
      <c r="J45" s="25">
        <f>MAX(MIN((Sheet6!E45 - Fuzzy_Parameters!$C$19)/(Fuzzy_Parameters!$C$20 - Fuzzy_Parameters!$C$19), 1, (Fuzzy_Parameters!$C$22 - Sheet6!E45)/(Fuzzy_Parameters!$C$22 - Fuzzy_Parameters!$C$21)), 0)</f>
        <v>0.9860465116</v>
      </c>
      <c r="K45" s="25">
        <f>MAX(MIN((Sheet6!E45 - Fuzzy_Parameters!$C$21)/(Fuzzy_Parameters!$C$22 - Fuzzy_Parameters!$C$21), 1), 0)</f>
        <v>0.01395348837</v>
      </c>
      <c r="L45" s="25">
        <f>MAX(MIN(1, (Fuzzy_Parameters!$C$28 - Sheet6!F45)/(Fuzzy_Parameters!$C$28 - Fuzzy_Parameters!$C$27)), 0)</f>
        <v>0</v>
      </c>
      <c r="M45" s="25">
        <f>MAX(MIN((Sheet6!F45 - Fuzzy_Parameters!$C$27)/(Fuzzy_Parameters!$C$28 - Fuzzy_Parameters!$C$27), 1, (Fuzzy_Parameters!$C$30 - Sheet6!F45)/(Fuzzy_Parameters!$C$30 - Fuzzy_Parameters!$C$29)), 0)</f>
        <v>0</v>
      </c>
      <c r="N45" s="25">
        <f>MAX(MIN((Sheet6!F45 - Fuzzy_Parameters!$C$29)/(Fuzzy_Parameters!$C$30 - Fuzzy_Parameters!$C$29), 1), 0)</f>
        <v>1</v>
      </c>
    </row>
    <row r="46">
      <c r="A46" s="56" t="s">
        <v>5</v>
      </c>
      <c r="B46" s="57">
        <v>2014.0</v>
      </c>
      <c r="C46" s="25">
        <f>MAX(MIN(1, (Fuzzy_Parameters!$C$4 - Sheet6!C46)/(Fuzzy_Parameters!$C$4 - Fuzzy_Parameters!$C$3)), 0)</f>
        <v>0</v>
      </c>
      <c r="D46" s="25">
        <f>MAX(MIN((Sheet6!C46 - Fuzzy_Parameters!$C$3)/(Fuzzy_Parameters!$C$4 - Fuzzy_Parameters!$C$3), 1, (Fuzzy_Parameters!$C$6 - Sheet6!C46)/(Fuzzy_Parameters!$C$6 - Fuzzy_Parameters!$C$5)), 0)</f>
        <v>0</v>
      </c>
      <c r="E46" s="25">
        <f>MAX(MIN((Sheet6!C46 - Fuzzy_Parameters!$C$5)/(Fuzzy_Parameters!$C$6 - Fuzzy_Parameters!$C$5), 1), 0)</f>
        <v>1</v>
      </c>
      <c r="F46" s="25">
        <f>MAX(MIN(1, (Fuzzy_Parameters!$C$12 - Sheet6!D46)/(Fuzzy_Parameters!$C$12 - Fuzzy_Parameters!$C$11)), 0)</f>
        <v>0.3251534361</v>
      </c>
      <c r="G46" s="25">
        <f>MAX(MIN((Sheet6!D46 - Fuzzy_Parameters!$C$11)/(Fuzzy_Parameters!$C$12 - Fuzzy_Parameters!$C$11), 1, (Fuzzy_Parameters!$C$14 - Sheet6!D46)/(Fuzzy_Parameters!$C$14 - Fuzzy_Parameters!$C$13)), 0)</f>
        <v>0.6748465639</v>
      </c>
      <c r="H46" s="25">
        <f>MAX(MIN((Sheet6!D46 - Fuzzy_Parameters!$C$13)/(Fuzzy_Parameters!$C$14 - Fuzzy_Parameters!$C$13), 1), 0)</f>
        <v>0</v>
      </c>
      <c r="I46" s="25">
        <f>MAX(MIN(1, (Fuzzy_Parameters!$C$20 - Sheet6!E46)/(Fuzzy_Parameters!$C$20 - Fuzzy_Parameters!$C$19)), 0)</f>
        <v>0.4596774194</v>
      </c>
      <c r="J46" s="25">
        <f>MAX(MIN((Sheet6!E46 - Fuzzy_Parameters!$C$19)/(Fuzzy_Parameters!$C$20 - Fuzzy_Parameters!$C$19), 1, (Fuzzy_Parameters!$C$22 - Sheet6!E46)/(Fuzzy_Parameters!$C$22 - Fuzzy_Parameters!$C$21)), 0)</f>
        <v>0.5403225806</v>
      </c>
      <c r="K46" s="25">
        <f>MAX(MIN((Sheet6!E46 - Fuzzy_Parameters!$C$21)/(Fuzzy_Parameters!$C$22 - Fuzzy_Parameters!$C$21), 1), 0)</f>
        <v>0</v>
      </c>
      <c r="L46" s="25">
        <f>MAX(MIN(1, (Fuzzy_Parameters!$C$28 - Sheet6!F46)/(Fuzzy_Parameters!$C$28 - Fuzzy_Parameters!$C$27)), 0)</f>
        <v>0</v>
      </c>
      <c r="M46" s="25">
        <f>MAX(MIN((Sheet6!F46 - Fuzzy_Parameters!$C$27)/(Fuzzy_Parameters!$C$28 - Fuzzy_Parameters!$C$27), 1, (Fuzzy_Parameters!$C$30 - Sheet6!F46)/(Fuzzy_Parameters!$C$30 - Fuzzy_Parameters!$C$29)), 0)</f>
        <v>0</v>
      </c>
      <c r="N46" s="25">
        <f>MAX(MIN((Sheet6!F46 - Fuzzy_Parameters!$C$29)/(Fuzzy_Parameters!$C$30 - Fuzzy_Parameters!$C$29), 1), 0)</f>
        <v>1</v>
      </c>
    </row>
    <row r="47">
      <c r="A47" s="6" t="s">
        <v>6</v>
      </c>
      <c r="B47" s="26">
        <v>2022.0</v>
      </c>
      <c r="C47" s="25">
        <f>MAX(MIN(1, (Fuzzy_Parameters!$C$4 - Sheet6!C47)/(Fuzzy_Parameters!$C$4 - Fuzzy_Parameters!$C$3)), 0)</f>
        <v>1</v>
      </c>
      <c r="D47" s="25">
        <f>MAX(MIN((Sheet6!C47 - Fuzzy_Parameters!$C$3)/(Fuzzy_Parameters!$C$4 - Fuzzy_Parameters!$C$3), 1, (Fuzzy_Parameters!$C$6 - Sheet6!C47)/(Fuzzy_Parameters!$C$6 - Fuzzy_Parameters!$C$5)), 0)</f>
        <v>0</v>
      </c>
      <c r="E47" s="25">
        <f>MAX(MIN((Sheet6!C47 - Fuzzy_Parameters!$C$5)/(Fuzzy_Parameters!$C$6 - Fuzzy_Parameters!$C$5), 1), 0)</f>
        <v>0</v>
      </c>
      <c r="F47" s="25">
        <f>MAX(MIN(1, (Fuzzy_Parameters!$C$12 - Sheet6!D47)/(Fuzzy_Parameters!$C$12 - Fuzzy_Parameters!$C$11)), 0)</f>
        <v>0</v>
      </c>
      <c r="G47" s="25">
        <f>MAX(MIN((Sheet6!D47 - Fuzzy_Parameters!$C$11)/(Fuzzy_Parameters!$C$12 - Fuzzy_Parameters!$C$11), 1, (Fuzzy_Parameters!$C$14 - Sheet6!D47)/(Fuzzy_Parameters!$C$14 - Fuzzy_Parameters!$C$13)), 0)</f>
        <v>0</v>
      </c>
      <c r="H47" s="25">
        <f>MAX(MIN((Sheet6!D47 - Fuzzy_Parameters!$C$13)/(Fuzzy_Parameters!$C$14 - Fuzzy_Parameters!$C$13), 1), 0)</f>
        <v>1</v>
      </c>
      <c r="I47" s="25">
        <f>MAX(MIN(1, (Fuzzy_Parameters!$C$20 - Sheet6!E47)/(Fuzzy_Parameters!$C$20 - Fuzzy_Parameters!$C$19)), 0)</f>
        <v>0</v>
      </c>
      <c r="J47" s="25">
        <f>MAX(MIN((Sheet6!E47 - Fuzzy_Parameters!$C$19)/(Fuzzy_Parameters!$C$20 - Fuzzy_Parameters!$C$19), 1, (Fuzzy_Parameters!$C$22 - Sheet6!E47)/(Fuzzy_Parameters!$C$22 - Fuzzy_Parameters!$C$21)), 0)</f>
        <v>1</v>
      </c>
      <c r="K47" s="25">
        <f>MAX(MIN((Sheet6!E47 - Fuzzy_Parameters!$C$21)/(Fuzzy_Parameters!$C$22 - Fuzzy_Parameters!$C$21), 1), 0)</f>
        <v>0</v>
      </c>
      <c r="L47" s="25">
        <f>MAX(MIN(1, (Fuzzy_Parameters!$C$28 - Sheet6!F47)/(Fuzzy_Parameters!$C$28 - Fuzzy_Parameters!$C$27)), 0)</f>
        <v>0</v>
      </c>
      <c r="M47" s="25">
        <f>MAX(MIN((Sheet6!F47 - Fuzzy_Parameters!$C$27)/(Fuzzy_Parameters!$C$28 - Fuzzy_Parameters!$C$27), 1, (Fuzzy_Parameters!$C$30 - Sheet6!F47)/(Fuzzy_Parameters!$C$30 - Fuzzy_Parameters!$C$29)), 0)</f>
        <v>1</v>
      </c>
      <c r="N47" s="25">
        <f>MAX(MIN((Sheet6!F47 - Fuzzy_Parameters!$C$29)/(Fuzzy_Parameters!$C$30 - Fuzzy_Parameters!$C$29), 1), 0)</f>
        <v>0</v>
      </c>
    </row>
    <row r="48">
      <c r="A48" s="6" t="s">
        <v>6</v>
      </c>
      <c r="B48" s="26">
        <v>2021.0</v>
      </c>
      <c r="C48" s="25">
        <f>MAX(MIN(1, (Fuzzy_Parameters!$C$4 - Sheet6!C48)/(Fuzzy_Parameters!$C$4 - Fuzzy_Parameters!$C$3)), 0)</f>
        <v>1</v>
      </c>
      <c r="D48" s="25">
        <f>MAX(MIN((Sheet6!C48 - Fuzzy_Parameters!$C$3)/(Fuzzy_Parameters!$C$4 - Fuzzy_Parameters!$C$3), 1, (Fuzzy_Parameters!$C$6 - Sheet6!C48)/(Fuzzy_Parameters!$C$6 - Fuzzy_Parameters!$C$5)), 0)</f>
        <v>0</v>
      </c>
      <c r="E48" s="25">
        <f>MAX(MIN((Sheet6!C48 - Fuzzy_Parameters!$C$5)/(Fuzzy_Parameters!$C$6 - Fuzzy_Parameters!$C$5), 1), 0)</f>
        <v>0</v>
      </c>
      <c r="F48" s="25">
        <f>MAX(MIN(1, (Fuzzy_Parameters!$C$12 - Sheet6!D48)/(Fuzzy_Parameters!$C$12 - Fuzzy_Parameters!$C$11)), 0)</f>
        <v>0</v>
      </c>
      <c r="G48" s="25">
        <f>MAX(MIN((Sheet6!D48 - Fuzzy_Parameters!$C$11)/(Fuzzy_Parameters!$C$12 - Fuzzy_Parameters!$C$11), 1, (Fuzzy_Parameters!$C$14 - Sheet6!D48)/(Fuzzy_Parameters!$C$14 - Fuzzy_Parameters!$C$13)), 0)</f>
        <v>0</v>
      </c>
      <c r="H48" s="25">
        <f>MAX(MIN((Sheet6!D48 - Fuzzy_Parameters!$C$13)/(Fuzzy_Parameters!$C$14 - Fuzzy_Parameters!$C$13), 1), 0)</f>
        <v>1</v>
      </c>
      <c r="I48" s="25">
        <f>MAX(MIN(1, (Fuzzy_Parameters!$C$20 - Sheet6!E48)/(Fuzzy_Parameters!$C$20 - Fuzzy_Parameters!$C$19)), 0)</f>
        <v>0.3709677419</v>
      </c>
      <c r="J48" s="25">
        <f>MAX(MIN((Sheet6!E48 - Fuzzy_Parameters!$C$19)/(Fuzzy_Parameters!$C$20 - Fuzzy_Parameters!$C$19), 1, (Fuzzy_Parameters!$C$22 - Sheet6!E48)/(Fuzzy_Parameters!$C$22 - Fuzzy_Parameters!$C$21)), 0)</f>
        <v>0.6290322581</v>
      </c>
      <c r="K48" s="25">
        <f>MAX(MIN((Sheet6!E48 - Fuzzy_Parameters!$C$21)/(Fuzzy_Parameters!$C$22 - Fuzzy_Parameters!$C$21), 1), 0)</f>
        <v>0</v>
      </c>
      <c r="L48" s="25">
        <f>MAX(MIN(1, (Fuzzy_Parameters!$C$28 - Sheet6!F48)/(Fuzzy_Parameters!$C$28 - Fuzzy_Parameters!$C$27)), 0)</f>
        <v>0</v>
      </c>
      <c r="M48" s="25">
        <f>MAX(MIN((Sheet6!F48 - Fuzzy_Parameters!$C$27)/(Fuzzy_Parameters!$C$28 - Fuzzy_Parameters!$C$27), 1, (Fuzzy_Parameters!$C$30 - Sheet6!F48)/(Fuzzy_Parameters!$C$30 - Fuzzy_Parameters!$C$29)), 0)</f>
        <v>1</v>
      </c>
      <c r="N48" s="25">
        <f>MAX(MIN((Sheet6!F48 - Fuzzy_Parameters!$C$29)/(Fuzzy_Parameters!$C$30 - Fuzzy_Parameters!$C$29), 1), 0)</f>
        <v>0</v>
      </c>
    </row>
    <row r="49">
      <c r="A49" s="6" t="s">
        <v>6</v>
      </c>
      <c r="B49" s="26">
        <v>2020.0</v>
      </c>
      <c r="C49" s="25">
        <f>MAX(MIN(1, (Fuzzy_Parameters!$C$4 - Sheet6!C49)/(Fuzzy_Parameters!$C$4 - Fuzzy_Parameters!$C$3)), 0)</f>
        <v>1</v>
      </c>
      <c r="D49" s="25">
        <f>MAX(MIN((Sheet6!C49 - Fuzzy_Parameters!$C$3)/(Fuzzy_Parameters!$C$4 - Fuzzy_Parameters!$C$3), 1, (Fuzzy_Parameters!$C$6 - Sheet6!C49)/(Fuzzy_Parameters!$C$6 - Fuzzy_Parameters!$C$5)), 0)</f>
        <v>0</v>
      </c>
      <c r="E49" s="25">
        <f>MAX(MIN((Sheet6!C49 - Fuzzy_Parameters!$C$5)/(Fuzzy_Parameters!$C$6 - Fuzzy_Parameters!$C$5), 1), 0)</f>
        <v>0</v>
      </c>
      <c r="F49" s="25">
        <f>MAX(MIN(1, (Fuzzy_Parameters!$C$12 - Sheet6!D49)/(Fuzzy_Parameters!$C$12 - Fuzzy_Parameters!$C$11)), 0)</f>
        <v>0</v>
      </c>
      <c r="G49" s="25">
        <f>MAX(MIN((Sheet6!D49 - Fuzzy_Parameters!$C$11)/(Fuzzy_Parameters!$C$12 - Fuzzy_Parameters!$C$11), 1, (Fuzzy_Parameters!$C$14 - Sheet6!D49)/(Fuzzy_Parameters!$C$14 - Fuzzy_Parameters!$C$13)), 0)</f>
        <v>0.05614824965</v>
      </c>
      <c r="H49" s="25">
        <f>MAX(MIN((Sheet6!D49 - Fuzzy_Parameters!$C$13)/(Fuzzy_Parameters!$C$14 - Fuzzy_Parameters!$C$13), 1), 0)</f>
        <v>0.9438517504</v>
      </c>
      <c r="I49" s="25">
        <f>MAX(MIN(1, (Fuzzy_Parameters!$C$20 - Sheet6!E49)/(Fuzzy_Parameters!$C$20 - Fuzzy_Parameters!$C$19)), 0)</f>
        <v>0.9838709677</v>
      </c>
      <c r="J49" s="25">
        <f>MAX(MIN((Sheet6!E49 - Fuzzy_Parameters!$C$19)/(Fuzzy_Parameters!$C$20 - Fuzzy_Parameters!$C$19), 1, (Fuzzy_Parameters!$C$22 - Sheet6!E49)/(Fuzzy_Parameters!$C$22 - Fuzzy_Parameters!$C$21)), 0)</f>
        <v>0.01612903226</v>
      </c>
      <c r="K49" s="25">
        <f>MAX(MIN((Sheet6!E49 - Fuzzy_Parameters!$C$21)/(Fuzzy_Parameters!$C$22 - Fuzzy_Parameters!$C$21), 1), 0)</f>
        <v>0</v>
      </c>
      <c r="L49" s="25">
        <f>MAX(MIN(1, (Fuzzy_Parameters!$C$28 - Sheet6!F49)/(Fuzzy_Parameters!$C$28 - Fuzzy_Parameters!$C$27)), 0)</f>
        <v>0</v>
      </c>
      <c r="M49" s="25">
        <f>MAX(MIN((Sheet6!F49 - Fuzzy_Parameters!$C$27)/(Fuzzy_Parameters!$C$28 - Fuzzy_Parameters!$C$27), 1, (Fuzzy_Parameters!$C$30 - Sheet6!F49)/(Fuzzy_Parameters!$C$30 - Fuzzy_Parameters!$C$29)), 0)</f>
        <v>1</v>
      </c>
      <c r="N49" s="25">
        <f>MAX(MIN((Sheet6!F49 - Fuzzy_Parameters!$C$29)/(Fuzzy_Parameters!$C$30 - Fuzzy_Parameters!$C$29), 1), 0)</f>
        <v>0</v>
      </c>
    </row>
    <row r="50">
      <c r="A50" s="6" t="s">
        <v>6</v>
      </c>
      <c r="B50" s="26">
        <v>2019.0</v>
      </c>
      <c r="C50" s="25">
        <f>MAX(MIN(1, (Fuzzy_Parameters!$C$4 - Sheet6!C50)/(Fuzzy_Parameters!$C$4 - Fuzzy_Parameters!$C$3)), 0)</f>
        <v>1</v>
      </c>
      <c r="D50" s="25">
        <f>MAX(MIN((Sheet6!C50 - Fuzzy_Parameters!$C$3)/(Fuzzy_Parameters!$C$4 - Fuzzy_Parameters!$C$3), 1, (Fuzzy_Parameters!$C$6 - Sheet6!C50)/(Fuzzy_Parameters!$C$6 - Fuzzy_Parameters!$C$5)), 0)</f>
        <v>0</v>
      </c>
      <c r="E50" s="25">
        <f>MAX(MIN((Sheet6!C50 - Fuzzy_Parameters!$C$5)/(Fuzzy_Parameters!$C$6 - Fuzzy_Parameters!$C$5), 1), 0)</f>
        <v>0</v>
      </c>
      <c r="F50" s="25">
        <f>MAX(MIN(1, (Fuzzy_Parameters!$C$12 - Sheet6!D50)/(Fuzzy_Parameters!$C$12 - Fuzzy_Parameters!$C$11)), 0)</f>
        <v>0</v>
      </c>
      <c r="G50" s="25">
        <f>MAX(MIN((Sheet6!D50 - Fuzzy_Parameters!$C$11)/(Fuzzy_Parameters!$C$12 - Fuzzy_Parameters!$C$11), 1, (Fuzzy_Parameters!$C$14 - Sheet6!D50)/(Fuzzy_Parameters!$C$14 - Fuzzy_Parameters!$C$13)), 0)</f>
        <v>0.8585063178</v>
      </c>
      <c r="H50" s="25">
        <f>MAX(MIN((Sheet6!D50 - Fuzzy_Parameters!$C$13)/(Fuzzy_Parameters!$C$14 - Fuzzy_Parameters!$C$13), 1), 0)</f>
        <v>0.1414936822</v>
      </c>
      <c r="I50" s="25">
        <f>MAX(MIN(1, (Fuzzy_Parameters!$C$20 - Sheet6!E50)/(Fuzzy_Parameters!$C$20 - Fuzzy_Parameters!$C$19)), 0)</f>
        <v>0.6048387097</v>
      </c>
      <c r="J50" s="25">
        <f>MAX(MIN((Sheet6!E50 - Fuzzy_Parameters!$C$19)/(Fuzzy_Parameters!$C$20 - Fuzzy_Parameters!$C$19), 1, (Fuzzy_Parameters!$C$22 - Sheet6!E50)/(Fuzzy_Parameters!$C$22 - Fuzzy_Parameters!$C$21)), 0)</f>
        <v>0.3951612903</v>
      </c>
      <c r="K50" s="25">
        <f>MAX(MIN((Sheet6!E50 - Fuzzy_Parameters!$C$21)/(Fuzzy_Parameters!$C$22 - Fuzzy_Parameters!$C$21), 1), 0)</f>
        <v>0</v>
      </c>
      <c r="L50" s="25">
        <f>MAX(MIN(1, (Fuzzy_Parameters!$C$28 - Sheet6!F50)/(Fuzzy_Parameters!$C$28 - Fuzzy_Parameters!$C$27)), 0)</f>
        <v>0</v>
      </c>
      <c r="M50" s="25">
        <f>MAX(MIN((Sheet6!F50 - Fuzzy_Parameters!$C$27)/(Fuzzy_Parameters!$C$28 - Fuzzy_Parameters!$C$27), 1, (Fuzzy_Parameters!$C$30 - Sheet6!F50)/(Fuzzy_Parameters!$C$30 - Fuzzy_Parameters!$C$29)), 0)</f>
        <v>1</v>
      </c>
      <c r="N50" s="25">
        <f>MAX(MIN((Sheet6!F50 - Fuzzy_Parameters!$C$29)/(Fuzzy_Parameters!$C$30 - Fuzzy_Parameters!$C$29), 1), 0)</f>
        <v>0</v>
      </c>
    </row>
    <row r="51">
      <c r="A51" s="6" t="s">
        <v>6</v>
      </c>
      <c r="B51" s="26">
        <v>2018.0</v>
      </c>
      <c r="C51" s="25">
        <f>MAX(MIN(1, (Fuzzy_Parameters!$C$4 - Sheet6!C51)/(Fuzzy_Parameters!$C$4 - Fuzzy_Parameters!$C$3)), 0)</f>
        <v>1</v>
      </c>
      <c r="D51" s="25">
        <f>MAX(MIN((Sheet6!C51 - Fuzzy_Parameters!$C$3)/(Fuzzy_Parameters!$C$4 - Fuzzy_Parameters!$C$3), 1, (Fuzzy_Parameters!$C$6 - Sheet6!C51)/(Fuzzy_Parameters!$C$6 - Fuzzy_Parameters!$C$5)), 0)</f>
        <v>0</v>
      </c>
      <c r="E51" s="25">
        <f>MAX(MIN((Sheet6!C51 - Fuzzy_Parameters!$C$5)/(Fuzzy_Parameters!$C$6 - Fuzzy_Parameters!$C$5), 1), 0)</f>
        <v>0</v>
      </c>
      <c r="F51" s="25">
        <f>MAX(MIN(1, (Fuzzy_Parameters!$C$12 - Sheet6!D51)/(Fuzzy_Parameters!$C$12 - Fuzzy_Parameters!$C$11)), 0)</f>
        <v>0</v>
      </c>
      <c r="G51" s="25">
        <f>MAX(MIN((Sheet6!D51 - Fuzzy_Parameters!$C$11)/(Fuzzy_Parameters!$C$12 - Fuzzy_Parameters!$C$11), 1, (Fuzzy_Parameters!$C$14 - Sheet6!D51)/(Fuzzy_Parameters!$C$14 - Fuzzy_Parameters!$C$13)), 0)</f>
        <v>0</v>
      </c>
      <c r="H51" s="25">
        <f>MAX(MIN((Sheet6!D51 - Fuzzy_Parameters!$C$13)/(Fuzzy_Parameters!$C$14 - Fuzzy_Parameters!$C$13), 1), 0)</f>
        <v>1</v>
      </c>
      <c r="I51" s="25">
        <f>MAX(MIN(1, (Fuzzy_Parameters!$C$20 - Sheet6!E51)/(Fuzzy_Parameters!$C$20 - Fuzzy_Parameters!$C$19)), 0)</f>
        <v>0</v>
      </c>
      <c r="J51" s="25">
        <f>MAX(MIN((Sheet6!E51 - Fuzzy_Parameters!$C$19)/(Fuzzy_Parameters!$C$20 - Fuzzy_Parameters!$C$19), 1, (Fuzzy_Parameters!$C$22 - Sheet6!E51)/(Fuzzy_Parameters!$C$22 - Fuzzy_Parameters!$C$21)), 0)</f>
        <v>1</v>
      </c>
      <c r="K51" s="25">
        <f>MAX(MIN((Sheet6!E51 - Fuzzy_Parameters!$C$21)/(Fuzzy_Parameters!$C$22 - Fuzzy_Parameters!$C$21), 1), 0)</f>
        <v>0</v>
      </c>
      <c r="L51" s="25">
        <f>MAX(MIN(1, (Fuzzy_Parameters!$C$28 - Sheet6!F51)/(Fuzzy_Parameters!$C$28 - Fuzzy_Parameters!$C$27)), 0)</f>
        <v>0.0000005190915087</v>
      </c>
      <c r="M51" s="25">
        <f>MAX(MIN((Sheet6!F51 - Fuzzy_Parameters!$C$27)/(Fuzzy_Parameters!$C$28 - Fuzzy_Parameters!$C$27), 1, (Fuzzy_Parameters!$C$30 - Sheet6!F51)/(Fuzzy_Parameters!$C$30 - Fuzzy_Parameters!$C$29)), 0)</f>
        <v>0.9999994809</v>
      </c>
      <c r="N51" s="25">
        <f>MAX(MIN((Sheet6!F51 - Fuzzy_Parameters!$C$29)/(Fuzzy_Parameters!$C$30 - Fuzzy_Parameters!$C$29), 1), 0)</f>
        <v>0</v>
      </c>
    </row>
    <row r="52">
      <c r="A52" s="6" t="s">
        <v>6</v>
      </c>
      <c r="B52" s="26">
        <v>2017.0</v>
      </c>
      <c r="C52" s="25">
        <f>MAX(MIN(1, (Fuzzy_Parameters!$C$4 - Sheet6!C52)/(Fuzzy_Parameters!$C$4 - Fuzzy_Parameters!$C$3)), 0)</f>
        <v>1</v>
      </c>
      <c r="D52" s="25">
        <f>MAX(MIN((Sheet6!C52 - Fuzzy_Parameters!$C$3)/(Fuzzy_Parameters!$C$4 - Fuzzy_Parameters!$C$3), 1, (Fuzzy_Parameters!$C$6 - Sheet6!C52)/(Fuzzy_Parameters!$C$6 - Fuzzy_Parameters!$C$5)), 0)</f>
        <v>0</v>
      </c>
      <c r="E52" s="25">
        <f>MAX(MIN((Sheet6!C52 - Fuzzy_Parameters!$C$5)/(Fuzzy_Parameters!$C$6 - Fuzzy_Parameters!$C$5), 1), 0)</f>
        <v>0</v>
      </c>
      <c r="F52" s="25">
        <f>MAX(MIN(1, (Fuzzy_Parameters!$C$12 - Sheet6!D52)/(Fuzzy_Parameters!$C$12 - Fuzzy_Parameters!$C$11)), 0)</f>
        <v>0</v>
      </c>
      <c r="G52" s="25">
        <f>MAX(MIN((Sheet6!D52 - Fuzzy_Parameters!$C$11)/(Fuzzy_Parameters!$C$12 - Fuzzy_Parameters!$C$11), 1, (Fuzzy_Parameters!$C$14 - Sheet6!D52)/(Fuzzy_Parameters!$C$14 - Fuzzy_Parameters!$C$13)), 0)</f>
        <v>0.1111736715</v>
      </c>
      <c r="H52" s="25">
        <f>MAX(MIN((Sheet6!D52 - Fuzzy_Parameters!$C$13)/(Fuzzy_Parameters!$C$14 - Fuzzy_Parameters!$C$13), 1), 0)</f>
        <v>0.8888263285</v>
      </c>
      <c r="I52" s="25">
        <f>MAX(MIN(1, (Fuzzy_Parameters!$C$20 - Sheet6!E52)/(Fuzzy_Parameters!$C$20 - Fuzzy_Parameters!$C$19)), 0)</f>
        <v>0</v>
      </c>
      <c r="J52" s="25">
        <f>MAX(MIN((Sheet6!E52 - Fuzzy_Parameters!$C$19)/(Fuzzy_Parameters!$C$20 - Fuzzy_Parameters!$C$19), 1, (Fuzzy_Parameters!$C$22 - Sheet6!E52)/(Fuzzy_Parameters!$C$22 - Fuzzy_Parameters!$C$21)), 0)</f>
        <v>0.8837209302</v>
      </c>
      <c r="K52" s="25">
        <f>MAX(MIN((Sheet6!E52 - Fuzzy_Parameters!$C$21)/(Fuzzy_Parameters!$C$22 - Fuzzy_Parameters!$C$21), 1), 0)</f>
        <v>0.1162790698</v>
      </c>
      <c r="L52" s="25">
        <f>MAX(MIN(1, (Fuzzy_Parameters!$C$28 - Sheet6!F52)/(Fuzzy_Parameters!$C$28 - Fuzzy_Parameters!$C$27)), 0)</f>
        <v>0</v>
      </c>
      <c r="M52" s="25">
        <f>MAX(MIN((Sheet6!F52 - Fuzzy_Parameters!$C$27)/(Fuzzy_Parameters!$C$28 - Fuzzy_Parameters!$C$27), 1, (Fuzzy_Parameters!$C$30 - Sheet6!F52)/(Fuzzy_Parameters!$C$30 - Fuzzy_Parameters!$C$29)), 0)</f>
        <v>1</v>
      </c>
      <c r="N52" s="25">
        <f>MAX(MIN((Sheet6!F52 - Fuzzy_Parameters!$C$29)/(Fuzzy_Parameters!$C$30 - Fuzzy_Parameters!$C$29), 1), 0)</f>
        <v>0</v>
      </c>
    </row>
    <row r="53">
      <c r="A53" s="6" t="s">
        <v>6</v>
      </c>
      <c r="B53" s="26">
        <v>2016.0</v>
      </c>
      <c r="C53" s="25">
        <f>MAX(MIN(1, (Fuzzy_Parameters!$C$4 - Sheet6!C53)/(Fuzzy_Parameters!$C$4 - Fuzzy_Parameters!$C$3)), 0)</f>
        <v>1</v>
      </c>
      <c r="D53" s="25">
        <f>MAX(MIN((Sheet6!C53 - Fuzzy_Parameters!$C$3)/(Fuzzy_Parameters!$C$4 - Fuzzy_Parameters!$C$3), 1, (Fuzzy_Parameters!$C$6 - Sheet6!C53)/(Fuzzy_Parameters!$C$6 - Fuzzy_Parameters!$C$5)), 0)</f>
        <v>0</v>
      </c>
      <c r="E53" s="25">
        <f>MAX(MIN((Sheet6!C53 - Fuzzy_Parameters!$C$5)/(Fuzzy_Parameters!$C$6 - Fuzzy_Parameters!$C$5), 1), 0)</f>
        <v>0</v>
      </c>
      <c r="F53" s="25">
        <f>MAX(MIN(1, (Fuzzy_Parameters!$C$12 - Sheet6!D53)/(Fuzzy_Parameters!$C$12 - Fuzzy_Parameters!$C$11)), 0)</f>
        <v>0</v>
      </c>
      <c r="G53" s="25">
        <f>MAX(MIN((Sheet6!D53 - Fuzzy_Parameters!$C$11)/(Fuzzy_Parameters!$C$12 - Fuzzy_Parameters!$C$11), 1, (Fuzzy_Parameters!$C$14 - Sheet6!D53)/(Fuzzy_Parameters!$C$14 - Fuzzy_Parameters!$C$13)), 0)</f>
        <v>1</v>
      </c>
      <c r="H53" s="25">
        <f>MAX(MIN((Sheet6!D53 - Fuzzy_Parameters!$C$13)/(Fuzzy_Parameters!$C$14 - Fuzzy_Parameters!$C$13), 1), 0)</f>
        <v>0</v>
      </c>
      <c r="I53" s="25">
        <f>MAX(MIN(1, (Fuzzy_Parameters!$C$20 - Sheet6!E53)/(Fuzzy_Parameters!$C$20 - Fuzzy_Parameters!$C$19)), 0)</f>
        <v>0</v>
      </c>
      <c r="J53" s="25">
        <f>MAX(MIN((Sheet6!E53 - Fuzzy_Parameters!$C$19)/(Fuzzy_Parameters!$C$20 - Fuzzy_Parameters!$C$19), 1, (Fuzzy_Parameters!$C$22 - Sheet6!E53)/(Fuzzy_Parameters!$C$22 - Fuzzy_Parameters!$C$21)), 0)</f>
        <v>0.9069767442</v>
      </c>
      <c r="K53" s="25">
        <f>MAX(MIN((Sheet6!E53 - Fuzzy_Parameters!$C$21)/(Fuzzy_Parameters!$C$22 - Fuzzy_Parameters!$C$21), 1), 0)</f>
        <v>0.09302325581</v>
      </c>
      <c r="L53" s="25">
        <f>MAX(MIN(1, (Fuzzy_Parameters!$C$28 - Sheet6!F53)/(Fuzzy_Parameters!$C$28 - Fuzzy_Parameters!$C$27)), 0)</f>
        <v>0.1704837024</v>
      </c>
      <c r="M53" s="25">
        <f>MAX(MIN((Sheet6!F53 - Fuzzy_Parameters!$C$27)/(Fuzzy_Parameters!$C$28 - Fuzzy_Parameters!$C$27), 1, (Fuzzy_Parameters!$C$30 - Sheet6!F53)/(Fuzzy_Parameters!$C$30 - Fuzzy_Parameters!$C$29)), 0)</f>
        <v>0.8295162976</v>
      </c>
      <c r="N53" s="25">
        <f>MAX(MIN((Sheet6!F53 - Fuzzy_Parameters!$C$29)/(Fuzzy_Parameters!$C$30 - Fuzzy_Parameters!$C$29), 1), 0)</f>
        <v>0</v>
      </c>
    </row>
    <row r="54">
      <c r="A54" s="6" t="s">
        <v>6</v>
      </c>
      <c r="B54" s="26">
        <v>2015.0</v>
      </c>
      <c r="C54" s="25">
        <f>MAX(MIN(1, (Fuzzy_Parameters!$C$4 - Sheet6!C54)/(Fuzzy_Parameters!$C$4 - Fuzzy_Parameters!$C$3)), 0)</f>
        <v>0</v>
      </c>
      <c r="D54" s="25">
        <f>MAX(MIN((Sheet6!C54 - Fuzzy_Parameters!$C$3)/(Fuzzy_Parameters!$C$4 - Fuzzy_Parameters!$C$3), 1, (Fuzzy_Parameters!$C$6 - Sheet6!C54)/(Fuzzy_Parameters!$C$6 - Fuzzy_Parameters!$C$5)), 0)</f>
        <v>0</v>
      </c>
      <c r="E54" s="25">
        <f>MAX(MIN((Sheet6!C54 - Fuzzy_Parameters!$C$5)/(Fuzzy_Parameters!$C$6 - Fuzzy_Parameters!$C$5), 1), 0)</f>
        <v>1</v>
      </c>
      <c r="F54" s="25">
        <f>MAX(MIN(1, (Fuzzy_Parameters!$C$12 - Sheet6!D54)/(Fuzzy_Parameters!$C$12 - Fuzzy_Parameters!$C$11)), 0)</f>
        <v>0</v>
      </c>
      <c r="G54" s="25">
        <f>MAX(MIN((Sheet6!D54 - Fuzzy_Parameters!$C$11)/(Fuzzy_Parameters!$C$12 - Fuzzy_Parameters!$C$11), 1, (Fuzzy_Parameters!$C$14 - Sheet6!D54)/(Fuzzy_Parameters!$C$14 - Fuzzy_Parameters!$C$13)), 0)</f>
        <v>1</v>
      </c>
      <c r="H54" s="25">
        <f>MAX(MIN((Sheet6!D54 - Fuzzy_Parameters!$C$13)/(Fuzzy_Parameters!$C$14 - Fuzzy_Parameters!$C$13), 1), 0)</f>
        <v>0</v>
      </c>
      <c r="I54" s="25">
        <f>MAX(MIN(1, (Fuzzy_Parameters!$C$20 - Sheet6!E54)/(Fuzzy_Parameters!$C$20 - Fuzzy_Parameters!$C$19)), 0)</f>
        <v>0</v>
      </c>
      <c r="J54" s="25">
        <f>MAX(MIN((Sheet6!E54 - Fuzzy_Parameters!$C$19)/(Fuzzy_Parameters!$C$20 - Fuzzy_Parameters!$C$19), 1, (Fuzzy_Parameters!$C$22 - Sheet6!E54)/(Fuzzy_Parameters!$C$22 - Fuzzy_Parameters!$C$21)), 0)</f>
        <v>1</v>
      </c>
      <c r="K54" s="25">
        <f>MAX(MIN((Sheet6!E54 - Fuzzy_Parameters!$C$21)/(Fuzzy_Parameters!$C$22 - Fuzzy_Parameters!$C$21), 1), 0)</f>
        <v>0</v>
      </c>
      <c r="L54" s="25">
        <f>MAX(MIN(1, (Fuzzy_Parameters!$C$28 - Sheet6!F54)/(Fuzzy_Parameters!$C$28 - Fuzzy_Parameters!$C$27)), 0)</f>
        <v>0</v>
      </c>
      <c r="M54" s="25">
        <f>MAX(MIN((Sheet6!F54 - Fuzzy_Parameters!$C$27)/(Fuzzy_Parameters!$C$28 - Fuzzy_Parameters!$C$27), 1, (Fuzzy_Parameters!$C$30 - Sheet6!F54)/(Fuzzy_Parameters!$C$30 - Fuzzy_Parameters!$C$29)), 0)</f>
        <v>1</v>
      </c>
      <c r="N54" s="25">
        <f>MAX(MIN((Sheet6!F54 - Fuzzy_Parameters!$C$29)/(Fuzzy_Parameters!$C$30 - Fuzzy_Parameters!$C$29), 1), 0)</f>
        <v>0</v>
      </c>
    </row>
    <row r="55">
      <c r="A55" s="56" t="s">
        <v>6</v>
      </c>
      <c r="B55" s="57">
        <v>2014.0</v>
      </c>
      <c r="C55" s="25">
        <f>MAX(MIN(1, (Fuzzy_Parameters!$C$4 - Sheet6!C55)/(Fuzzy_Parameters!$C$4 - Fuzzy_Parameters!$C$3)), 0)</f>
        <v>0</v>
      </c>
      <c r="D55" s="25">
        <f>MAX(MIN((Sheet6!C55 - Fuzzy_Parameters!$C$3)/(Fuzzy_Parameters!$C$4 - Fuzzy_Parameters!$C$3), 1, (Fuzzy_Parameters!$C$6 - Sheet6!C55)/(Fuzzy_Parameters!$C$6 - Fuzzy_Parameters!$C$5)), 0)</f>
        <v>0</v>
      </c>
      <c r="E55" s="25">
        <f>MAX(MIN((Sheet6!C55 - Fuzzy_Parameters!$C$5)/(Fuzzy_Parameters!$C$6 - Fuzzy_Parameters!$C$5), 1), 0)</f>
        <v>1</v>
      </c>
      <c r="F55" s="25">
        <f>MAX(MIN(1, (Fuzzy_Parameters!$C$12 - Sheet6!D55)/(Fuzzy_Parameters!$C$12 - Fuzzy_Parameters!$C$11)), 0)</f>
        <v>0</v>
      </c>
      <c r="G55" s="25">
        <f>MAX(MIN((Sheet6!D55 - Fuzzy_Parameters!$C$11)/(Fuzzy_Parameters!$C$12 - Fuzzy_Parameters!$C$11), 1, (Fuzzy_Parameters!$C$14 - Sheet6!D55)/(Fuzzy_Parameters!$C$14 - Fuzzy_Parameters!$C$13)), 0)</f>
        <v>1</v>
      </c>
      <c r="H55" s="25">
        <f>MAX(MIN((Sheet6!D55 - Fuzzy_Parameters!$C$13)/(Fuzzy_Parameters!$C$14 - Fuzzy_Parameters!$C$13), 1), 0)</f>
        <v>0</v>
      </c>
      <c r="I55" s="25">
        <f>MAX(MIN(1, (Fuzzy_Parameters!$C$20 - Sheet6!E55)/(Fuzzy_Parameters!$C$20 - Fuzzy_Parameters!$C$19)), 0)</f>
        <v>0.9838709677</v>
      </c>
      <c r="J55" s="25">
        <f>MAX(MIN((Sheet6!E55 - Fuzzy_Parameters!$C$19)/(Fuzzy_Parameters!$C$20 - Fuzzy_Parameters!$C$19), 1, (Fuzzy_Parameters!$C$22 - Sheet6!E55)/(Fuzzy_Parameters!$C$22 - Fuzzy_Parameters!$C$21)), 0)</f>
        <v>0.01612903226</v>
      </c>
      <c r="K55" s="25">
        <f>MAX(MIN((Sheet6!E55 - Fuzzy_Parameters!$C$21)/(Fuzzy_Parameters!$C$22 - Fuzzy_Parameters!$C$21), 1), 0)</f>
        <v>0</v>
      </c>
      <c r="L55" s="25">
        <f>MAX(MIN(1, (Fuzzy_Parameters!$C$28 - Sheet6!F55)/(Fuzzy_Parameters!$C$28 - Fuzzy_Parameters!$C$27)), 0)</f>
        <v>0</v>
      </c>
      <c r="M55" s="25">
        <f>MAX(MIN((Sheet6!F55 - Fuzzy_Parameters!$C$27)/(Fuzzy_Parameters!$C$28 - Fuzzy_Parameters!$C$27), 1, (Fuzzy_Parameters!$C$30 - Sheet6!F55)/(Fuzzy_Parameters!$C$30 - Fuzzy_Parameters!$C$29)), 0)</f>
        <v>1</v>
      </c>
      <c r="N55" s="25">
        <f>MAX(MIN((Sheet6!F55 - Fuzzy_Parameters!$C$29)/(Fuzzy_Parameters!$C$30 - Fuzzy_Parameters!$C$29), 1), 0)</f>
        <v>0</v>
      </c>
    </row>
    <row r="56">
      <c r="A56" s="6" t="s">
        <v>7</v>
      </c>
      <c r="B56" s="26">
        <v>2022.0</v>
      </c>
      <c r="C56" s="25">
        <f>MAX(MIN(1, (Fuzzy_Parameters!$C$4 - Sheet6!C56)/(Fuzzy_Parameters!$C$4 - Fuzzy_Parameters!$C$3)), 0)</f>
        <v>1</v>
      </c>
      <c r="D56" s="25">
        <f>MAX(MIN((Sheet6!C56 - Fuzzy_Parameters!$C$3)/(Fuzzy_Parameters!$C$4 - Fuzzy_Parameters!$C$3), 1, (Fuzzy_Parameters!$C$6 - Sheet6!C56)/(Fuzzy_Parameters!$C$6 - Fuzzy_Parameters!$C$5)), 0)</f>
        <v>0</v>
      </c>
      <c r="E56" s="25">
        <f>MAX(MIN((Sheet6!C56 - Fuzzy_Parameters!$C$5)/(Fuzzy_Parameters!$C$6 - Fuzzy_Parameters!$C$5), 1), 0)</f>
        <v>0</v>
      </c>
      <c r="F56" s="25">
        <f>MAX(MIN(1, (Fuzzy_Parameters!$C$12 - Sheet6!D56)/(Fuzzy_Parameters!$C$12 - Fuzzy_Parameters!$C$11)), 0)</f>
        <v>1</v>
      </c>
      <c r="G56" s="25">
        <f>MAX(MIN((Sheet6!D56 - Fuzzy_Parameters!$C$11)/(Fuzzy_Parameters!$C$12 - Fuzzy_Parameters!$C$11), 1, (Fuzzy_Parameters!$C$14 - Sheet6!D56)/(Fuzzy_Parameters!$C$14 - Fuzzy_Parameters!$C$13)), 0)</f>
        <v>0</v>
      </c>
      <c r="H56" s="25">
        <f>MAX(MIN((Sheet6!D56 - Fuzzy_Parameters!$C$13)/(Fuzzy_Parameters!$C$14 - Fuzzy_Parameters!$C$13), 1), 0)</f>
        <v>0</v>
      </c>
      <c r="I56" s="25">
        <f>MAX(MIN(1, (Fuzzy_Parameters!$C$20 - Sheet6!E56)/(Fuzzy_Parameters!$C$20 - Fuzzy_Parameters!$C$19)), 0)</f>
        <v>0</v>
      </c>
      <c r="J56" s="25">
        <f>MAX(MIN((Sheet6!E56 - Fuzzy_Parameters!$C$19)/(Fuzzy_Parameters!$C$20 - Fuzzy_Parameters!$C$19), 1, (Fuzzy_Parameters!$C$22 - Sheet6!E56)/(Fuzzy_Parameters!$C$22 - Fuzzy_Parameters!$C$21)), 0)</f>
        <v>1</v>
      </c>
      <c r="K56" s="25">
        <f>MAX(MIN((Sheet6!E56 - Fuzzy_Parameters!$C$21)/(Fuzzy_Parameters!$C$22 - Fuzzy_Parameters!$C$21), 1), 0)</f>
        <v>0</v>
      </c>
      <c r="L56" s="25">
        <f>MAX(MIN(1, (Fuzzy_Parameters!$C$28 - Sheet6!F56)/(Fuzzy_Parameters!$C$28 - Fuzzy_Parameters!$C$27)), 0)</f>
        <v>0</v>
      </c>
      <c r="M56" s="25">
        <f>MAX(MIN((Sheet6!F56 - Fuzzy_Parameters!$C$27)/(Fuzzy_Parameters!$C$28 - Fuzzy_Parameters!$C$27), 1, (Fuzzy_Parameters!$C$30 - Sheet6!F56)/(Fuzzy_Parameters!$C$30 - Fuzzy_Parameters!$C$29)), 0)</f>
        <v>0.7095660229</v>
      </c>
      <c r="N56" s="25">
        <f>MAX(MIN((Sheet6!F56 - Fuzzy_Parameters!$C$29)/(Fuzzy_Parameters!$C$30 - Fuzzy_Parameters!$C$29), 1), 0)</f>
        <v>0.2904339771</v>
      </c>
    </row>
    <row r="57">
      <c r="A57" s="6" t="s">
        <v>7</v>
      </c>
      <c r="B57" s="26">
        <v>2021.0</v>
      </c>
      <c r="C57" s="25">
        <f>MAX(MIN(1, (Fuzzy_Parameters!$C$4 - Sheet6!C57)/(Fuzzy_Parameters!$C$4 - Fuzzy_Parameters!$C$3)), 0)</f>
        <v>1</v>
      </c>
      <c r="D57" s="25">
        <f>MAX(MIN((Sheet6!C57 - Fuzzy_Parameters!$C$3)/(Fuzzy_Parameters!$C$4 - Fuzzy_Parameters!$C$3), 1, (Fuzzy_Parameters!$C$6 - Sheet6!C57)/(Fuzzy_Parameters!$C$6 - Fuzzy_Parameters!$C$5)), 0)</f>
        <v>0</v>
      </c>
      <c r="E57" s="25">
        <f>MAX(MIN((Sheet6!C57 - Fuzzy_Parameters!$C$5)/(Fuzzy_Parameters!$C$6 - Fuzzy_Parameters!$C$5), 1), 0)</f>
        <v>0</v>
      </c>
      <c r="F57" s="25">
        <f>MAX(MIN(1, (Fuzzy_Parameters!$C$12 - Sheet6!D57)/(Fuzzy_Parameters!$C$12 - Fuzzy_Parameters!$C$11)), 0)</f>
        <v>1</v>
      </c>
      <c r="G57" s="25">
        <f>MAX(MIN((Sheet6!D57 - Fuzzy_Parameters!$C$11)/(Fuzzy_Parameters!$C$12 - Fuzzy_Parameters!$C$11), 1, (Fuzzy_Parameters!$C$14 - Sheet6!D57)/(Fuzzy_Parameters!$C$14 - Fuzzy_Parameters!$C$13)), 0)</f>
        <v>0</v>
      </c>
      <c r="H57" s="25">
        <f>MAX(MIN((Sheet6!D57 - Fuzzy_Parameters!$C$13)/(Fuzzy_Parameters!$C$14 - Fuzzy_Parameters!$C$13), 1), 0)</f>
        <v>0</v>
      </c>
      <c r="I57" s="25">
        <f>MAX(MIN(1, (Fuzzy_Parameters!$C$20 - Sheet6!E57)/(Fuzzy_Parameters!$C$20 - Fuzzy_Parameters!$C$19)), 0)</f>
        <v>0</v>
      </c>
      <c r="J57" s="25">
        <f>MAX(MIN((Sheet6!E57 - Fuzzy_Parameters!$C$19)/(Fuzzy_Parameters!$C$20 - Fuzzy_Parameters!$C$19), 1, (Fuzzy_Parameters!$C$22 - Sheet6!E57)/(Fuzzy_Parameters!$C$22 - Fuzzy_Parameters!$C$21)), 0)</f>
        <v>1</v>
      </c>
      <c r="K57" s="25">
        <f>MAX(MIN((Sheet6!E57 - Fuzzy_Parameters!$C$21)/(Fuzzy_Parameters!$C$22 - Fuzzy_Parameters!$C$21), 1), 0)</f>
        <v>0</v>
      </c>
      <c r="L57" s="25">
        <f>MAX(MIN(1, (Fuzzy_Parameters!$C$28 - Sheet6!F57)/(Fuzzy_Parameters!$C$28 - Fuzzy_Parameters!$C$27)), 0)</f>
        <v>0</v>
      </c>
      <c r="M57" s="25">
        <f>MAX(MIN((Sheet6!F57 - Fuzzy_Parameters!$C$27)/(Fuzzy_Parameters!$C$28 - Fuzzy_Parameters!$C$27), 1, (Fuzzy_Parameters!$C$30 - Sheet6!F57)/(Fuzzy_Parameters!$C$30 - Fuzzy_Parameters!$C$29)), 0)</f>
        <v>0.6537571569</v>
      </c>
      <c r="N57" s="25">
        <f>MAX(MIN((Sheet6!F57 - Fuzzy_Parameters!$C$29)/(Fuzzy_Parameters!$C$30 - Fuzzy_Parameters!$C$29), 1), 0)</f>
        <v>0.3462428431</v>
      </c>
    </row>
    <row r="58">
      <c r="A58" s="6" t="s">
        <v>7</v>
      </c>
      <c r="B58" s="26">
        <v>2020.0</v>
      </c>
      <c r="C58" s="25">
        <f>MAX(MIN(1, (Fuzzy_Parameters!$C$4 - Sheet6!C58)/(Fuzzy_Parameters!$C$4 - Fuzzy_Parameters!$C$3)), 0)</f>
        <v>1</v>
      </c>
      <c r="D58" s="25">
        <f>MAX(MIN((Sheet6!C58 - Fuzzy_Parameters!$C$3)/(Fuzzy_Parameters!$C$4 - Fuzzy_Parameters!$C$3), 1, (Fuzzy_Parameters!$C$6 - Sheet6!C58)/(Fuzzy_Parameters!$C$6 - Fuzzy_Parameters!$C$5)), 0)</f>
        <v>0</v>
      </c>
      <c r="E58" s="25">
        <f>MAX(MIN((Sheet6!C58 - Fuzzy_Parameters!$C$5)/(Fuzzy_Parameters!$C$6 - Fuzzy_Parameters!$C$5), 1), 0)</f>
        <v>0</v>
      </c>
      <c r="F58" s="25">
        <f>MAX(MIN(1, (Fuzzy_Parameters!$C$12 - Sheet6!D58)/(Fuzzy_Parameters!$C$12 - Fuzzy_Parameters!$C$11)), 0)</f>
        <v>1</v>
      </c>
      <c r="G58" s="25">
        <f>MAX(MIN((Sheet6!D58 - Fuzzy_Parameters!$C$11)/(Fuzzy_Parameters!$C$12 - Fuzzy_Parameters!$C$11), 1, (Fuzzy_Parameters!$C$14 - Sheet6!D58)/(Fuzzy_Parameters!$C$14 - Fuzzy_Parameters!$C$13)), 0)</f>
        <v>0</v>
      </c>
      <c r="H58" s="25">
        <f>MAX(MIN((Sheet6!D58 - Fuzzy_Parameters!$C$13)/(Fuzzy_Parameters!$C$14 - Fuzzy_Parameters!$C$13), 1), 0)</f>
        <v>0</v>
      </c>
      <c r="I58" s="25">
        <f>MAX(MIN(1, (Fuzzy_Parameters!$C$20 - Sheet6!E58)/(Fuzzy_Parameters!$C$20 - Fuzzy_Parameters!$C$19)), 0)</f>
        <v>0</v>
      </c>
      <c r="J58" s="25">
        <f>MAX(MIN((Sheet6!E58 - Fuzzy_Parameters!$C$19)/(Fuzzy_Parameters!$C$20 - Fuzzy_Parameters!$C$19), 1, (Fuzzy_Parameters!$C$22 - Sheet6!E58)/(Fuzzy_Parameters!$C$22 - Fuzzy_Parameters!$C$21)), 0)</f>
        <v>1</v>
      </c>
      <c r="K58" s="25">
        <f>MAX(MIN((Sheet6!E58 - Fuzzy_Parameters!$C$21)/(Fuzzy_Parameters!$C$22 - Fuzzy_Parameters!$C$21), 1), 0)</f>
        <v>0</v>
      </c>
      <c r="L58" s="25">
        <f>MAX(MIN(1, (Fuzzy_Parameters!$C$28 - Sheet6!F58)/(Fuzzy_Parameters!$C$28 - Fuzzy_Parameters!$C$27)), 0)</f>
        <v>0</v>
      </c>
      <c r="M58" s="25">
        <f>MAX(MIN((Sheet6!F58 - Fuzzy_Parameters!$C$27)/(Fuzzy_Parameters!$C$28 - Fuzzy_Parameters!$C$27), 1, (Fuzzy_Parameters!$C$30 - Sheet6!F58)/(Fuzzy_Parameters!$C$30 - Fuzzy_Parameters!$C$29)), 0)</f>
        <v>0.9498748825</v>
      </c>
      <c r="N58" s="25">
        <f>MAX(MIN((Sheet6!F58 - Fuzzy_Parameters!$C$29)/(Fuzzy_Parameters!$C$30 - Fuzzy_Parameters!$C$29), 1), 0)</f>
        <v>0.05012511748</v>
      </c>
    </row>
    <row r="59">
      <c r="A59" s="6" t="s">
        <v>7</v>
      </c>
      <c r="B59" s="26">
        <v>2019.0</v>
      </c>
      <c r="C59" s="25">
        <f>MAX(MIN(1, (Fuzzy_Parameters!$C$4 - Sheet6!C59)/(Fuzzy_Parameters!$C$4 - Fuzzy_Parameters!$C$3)), 0)</f>
        <v>1</v>
      </c>
      <c r="D59" s="25">
        <f>MAX(MIN((Sheet6!C59 - Fuzzy_Parameters!$C$3)/(Fuzzy_Parameters!$C$4 - Fuzzy_Parameters!$C$3), 1, (Fuzzy_Parameters!$C$6 - Sheet6!C59)/(Fuzzy_Parameters!$C$6 - Fuzzy_Parameters!$C$5)), 0)</f>
        <v>0</v>
      </c>
      <c r="E59" s="25">
        <f>MAX(MIN((Sheet6!C59 - Fuzzy_Parameters!$C$5)/(Fuzzy_Parameters!$C$6 - Fuzzy_Parameters!$C$5), 1), 0)</f>
        <v>0</v>
      </c>
      <c r="F59" s="25">
        <f>MAX(MIN(1, (Fuzzy_Parameters!$C$12 - Sheet6!D59)/(Fuzzy_Parameters!$C$12 - Fuzzy_Parameters!$C$11)), 0)</f>
        <v>0</v>
      </c>
      <c r="G59" s="25">
        <f>MAX(MIN((Sheet6!D59 - Fuzzy_Parameters!$C$11)/(Fuzzy_Parameters!$C$12 - Fuzzy_Parameters!$C$11), 1, (Fuzzy_Parameters!$C$14 - Sheet6!D59)/(Fuzzy_Parameters!$C$14 - Fuzzy_Parameters!$C$13)), 0)</f>
        <v>0</v>
      </c>
      <c r="H59" s="25">
        <f>MAX(MIN((Sheet6!D59 - Fuzzy_Parameters!$C$13)/(Fuzzy_Parameters!$C$14 - Fuzzy_Parameters!$C$13), 1), 0)</f>
        <v>1</v>
      </c>
      <c r="I59" s="25">
        <f>MAX(MIN(1, (Fuzzy_Parameters!$C$20 - Sheet6!E59)/(Fuzzy_Parameters!$C$20 - Fuzzy_Parameters!$C$19)), 0)</f>
        <v>0.7822580645</v>
      </c>
      <c r="J59" s="25">
        <f>MAX(MIN((Sheet6!E59 - Fuzzy_Parameters!$C$19)/(Fuzzy_Parameters!$C$20 - Fuzzy_Parameters!$C$19), 1, (Fuzzy_Parameters!$C$22 - Sheet6!E59)/(Fuzzy_Parameters!$C$22 - Fuzzy_Parameters!$C$21)), 0)</f>
        <v>0.2177419355</v>
      </c>
      <c r="K59" s="25">
        <f>MAX(MIN((Sheet6!E59 - Fuzzy_Parameters!$C$21)/(Fuzzy_Parameters!$C$22 - Fuzzy_Parameters!$C$21), 1), 0)</f>
        <v>0</v>
      </c>
      <c r="L59" s="25">
        <f>MAX(MIN(1, (Fuzzy_Parameters!$C$28 - Sheet6!F59)/(Fuzzy_Parameters!$C$28 - Fuzzy_Parameters!$C$27)), 0)</f>
        <v>0</v>
      </c>
      <c r="M59" s="25">
        <f>MAX(MIN((Sheet6!F59 - Fuzzy_Parameters!$C$27)/(Fuzzy_Parameters!$C$28 - Fuzzy_Parameters!$C$27), 1, (Fuzzy_Parameters!$C$30 - Sheet6!F59)/(Fuzzy_Parameters!$C$30 - Fuzzy_Parameters!$C$29)), 0)</f>
        <v>0.8598971731</v>
      </c>
      <c r="N59" s="25">
        <f>MAX(MIN((Sheet6!F59 - Fuzzy_Parameters!$C$29)/(Fuzzy_Parameters!$C$30 - Fuzzy_Parameters!$C$29), 1), 0)</f>
        <v>0.1401028269</v>
      </c>
    </row>
    <row r="60">
      <c r="A60" s="6" t="s">
        <v>7</v>
      </c>
      <c r="B60" s="26">
        <v>2018.0</v>
      </c>
      <c r="C60" s="25">
        <f>MAX(MIN(1, (Fuzzy_Parameters!$C$4 - Sheet6!C60)/(Fuzzy_Parameters!$C$4 - Fuzzy_Parameters!$C$3)), 0)</f>
        <v>1</v>
      </c>
      <c r="D60" s="25">
        <f>MAX(MIN((Sheet6!C60 - Fuzzy_Parameters!$C$3)/(Fuzzy_Parameters!$C$4 - Fuzzy_Parameters!$C$3), 1, (Fuzzy_Parameters!$C$6 - Sheet6!C60)/(Fuzzy_Parameters!$C$6 - Fuzzy_Parameters!$C$5)), 0)</f>
        <v>0</v>
      </c>
      <c r="E60" s="25">
        <f>MAX(MIN((Sheet6!C60 - Fuzzy_Parameters!$C$5)/(Fuzzy_Parameters!$C$6 - Fuzzy_Parameters!$C$5), 1), 0)</f>
        <v>0</v>
      </c>
      <c r="F60" s="25">
        <f>MAX(MIN(1, (Fuzzy_Parameters!$C$12 - Sheet6!D60)/(Fuzzy_Parameters!$C$12 - Fuzzy_Parameters!$C$11)), 0)</f>
        <v>0</v>
      </c>
      <c r="G60" s="25">
        <f>MAX(MIN((Sheet6!D60 - Fuzzy_Parameters!$C$11)/(Fuzzy_Parameters!$C$12 - Fuzzy_Parameters!$C$11), 1, (Fuzzy_Parameters!$C$14 - Sheet6!D60)/(Fuzzy_Parameters!$C$14 - Fuzzy_Parameters!$C$13)), 0)</f>
        <v>0</v>
      </c>
      <c r="H60" s="25">
        <f>MAX(MIN((Sheet6!D60 - Fuzzy_Parameters!$C$13)/(Fuzzy_Parameters!$C$14 - Fuzzy_Parameters!$C$13), 1), 0)</f>
        <v>1</v>
      </c>
      <c r="I60" s="25">
        <f>MAX(MIN(1, (Fuzzy_Parameters!$C$20 - Sheet6!E60)/(Fuzzy_Parameters!$C$20 - Fuzzy_Parameters!$C$19)), 0)</f>
        <v>0.5806451613</v>
      </c>
      <c r="J60" s="25">
        <f>MAX(MIN((Sheet6!E60 - Fuzzy_Parameters!$C$19)/(Fuzzy_Parameters!$C$20 - Fuzzy_Parameters!$C$19), 1, (Fuzzy_Parameters!$C$22 - Sheet6!E60)/(Fuzzy_Parameters!$C$22 - Fuzzy_Parameters!$C$21)), 0)</f>
        <v>0.4193548387</v>
      </c>
      <c r="K60" s="25">
        <f>MAX(MIN((Sheet6!E60 - Fuzzy_Parameters!$C$21)/(Fuzzy_Parameters!$C$22 - Fuzzy_Parameters!$C$21), 1), 0)</f>
        <v>0</v>
      </c>
      <c r="L60" s="25">
        <f>MAX(MIN(1, (Fuzzy_Parameters!$C$28 - Sheet6!F60)/(Fuzzy_Parameters!$C$28 - Fuzzy_Parameters!$C$27)), 0)</f>
        <v>0</v>
      </c>
      <c r="M60" s="25">
        <f>MAX(MIN((Sheet6!F60 - Fuzzy_Parameters!$C$27)/(Fuzzy_Parameters!$C$28 - Fuzzy_Parameters!$C$27), 1, (Fuzzy_Parameters!$C$30 - Sheet6!F60)/(Fuzzy_Parameters!$C$30 - Fuzzy_Parameters!$C$29)), 0)</f>
        <v>1</v>
      </c>
      <c r="N60" s="25">
        <f>MAX(MIN((Sheet6!F60 - Fuzzy_Parameters!$C$29)/(Fuzzy_Parameters!$C$30 - Fuzzy_Parameters!$C$29), 1), 0)</f>
        <v>0</v>
      </c>
    </row>
    <row r="61">
      <c r="A61" s="6" t="s">
        <v>7</v>
      </c>
      <c r="B61" s="26">
        <v>2017.0</v>
      </c>
      <c r="C61" s="25">
        <f>MAX(MIN(1, (Fuzzy_Parameters!$C$4 - Sheet6!C61)/(Fuzzy_Parameters!$C$4 - Fuzzy_Parameters!$C$3)), 0)</f>
        <v>1</v>
      </c>
      <c r="D61" s="25">
        <f>MAX(MIN((Sheet6!C61 - Fuzzy_Parameters!$C$3)/(Fuzzy_Parameters!$C$4 - Fuzzy_Parameters!$C$3), 1, (Fuzzy_Parameters!$C$6 - Sheet6!C61)/(Fuzzy_Parameters!$C$6 - Fuzzy_Parameters!$C$5)), 0)</f>
        <v>0</v>
      </c>
      <c r="E61" s="25">
        <f>MAX(MIN((Sheet6!C61 - Fuzzy_Parameters!$C$5)/(Fuzzy_Parameters!$C$6 - Fuzzy_Parameters!$C$5), 1), 0)</f>
        <v>0</v>
      </c>
      <c r="F61" s="25">
        <f>MAX(MIN(1, (Fuzzy_Parameters!$C$12 - Sheet6!D61)/(Fuzzy_Parameters!$C$12 - Fuzzy_Parameters!$C$11)), 0)</f>
        <v>0</v>
      </c>
      <c r="G61" s="25">
        <f>MAX(MIN((Sheet6!D61 - Fuzzy_Parameters!$C$11)/(Fuzzy_Parameters!$C$12 - Fuzzy_Parameters!$C$11), 1, (Fuzzy_Parameters!$C$14 - Sheet6!D61)/(Fuzzy_Parameters!$C$14 - Fuzzy_Parameters!$C$13)), 0)</f>
        <v>1</v>
      </c>
      <c r="H61" s="25">
        <f>MAX(MIN((Sheet6!D61 - Fuzzy_Parameters!$C$13)/(Fuzzy_Parameters!$C$14 - Fuzzy_Parameters!$C$13), 1), 0)</f>
        <v>0</v>
      </c>
      <c r="I61" s="25">
        <f>MAX(MIN(1, (Fuzzy_Parameters!$C$20 - Sheet6!E61)/(Fuzzy_Parameters!$C$20 - Fuzzy_Parameters!$C$19)), 0)</f>
        <v>0.935483871</v>
      </c>
      <c r="J61" s="25">
        <f>MAX(MIN((Sheet6!E61 - Fuzzy_Parameters!$C$19)/(Fuzzy_Parameters!$C$20 - Fuzzy_Parameters!$C$19), 1, (Fuzzy_Parameters!$C$22 - Sheet6!E61)/(Fuzzy_Parameters!$C$22 - Fuzzy_Parameters!$C$21)), 0)</f>
        <v>0.06451612903</v>
      </c>
      <c r="K61" s="25">
        <f>MAX(MIN((Sheet6!E61 - Fuzzy_Parameters!$C$21)/(Fuzzy_Parameters!$C$22 - Fuzzy_Parameters!$C$21), 1), 0)</f>
        <v>0</v>
      </c>
      <c r="L61" s="25">
        <f>MAX(MIN(1, (Fuzzy_Parameters!$C$28 - Sheet6!F61)/(Fuzzy_Parameters!$C$28 - Fuzzy_Parameters!$C$27)), 0)</f>
        <v>0</v>
      </c>
      <c r="M61" s="25">
        <f>MAX(MIN((Sheet6!F61 - Fuzzy_Parameters!$C$27)/(Fuzzy_Parameters!$C$28 - Fuzzy_Parameters!$C$27), 1, (Fuzzy_Parameters!$C$30 - Sheet6!F61)/(Fuzzy_Parameters!$C$30 - Fuzzy_Parameters!$C$29)), 0)</f>
        <v>0.9498748825</v>
      </c>
      <c r="N61" s="25">
        <f>MAX(MIN((Sheet6!F61 - Fuzzy_Parameters!$C$29)/(Fuzzy_Parameters!$C$30 - Fuzzy_Parameters!$C$29), 1), 0)</f>
        <v>0.05012511748</v>
      </c>
    </row>
    <row r="62">
      <c r="A62" s="6" t="s">
        <v>7</v>
      </c>
      <c r="B62" s="26">
        <v>2016.0</v>
      </c>
      <c r="C62" s="25">
        <f>MAX(MIN(1, (Fuzzy_Parameters!$C$4 - Sheet6!C62)/(Fuzzy_Parameters!$C$4 - Fuzzy_Parameters!$C$3)), 0)</f>
        <v>0.4537356938</v>
      </c>
      <c r="D62" s="25">
        <f>MAX(MIN((Sheet6!C62 - Fuzzy_Parameters!$C$3)/(Fuzzy_Parameters!$C$4 - Fuzzy_Parameters!$C$3), 1, (Fuzzy_Parameters!$C$6 - Sheet6!C62)/(Fuzzy_Parameters!$C$6 - Fuzzy_Parameters!$C$5)), 0)</f>
        <v>0.5462643062</v>
      </c>
      <c r="E62" s="25">
        <f>MAX(MIN((Sheet6!C62 - Fuzzy_Parameters!$C$5)/(Fuzzy_Parameters!$C$6 - Fuzzy_Parameters!$C$5), 1), 0)</f>
        <v>0</v>
      </c>
      <c r="F62" s="25">
        <f>MAX(MIN(1, (Fuzzy_Parameters!$C$12 - Sheet6!D62)/(Fuzzy_Parameters!$C$12 - Fuzzy_Parameters!$C$11)), 0)</f>
        <v>0</v>
      </c>
      <c r="G62" s="25">
        <f>MAX(MIN((Sheet6!D62 - Fuzzy_Parameters!$C$11)/(Fuzzy_Parameters!$C$12 - Fuzzy_Parameters!$C$11), 1, (Fuzzy_Parameters!$C$14 - Sheet6!D62)/(Fuzzy_Parameters!$C$14 - Fuzzy_Parameters!$C$13)), 0)</f>
        <v>1</v>
      </c>
      <c r="H62" s="25">
        <f>MAX(MIN((Sheet6!D62 - Fuzzy_Parameters!$C$13)/(Fuzzy_Parameters!$C$14 - Fuzzy_Parameters!$C$13), 1), 0)</f>
        <v>0</v>
      </c>
      <c r="I62" s="25">
        <f>MAX(MIN(1, (Fuzzy_Parameters!$C$20 - Sheet6!E62)/(Fuzzy_Parameters!$C$20 - Fuzzy_Parameters!$C$19)), 0)</f>
        <v>0.9435483871</v>
      </c>
      <c r="J62" s="25">
        <f>MAX(MIN((Sheet6!E62 - Fuzzy_Parameters!$C$19)/(Fuzzy_Parameters!$C$20 - Fuzzy_Parameters!$C$19), 1, (Fuzzy_Parameters!$C$22 - Sheet6!E62)/(Fuzzy_Parameters!$C$22 - Fuzzy_Parameters!$C$21)), 0)</f>
        <v>0.0564516129</v>
      </c>
      <c r="K62" s="25">
        <f>MAX(MIN((Sheet6!E62 - Fuzzy_Parameters!$C$21)/(Fuzzy_Parameters!$C$22 - Fuzzy_Parameters!$C$21), 1), 0)</f>
        <v>0</v>
      </c>
      <c r="L62" s="25">
        <f>MAX(MIN(1, (Fuzzy_Parameters!$C$28 - Sheet6!F62)/(Fuzzy_Parameters!$C$28 - Fuzzy_Parameters!$C$27)), 0)</f>
        <v>0</v>
      </c>
      <c r="M62" s="25">
        <f>MAX(MIN((Sheet6!F62 - Fuzzy_Parameters!$C$27)/(Fuzzy_Parameters!$C$28 - Fuzzy_Parameters!$C$27), 1, (Fuzzy_Parameters!$C$30 - Sheet6!F62)/(Fuzzy_Parameters!$C$30 - Fuzzy_Parameters!$C$29)), 0)</f>
        <v>0.9608573796</v>
      </c>
      <c r="N62" s="25">
        <f>MAX(MIN((Sheet6!F62 - Fuzzy_Parameters!$C$29)/(Fuzzy_Parameters!$C$30 - Fuzzy_Parameters!$C$29), 1), 0)</f>
        <v>0.03914262037</v>
      </c>
    </row>
    <row r="63">
      <c r="A63" s="6" t="s">
        <v>7</v>
      </c>
      <c r="B63" s="26">
        <v>2015.0</v>
      </c>
      <c r="C63" s="25">
        <f>MAX(MIN(1, (Fuzzy_Parameters!$C$4 - Sheet6!C63)/(Fuzzy_Parameters!$C$4 - Fuzzy_Parameters!$C$3)), 0)</f>
        <v>0.8595317255</v>
      </c>
      <c r="D63" s="25">
        <f>MAX(MIN((Sheet6!C63 - Fuzzy_Parameters!$C$3)/(Fuzzy_Parameters!$C$4 - Fuzzy_Parameters!$C$3), 1, (Fuzzy_Parameters!$C$6 - Sheet6!C63)/(Fuzzy_Parameters!$C$6 - Fuzzy_Parameters!$C$5)), 0)</f>
        <v>0.1404682745</v>
      </c>
      <c r="E63" s="25">
        <f>MAX(MIN((Sheet6!C63 - Fuzzy_Parameters!$C$5)/(Fuzzy_Parameters!$C$6 - Fuzzy_Parameters!$C$5), 1), 0)</f>
        <v>0</v>
      </c>
      <c r="F63" s="25">
        <f>MAX(MIN(1, (Fuzzy_Parameters!$C$12 - Sheet6!D63)/(Fuzzy_Parameters!$C$12 - Fuzzy_Parameters!$C$11)), 0)</f>
        <v>0</v>
      </c>
      <c r="G63" s="25">
        <f>MAX(MIN((Sheet6!D63 - Fuzzy_Parameters!$C$11)/(Fuzzy_Parameters!$C$12 - Fuzzy_Parameters!$C$11), 1, (Fuzzy_Parameters!$C$14 - Sheet6!D63)/(Fuzzy_Parameters!$C$14 - Fuzzy_Parameters!$C$13)), 0)</f>
        <v>0.5115104394</v>
      </c>
      <c r="H63" s="25">
        <f>MAX(MIN((Sheet6!D63 - Fuzzy_Parameters!$C$13)/(Fuzzy_Parameters!$C$14 - Fuzzy_Parameters!$C$13), 1), 0)</f>
        <v>0.4884895606</v>
      </c>
      <c r="I63" s="25">
        <f>MAX(MIN(1, (Fuzzy_Parameters!$C$20 - Sheet6!E63)/(Fuzzy_Parameters!$C$20 - Fuzzy_Parameters!$C$19)), 0)</f>
        <v>0.7903225806</v>
      </c>
      <c r="J63" s="25">
        <f>MAX(MIN((Sheet6!E63 - Fuzzy_Parameters!$C$19)/(Fuzzy_Parameters!$C$20 - Fuzzy_Parameters!$C$19), 1, (Fuzzy_Parameters!$C$22 - Sheet6!E63)/(Fuzzy_Parameters!$C$22 - Fuzzy_Parameters!$C$21)), 0)</f>
        <v>0.2096774194</v>
      </c>
      <c r="K63" s="25">
        <f>MAX(MIN((Sheet6!E63 - Fuzzy_Parameters!$C$21)/(Fuzzy_Parameters!$C$22 - Fuzzy_Parameters!$C$21), 1), 0)</f>
        <v>0</v>
      </c>
      <c r="L63" s="25">
        <f>MAX(MIN(1, (Fuzzy_Parameters!$C$28 - Sheet6!F63)/(Fuzzy_Parameters!$C$28 - Fuzzy_Parameters!$C$27)), 0)</f>
        <v>0</v>
      </c>
      <c r="M63" s="25">
        <f>MAX(MIN((Sheet6!F63 - Fuzzy_Parameters!$C$27)/(Fuzzy_Parameters!$C$28 - Fuzzy_Parameters!$C$27), 1, (Fuzzy_Parameters!$C$30 - Sheet6!F63)/(Fuzzy_Parameters!$C$30 - Fuzzy_Parameters!$C$29)), 0)</f>
        <v>0.8244899553</v>
      </c>
      <c r="N63" s="25">
        <f>MAX(MIN((Sheet6!F63 - Fuzzy_Parameters!$C$29)/(Fuzzy_Parameters!$C$30 - Fuzzy_Parameters!$C$29), 1), 0)</f>
        <v>0.1755100447</v>
      </c>
    </row>
    <row r="64">
      <c r="A64" s="56" t="s">
        <v>7</v>
      </c>
      <c r="B64" s="57">
        <v>2014.0</v>
      </c>
      <c r="C64" s="25">
        <f>MAX(MIN(1, (Fuzzy_Parameters!$C$4 - Sheet6!C64)/(Fuzzy_Parameters!$C$4 - Fuzzy_Parameters!$C$3)), 0)</f>
        <v>1</v>
      </c>
      <c r="D64" s="25">
        <f>MAX(MIN((Sheet6!C64 - Fuzzy_Parameters!$C$3)/(Fuzzy_Parameters!$C$4 - Fuzzy_Parameters!$C$3), 1, (Fuzzy_Parameters!$C$6 - Sheet6!C64)/(Fuzzy_Parameters!$C$6 - Fuzzy_Parameters!$C$5)), 0)</f>
        <v>0</v>
      </c>
      <c r="E64" s="25">
        <f>MAX(MIN((Sheet6!C64 - Fuzzy_Parameters!$C$5)/(Fuzzy_Parameters!$C$6 - Fuzzy_Parameters!$C$5), 1), 0)</f>
        <v>0</v>
      </c>
      <c r="F64" s="25">
        <f>MAX(MIN(1, (Fuzzy_Parameters!$C$12 - Sheet6!D64)/(Fuzzy_Parameters!$C$12 - Fuzzy_Parameters!$C$11)), 0)</f>
        <v>1</v>
      </c>
      <c r="G64" s="25">
        <f>MAX(MIN((Sheet6!D64 - Fuzzy_Parameters!$C$11)/(Fuzzy_Parameters!$C$12 - Fuzzy_Parameters!$C$11), 1, (Fuzzy_Parameters!$C$14 - Sheet6!D64)/(Fuzzy_Parameters!$C$14 - Fuzzy_Parameters!$C$13)), 0)</f>
        <v>0</v>
      </c>
      <c r="H64" s="25">
        <f>MAX(MIN((Sheet6!D64 - Fuzzy_Parameters!$C$13)/(Fuzzy_Parameters!$C$14 - Fuzzy_Parameters!$C$13), 1), 0)</f>
        <v>0</v>
      </c>
      <c r="I64" s="25">
        <f>MAX(MIN(1, (Fuzzy_Parameters!$C$20 - Sheet6!E64)/(Fuzzy_Parameters!$C$20 - Fuzzy_Parameters!$C$19)), 0)</f>
        <v>0.935483871</v>
      </c>
      <c r="J64" s="25">
        <f>MAX(MIN((Sheet6!E64 - Fuzzy_Parameters!$C$19)/(Fuzzy_Parameters!$C$20 - Fuzzy_Parameters!$C$19), 1, (Fuzzy_Parameters!$C$22 - Sheet6!E64)/(Fuzzy_Parameters!$C$22 - Fuzzy_Parameters!$C$21)), 0)</f>
        <v>0.06451612903</v>
      </c>
      <c r="K64" s="25">
        <f>MAX(MIN((Sheet6!E64 - Fuzzy_Parameters!$C$21)/(Fuzzy_Parameters!$C$22 - Fuzzy_Parameters!$C$21), 1), 0)</f>
        <v>0</v>
      </c>
      <c r="L64" s="25">
        <f>MAX(MIN(1, (Fuzzy_Parameters!$C$28 - Sheet6!F64)/(Fuzzy_Parameters!$C$28 - Fuzzy_Parameters!$C$27)), 0)</f>
        <v>0</v>
      </c>
      <c r="M64" s="25">
        <f>MAX(MIN((Sheet6!F64 - Fuzzy_Parameters!$C$27)/(Fuzzy_Parameters!$C$28 - Fuzzy_Parameters!$C$27), 1, (Fuzzy_Parameters!$C$30 - Sheet6!F64)/(Fuzzy_Parameters!$C$30 - Fuzzy_Parameters!$C$29)), 0)</f>
        <v>1</v>
      </c>
      <c r="N64" s="25">
        <f>MAX(MIN((Sheet6!F64 - Fuzzy_Parameters!$C$29)/(Fuzzy_Parameters!$C$30 - Fuzzy_Parameters!$C$29), 1), 0)</f>
        <v>0</v>
      </c>
    </row>
    <row r="65">
      <c r="A65" s="6" t="s">
        <v>8</v>
      </c>
      <c r="B65" s="26">
        <v>2022.0</v>
      </c>
      <c r="C65" s="25">
        <f>MAX(MIN(1, (Fuzzy_Parameters!$C$4 - Sheet6!C65)/(Fuzzy_Parameters!$C$4 - Fuzzy_Parameters!$C$3)), 0)</f>
        <v>0</v>
      </c>
      <c r="D65" s="25">
        <f>MAX(MIN((Sheet6!C65 - Fuzzy_Parameters!$C$3)/(Fuzzy_Parameters!$C$4 - Fuzzy_Parameters!$C$3), 1, (Fuzzy_Parameters!$C$6 - Sheet6!C65)/(Fuzzy_Parameters!$C$6 - Fuzzy_Parameters!$C$5)), 0)</f>
        <v>0.7162161349</v>
      </c>
      <c r="E65" s="25">
        <f>MAX(MIN((Sheet6!C65 - Fuzzy_Parameters!$C$5)/(Fuzzy_Parameters!$C$6 - Fuzzy_Parameters!$C$5), 1), 0)</f>
        <v>0.2837838651</v>
      </c>
      <c r="F65" s="25">
        <f>MAX(MIN(1, (Fuzzy_Parameters!$C$12 - Sheet6!D65)/(Fuzzy_Parameters!$C$12 - Fuzzy_Parameters!$C$11)), 0)</f>
        <v>0</v>
      </c>
      <c r="G65" s="25">
        <f>MAX(MIN((Sheet6!D65 - Fuzzy_Parameters!$C$11)/(Fuzzy_Parameters!$C$12 - Fuzzy_Parameters!$C$11), 1, (Fuzzy_Parameters!$C$14 - Sheet6!D65)/(Fuzzy_Parameters!$C$14 - Fuzzy_Parameters!$C$13)), 0)</f>
        <v>0</v>
      </c>
      <c r="H65" s="25">
        <f>MAX(MIN((Sheet6!D65 - Fuzzy_Parameters!$C$13)/(Fuzzy_Parameters!$C$14 - Fuzzy_Parameters!$C$13), 1), 0)</f>
        <v>1</v>
      </c>
      <c r="I65" s="25">
        <f>MAX(MIN(1, (Fuzzy_Parameters!$C$20 - Sheet6!E65)/(Fuzzy_Parameters!$C$20 - Fuzzy_Parameters!$C$19)), 0)</f>
        <v>0</v>
      </c>
      <c r="J65" s="25">
        <f>MAX(MIN((Sheet6!E65 - Fuzzy_Parameters!$C$19)/(Fuzzy_Parameters!$C$20 - Fuzzy_Parameters!$C$19), 1, (Fuzzy_Parameters!$C$22 - Sheet6!E65)/(Fuzzy_Parameters!$C$22 - Fuzzy_Parameters!$C$21)), 0)</f>
        <v>1</v>
      </c>
      <c r="K65" s="25">
        <f>MAX(MIN((Sheet6!E65 - Fuzzy_Parameters!$C$21)/(Fuzzy_Parameters!$C$22 - Fuzzy_Parameters!$C$21), 1), 0)</f>
        <v>0</v>
      </c>
      <c r="L65" s="25">
        <f>MAX(MIN(1, (Fuzzy_Parameters!$C$28 - Sheet6!F65)/(Fuzzy_Parameters!$C$28 - Fuzzy_Parameters!$C$27)), 0)</f>
        <v>1</v>
      </c>
      <c r="M65" s="25">
        <f>MAX(MIN((Sheet6!F65 - Fuzzy_Parameters!$C$27)/(Fuzzy_Parameters!$C$28 - Fuzzy_Parameters!$C$27), 1, (Fuzzy_Parameters!$C$30 - Sheet6!F65)/(Fuzzy_Parameters!$C$30 - Fuzzy_Parameters!$C$29)), 0)</f>
        <v>0</v>
      </c>
      <c r="N65" s="25">
        <f>MAX(MIN((Sheet6!F65 - Fuzzy_Parameters!$C$29)/(Fuzzy_Parameters!$C$30 - Fuzzy_Parameters!$C$29), 1), 0)</f>
        <v>0</v>
      </c>
    </row>
    <row r="66">
      <c r="A66" s="6" t="s">
        <v>8</v>
      </c>
      <c r="B66" s="26">
        <v>2021.0</v>
      </c>
      <c r="C66" s="25">
        <f>MAX(MIN(1, (Fuzzy_Parameters!$C$4 - Sheet6!C66)/(Fuzzy_Parameters!$C$4 - Fuzzy_Parameters!$C$3)), 0)</f>
        <v>0</v>
      </c>
      <c r="D66" s="25">
        <f>MAX(MIN((Sheet6!C66 - Fuzzy_Parameters!$C$3)/(Fuzzy_Parameters!$C$4 - Fuzzy_Parameters!$C$3), 1, (Fuzzy_Parameters!$C$6 - Sheet6!C66)/(Fuzzy_Parameters!$C$6 - Fuzzy_Parameters!$C$5)), 0)</f>
        <v>0.9611485653</v>
      </c>
      <c r="E66" s="25">
        <f>MAX(MIN((Sheet6!C66 - Fuzzy_Parameters!$C$5)/(Fuzzy_Parameters!$C$6 - Fuzzy_Parameters!$C$5), 1), 0)</f>
        <v>0.0388514347</v>
      </c>
      <c r="F66" s="25">
        <f>MAX(MIN(1, (Fuzzy_Parameters!$C$12 - Sheet6!D66)/(Fuzzy_Parameters!$C$12 - Fuzzy_Parameters!$C$11)), 0)</f>
        <v>0</v>
      </c>
      <c r="G66" s="25">
        <f>MAX(MIN((Sheet6!D66 - Fuzzy_Parameters!$C$11)/(Fuzzy_Parameters!$C$12 - Fuzzy_Parameters!$C$11), 1, (Fuzzy_Parameters!$C$14 - Sheet6!D66)/(Fuzzy_Parameters!$C$14 - Fuzzy_Parameters!$C$13)), 0)</f>
        <v>0.7405949819</v>
      </c>
      <c r="H66" s="25">
        <f>MAX(MIN((Sheet6!D66 - Fuzzy_Parameters!$C$13)/(Fuzzy_Parameters!$C$14 - Fuzzy_Parameters!$C$13), 1), 0)</f>
        <v>0.2594050181</v>
      </c>
      <c r="I66" s="25">
        <f>MAX(MIN(1, (Fuzzy_Parameters!$C$20 - Sheet6!E66)/(Fuzzy_Parameters!$C$20 - Fuzzy_Parameters!$C$19)), 0)</f>
        <v>0</v>
      </c>
      <c r="J66" s="25">
        <f>MAX(MIN((Sheet6!E66 - Fuzzy_Parameters!$C$19)/(Fuzzy_Parameters!$C$20 - Fuzzy_Parameters!$C$19), 1, (Fuzzy_Parameters!$C$22 - Sheet6!E66)/(Fuzzy_Parameters!$C$22 - Fuzzy_Parameters!$C$21)), 0)</f>
        <v>1</v>
      </c>
      <c r="K66" s="25">
        <f>MAX(MIN((Sheet6!E66 - Fuzzy_Parameters!$C$21)/(Fuzzy_Parameters!$C$22 - Fuzzy_Parameters!$C$21), 1), 0)</f>
        <v>0</v>
      </c>
      <c r="L66" s="25">
        <f>MAX(MIN(1, (Fuzzy_Parameters!$C$28 - Sheet6!F66)/(Fuzzy_Parameters!$C$28 - Fuzzy_Parameters!$C$27)), 0)</f>
        <v>1</v>
      </c>
      <c r="M66" s="25">
        <f>MAX(MIN((Sheet6!F66 - Fuzzy_Parameters!$C$27)/(Fuzzy_Parameters!$C$28 - Fuzzy_Parameters!$C$27), 1, (Fuzzy_Parameters!$C$30 - Sheet6!F66)/(Fuzzy_Parameters!$C$30 - Fuzzy_Parameters!$C$29)), 0)</f>
        <v>0</v>
      </c>
      <c r="N66" s="25">
        <f>MAX(MIN((Sheet6!F66 - Fuzzy_Parameters!$C$29)/(Fuzzy_Parameters!$C$30 - Fuzzy_Parameters!$C$29), 1), 0)</f>
        <v>0</v>
      </c>
    </row>
    <row r="67">
      <c r="A67" s="6" t="s">
        <v>8</v>
      </c>
      <c r="B67" s="26">
        <v>2020.0</v>
      </c>
      <c r="C67" s="25">
        <f>MAX(MIN(1, (Fuzzy_Parameters!$C$4 - Sheet6!C67)/(Fuzzy_Parameters!$C$4 - Fuzzy_Parameters!$C$3)), 0)</f>
        <v>0</v>
      </c>
      <c r="D67" s="25">
        <f>MAX(MIN((Sheet6!C67 - Fuzzy_Parameters!$C$3)/(Fuzzy_Parameters!$C$4 - Fuzzy_Parameters!$C$3), 1, (Fuzzy_Parameters!$C$6 - Sheet6!C67)/(Fuzzy_Parameters!$C$6 - Fuzzy_Parameters!$C$5)), 0)</f>
        <v>0.9701574578</v>
      </c>
      <c r="E67" s="25">
        <f>MAX(MIN((Sheet6!C67 - Fuzzy_Parameters!$C$5)/(Fuzzy_Parameters!$C$6 - Fuzzy_Parameters!$C$5), 1), 0)</f>
        <v>0.02984254223</v>
      </c>
      <c r="F67" s="25">
        <f>MAX(MIN(1, (Fuzzy_Parameters!$C$12 - Sheet6!D67)/(Fuzzy_Parameters!$C$12 - Fuzzy_Parameters!$C$11)), 0)</f>
        <v>0.2269940908</v>
      </c>
      <c r="G67" s="25">
        <f>MAX(MIN((Sheet6!D67 - Fuzzy_Parameters!$C$11)/(Fuzzy_Parameters!$C$12 - Fuzzy_Parameters!$C$11), 1, (Fuzzy_Parameters!$C$14 - Sheet6!D67)/(Fuzzy_Parameters!$C$14 - Fuzzy_Parameters!$C$13)), 0)</f>
        <v>0.7730059092</v>
      </c>
      <c r="H67" s="25">
        <f>MAX(MIN((Sheet6!D67 - Fuzzy_Parameters!$C$13)/(Fuzzy_Parameters!$C$14 - Fuzzy_Parameters!$C$13), 1), 0)</f>
        <v>0</v>
      </c>
      <c r="I67" s="25">
        <f>MAX(MIN(1, (Fuzzy_Parameters!$C$20 - Sheet6!E67)/(Fuzzy_Parameters!$C$20 - Fuzzy_Parameters!$C$19)), 0)</f>
        <v>0.7580645161</v>
      </c>
      <c r="J67" s="25">
        <f>MAX(MIN((Sheet6!E67 - Fuzzy_Parameters!$C$19)/(Fuzzy_Parameters!$C$20 - Fuzzy_Parameters!$C$19), 1, (Fuzzy_Parameters!$C$22 - Sheet6!E67)/(Fuzzy_Parameters!$C$22 - Fuzzy_Parameters!$C$21)), 0)</f>
        <v>0.2419354839</v>
      </c>
      <c r="K67" s="25">
        <f>MAX(MIN((Sheet6!E67 - Fuzzy_Parameters!$C$21)/(Fuzzy_Parameters!$C$22 - Fuzzy_Parameters!$C$21), 1), 0)</f>
        <v>0</v>
      </c>
      <c r="L67" s="25">
        <f>MAX(MIN(1, (Fuzzy_Parameters!$C$28 - Sheet6!F67)/(Fuzzy_Parameters!$C$28 - Fuzzy_Parameters!$C$27)), 0)</f>
        <v>1</v>
      </c>
      <c r="M67" s="25">
        <f>MAX(MIN((Sheet6!F67 - Fuzzy_Parameters!$C$27)/(Fuzzy_Parameters!$C$28 - Fuzzy_Parameters!$C$27), 1, (Fuzzy_Parameters!$C$30 - Sheet6!F67)/(Fuzzy_Parameters!$C$30 - Fuzzy_Parameters!$C$29)), 0)</f>
        <v>0</v>
      </c>
      <c r="N67" s="25">
        <f>MAX(MIN((Sheet6!F67 - Fuzzy_Parameters!$C$29)/(Fuzzy_Parameters!$C$30 - Fuzzy_Parameters!$C$29), 1), 0)</f>
        <v>0</v>
      </c>
    </row>
    <row r="68">
      <c r="A68" s="6" t="s">
        <v>8</v>
      </c>
      <c r="B68" s="26">
        <v>2019.0</v>
      </c>
      <c r="C68" s="25">
        <f>MAX(MIN(1, (Fuzzy_Parameters!$C$4 - Sheet6!C68)/(Fuzzy_Parameters!$C$4 - Fuzzy_Parameters!$C$3)), 0)</f>
        <v>0</v>
      </c>
      <c r="D68" s="25">
        <f>MAX(MIN((Sheet6!C68 - Fuzzy_Parameters!$C$3)/(Fuzzy_Parameters!$C$4 - Fuzzy_Parameters!$C$3), 1, (Fuzzy_Parameters!$C$6 - Sheet6!C68)/(Fuzzy_Parameters!$C$6 - Fuzzy_Parameters!$C$5)), 0)</f>
        <v>0.04673436943</v>
      </c>
      <c r="E68" s="25">
        <f>MAX(MIN((Sheet6!C68 - Fuzzy_Parameters!$C$5)/(Fuzzy_Parameters!$C$6 - Fuzzy_Parameters!$C$5), 1), 0)</f>
        <v>0.9532656306</v>
      </c>
      <c r="F68" s="25">
        <f>MAX(MIN(1, (Fuzzy_Parameters!$C$12 - Sheet6!D68)/(Fuzzy_Parameters!$C$12 - Fuzzy_Parameters!$C$11)), 0)</f>
        <v>0.3514459527</v>
      </c>
      <c r="G68" s="25">
        <f>MAX(MIN((Sheet6!D68 - Fuzzy_Parameters!$C$11)/(Fuzzy_Parameters!$C$12 - Fuzzy_Parameters!$C$11), 1, (Fuzzy_Parameters!$C$14 - Sheet6!D68)/(Fuzzy_Parameters!$C$14 - Fuzzy_Parameters!$C$13)), 0)</f>
        <v>0.6485540473</v>
      </c>
      <c r="H68" s="25">
        <f>MAX(MIN((Sheet6!D68 - Fuzzy_Parameters!$C$13)/(Fuzzy_Parameters!$C$14 - Fuzzy_Parameters!$C$13), 1), 0)</f>
        <v>0</v>
      </c>
      <c r="I68" s="25">
        <f>MAX(MIN(1, (Fuzzy_Parameters!$C$20 - Sheet6!E68)/(Fuzzy_Parameters!$C$20 - Fuzzy_Parameters!$C$19)), 0)</f>
        <v>0.1451612903</v>
      </c>
      <c r="J68" s="25">
        <f>MAX(MIN((Sheet6!E68 - Fuzzy_Parameters!$C$19)/(Fuzzy_Parameters!$C$20 - Fuzzy_Parameters!$C$19), 1, (Fuzzy_Parameters!$C$22 - Sheet6!E68)/(Fuzzy_Parameters!$C$22 - Fuzzy_Parameters!$C$21)), 0)</f>
        <v>0.8548387097</v>
      </c>
      <c r="K68" s="25">
        <f>MAX(MIN((Sheet6!E68 - Fuzzy_Parameters!$C$21)/(Fuzzy_Parameters!$C$22 - Fuzzy_Parameters!$C$21), 1), 0)</f>
        <v>0</v>
      </c>
      <c r="L68" s="25">
        <f>MAX(MIN(1, (Fuzzy_Parameters!$C$28 - Sheet6!F68)/(Fuzzy_Parameters!$C$28 - Fuzzy_Parameters!$C$27)), 0)</f>
        <v>1</v>
      </c>
      <c r="M68" s="25">
        <f>MAX(MIN((Sheet6!F68 - Fuzzy_Parameters!$C$27)/(Fuzzy_Parameters!$C$28 - Fuzzy_Parameters!$C$27), 1, (Fuzzy_Parameters!$C$30 - Sheet6!F68)/(Fuzzy_Parameters!$C$30 - Fuzzy_Parameters!$C$29)), 0)</f>
        <v>0</v>
      </c>
      <c r="N68" s="25">
        <f>MAX(MIN((Sheet6!F68 - Fuzzy_Parameters!$C$29)/(Fuzzy_Parameters!$C$30 - Fuzzy_Parameters!$C$29), 1), 0)</f>
        <v>0</v>
      </c>
    </row>
    <row r="69">
      <c r="A69" s="6" t="s">
        <v>8</v>
      </c>
      <c r="B69" s="26">
        <v>2018.0</v>
      </c>
      <c r="C69" s="25">
        <f>MAX(MIN(1, (Fuzzy_Parameters!$C$4 - Sheet6!C69)/(Fuzzy_Parameters!$C$4 - Fuzzy_Parameters!$C$3)), 0)</f>
        <v>0</v>
      </c>
      <c r="D69" s="25">
        <f>MAX(MIN((Sheet6!C69 - Fuzzy_Parameters!$C$3)/(Fuzzy_Parameters!$C$4 - Fuzzy_Parameters!$C$3), 1, (Fuzzy_Parameters!$C$6 - Sheet6!C69)/(Fuzzy_Parameters!$C$6 - Fuzzy_Parameters!$C$5)), 0)</f>
        <v>0.366554274</v>
      </c>
      <c r="E69" s="25">
        <f>MAX(MIN((Sheet6!C69 - Fuzzy_Parameters!$C$5)/(Fuzzy_Parameters!$C$6 - Fuzzy_Parameters!$C$5), 1), 0)</f>
        <v>0.633445726</v>
      </c>
      <c r="F69" s="25">
        <f>MAX(MIN(1, (Fuzzy_Parameters!$C$12 - Sheet6!D69)/(Fuzzy_Parameters!$C$12 - Fuzzy_Parameters!$C$11)), 0)</f>
        <v>0</v>
      </c>
      <c r="G69" s="25">
        <f>MAX(MIN((Sheet6!D69 - Fuzzy_Parameters!$C$11)/(Fuzzy_Parameters!$C$12 - Fuzzy_Parameters!$C$11), 1, (Fuzzy_Parameters!$C$14 - Sheet6!D69)/(Fuzzy_Parameters!$C$14 - Fuzzy_Parameters!$C$13)), 0)</f>
        <v>1</v>
      </c>
      <c r="H69" s="25">
        <f>MAX(MIN((Sheet6!D69 - Fuzzy_Parameters!$C$13)/(Fuzzy_Parameters!$C$14 - Fuzzy_Parameters!$C$13), 1), 0)</f>
        <v>0</v>
      </c>
      <c r="I69" s="25">
        <f>MAX(MIN(1, (Fuzzy_Parameters!$C$20 - Sheet6!E69)/(Fuzzy_Parameters!$C$20 - Fuzzy_Parameters!$C$19)), 0)</f>
        <v>0</v>
      </c>
      <c r="J69" s="25">
        <f>MAX(MIN((Sheet6!E69 - Fuzzy_Parameters!$C$19)/(Fuzzy_Parameters!$C$20 - Fuzzy_Parameters!$C$19), 1, (Fuzzy_Parameters!$C$22 - Sheet6!E69)/(Fuzzy_Parameters!$C$22 - Fuzzy_Parameters!$C$21)), 0)</f>
        <v>1</v>
      </c>
      <c r="K69" s="25">
        <f>MAX(MIN((Sheet6!E69 - Fuzzy_Parameters!$C$21)/(Fuzzy_Parameters!$C$22 - Fuzzy_Parameters!$C$21), 1), 0)</f>
        <v>0</v>
      </c>
      <c r="L69" s="25">
        <f>MAX(MIN(1, (Fuzzy_Parameters!$C$28 - Sheet6!F69)/(Fuzzy_Parameters!$C$28 - Fuzzy_Parameters!$C$27)), 0)</f>
        <v>1</v>
      </c>
      <c r="M69" s="25">
        <f>MAX(MIN((Sheet6!F69 - Fuzzy_Parameters!$C$27)/(Fuzzy_Parameters!$C$28 - Fuzzy_Parameters!$C$27), 1, (Fuzzy_Parameters!$C$30 - Sheet6!F69)/(Fuzzy_Parameters!$C$30 - Fuzzy_Parameters!$C$29)), 0)</f>
        <v>0</v>
      </c>
      <c r="N69" s="25">
        <f>MAX(MIN((Sheet6!F69 - Fuzzy_Parameters!$C$29)/(Fuzzy_Parameters!$C$30 - Fuzzy_Parameters!$C$29), 1), 0)</f>
        <v>0</v>
      </c>
    </row>
    <row r="70">
      <c r="A70" s="6" t="s">
        <v>8</v>
      </c>
      <c r="B70" s="26">
        <v>2017.0</v>
      </c>
      <c r="C70" s="25">
        <f>MAX(MIN(1, (Fuzzy_Parameters!$C$4 - Sheet6!C70)/(Fuzzy_Parameters!$C$4 - Fuzzy_Parameters!$C$3)), 0)</f>
        <v>0</v>
      </c>
      <c r="D70" s="25">
        <f>MAX(MIN((Sheet6!C70 - Fuzzy_Parameters!$C$3)/(Fuzzy_Parameters!$C$4 - Fuzzy_Parameters!$C$3), 1, (Fuzzy_Parameters!$C$6 - Sheet6!C70)/(Fuzzy_Parameters!$C$6 - Fuzzy_Parameters!$C$5)), 0)</f>
        <v>0.4206081565</v>
      </c>
      <c r="E70" s="25">
        <f>MAX(MIN((Sheet6!C70 - Fuzzy_Parameters!$C$5)/(Fuzzy_Parameters!$C$6 - Fuzzy_Parameters!$C$5), 1), 0)</f>
        <v>0.5793918435</v>
      </c>
      <c r="F70" s="25">
        <f>MAX(MIN(1, (Fuzzy_Parameters!$C$12 - Sheet6!D70)/(Fuzzy_Parameters!$C$12 - Fuzzy_Parameters!$C$11)), 0)</f>
        <v>0</v>
      </c>
      <c r="G70" s="25">
        <f>MAX(MIN((Sheet6!D70 - Fuzzy_Parameters!$C$11)/(Fuzzy_Parameters!$C$12 - Fuzzy_Parameters!$C$11), 1, (Fuzzy_Parameters!$C$14 - Sheet6!D70)/(Fuzzy_Parameters!$C$14 - Fuzzy_Parameters!$C$13)), 0)</f>
        <v>0.1723750532</v>
      </c>
      <c r="H70" s="25">
        <f>MAX(MIN((Sheet6!D70 - Fuzzy_Parameters!$C$13)/(Fuzzy_Parameters!$C$14 - Fuzzy_Parameters!$C$13), 1), 0)</f>
        <v>0.8276249468</v>
      </c>
      <c r="I70" s="25">
        <f>MAX(MIN(1, (Fuzzy_Parameters!$C$20 - Sheet6!E70)/(Fuzzy_Parameters!$C$20 - Fuzzy_Parameters!$C$19)), 0)</f>
        <v>0</v>
      </c>
      <c r="J70" s="25">
        <f>MAX(MIN((Sheet6!E70 - Fuzzy_Parameters!$C$19)/(Fuzzy_Parameters!$C$20 - Fuzzy_Parameters!$C$19), 1, (Fuzzy_Parameters!$C$22 - Sheet6!E70)/(Fuzzy_Parameters!$C$22 - Fuzzy_Parameters!$C$21)), 0)</f>
        <v>1</v>
      </c>
      <c r="K70" s="25">
        <f>MAX(MIN((Sheet6!E70 - Fuzzy_Parameters!$C$21)/(Fuzzy_Parameters!$C$22 - Fuzzy_Parameters!$C$21), 1), 0)</f>
        <v>0</v>
      </c>
      <c r="L70" s="25">
        <f>MAX(MIN(1, (Fuzzy_Parameters!$C$28 - Sheet6!F70)/(Fuzzy_Parameters!$C$28 - Fuzzy_Parameters!$C$27)), 0)</f>
        <v>1</v>
      </c>
      <c r="M70" s="25">
        <f>MAX(MIN((Sheet6!F70 - Fuzzy_Parameters!$C$27)/(Fuzzy_Parameters!$C$28 - Fuzzy_Parameters!$C$27), 1, (Fuzzy_Parameters!$C$30 - Sheet6!F70)/(Fuzzy_Parameters!$C$30 - Fuzzy_Parameters!$C$29)), 0)</f>
        <v>0</v>
      </c>
      <c r="N70" s="25">
        <f>MAX(MIN((Sheet6!F70 - Fuzzy_Parameters!$C$29)/(Fuzzy_Parameters!$C$30 - Fuzzy_Parameters!$C$29), 1), 0)</f>
        <v>0</v>
      </c>
    </row>
    <row r="71">
      <c r="A71" s="6" t="s">
        <v>8</v>
      </c>
      <c r="B71" s="26">
        <v>2016.0</v>
      </c>
      <c r="C71" s="25">
        <f>MAX(MIN(1, (Fuzzy_Parameters!$C$4 - Sheet6!C71)/(Fuzzy_Parameters!$C$4 - Fuzzy_Parameters!$C$3)), 0)</f>
        <v>0</v>
      </c>
      <c r="D71" s="25">
        <f>MAX(MIN((Sheet6!C71 - Fuzzy_Parameters!$C$3)/(Fuzzy_Parameters!$C$4 - Fuzzy_Parameters!$C$3), 1, (Fuzzy_Parameters!$C$6 - Sheet6!C71)/(Fuzzy_Parameters!$C$6 - Fuzzy_Parameters!$C$5)), 0)</f>
        <v>0.9999999418</v>
      </c>
      <c r="E71" s="25">
        <f>MAX(MIN((Sheet6!C71 - Fuzzy_Parameters!$C$5)/(Fuzzy_Parameters!$C$6 - Fuzzy_Parameters!$C$5), 1), 0)</f>
        <v>0.00000005819538277</v>
      </c>
      <c r="F71" s="25">
        <f>MAX(MIN(1, (Fuzzy_Parameters!$C$12 - Sheet6!D71)/(Fuzzy_Parameters!$C$12 - Fuzzy_Parameters!$C$11)), 0)</f>
        <v>0</v>
      </c>
      <c r="G71" s="25">
        <f>MAX(MIN((Sheet6!D71 - Fuzzy_Parameters!$C$11)/(Fuzzy_Parameters!$C$12 - Fuzzy_Parameters!$C$11), 1, (Fuzzy_Parameters!$C$14 - Sheet6!D71)/(Fuzzy_Parameters!$C$14 - Fuzzy_Parameters!$C$13)), 0)</f>
        <v>0</v>
      </c>
      <c r="H71" s="25">
        <f>MAX(MIN((Sheet6!D71 - Fuzzy_Parameters!$C$13)/(Fuzzy_Parameters!$C$14 - Fuzzy_Parameters!$C$13), 1), 0)</f>
        <v>1</v>
      </c>
      <c r="I71" s="25">
        <f>MAX(MIN(1, (Fuzzy_Parameters!$C$20 - Sheet6!E71)/(Fuzzy_Parameters!$C$20 - Fuzzy_Parameters!$C$19)), 0)</f>
        <v>0</v>
      </c>
      <c r="J71" s="25">
        <f>MAX(MIN((Sheet6!E71 - Fuzzy_Parameters!$C$19)/(Fuzzy_Parameters!$C$20 - Fuzzy_Parameters!$C$19), 1, (Fuzzy_Parameters!$C$22 - Sheet6!E71)/(Fuzzy_Parameters!$C$22 - Fuzzy_Parameters!$C$21)), 0)</f>
        <v>1</v>
      </c>
      <c r="K71" s="25">
        <f>MAX(MIN((Sheet6!E71 - Fuzzy_Parameters!$C$21)/(Fuzzy_Parameters!$C$22 - Fuzzy_Parameters!$C$21), 1), 0)</f>
        <v>0</v>
      </c>
      <c r="L71" s="25">
        <f>MAX(MIN(1, (Fuzzy_Parameters!$C$28 - Sheet6!F71)/(Fuzzy_Parameters!$C$28 - Fuzzy_Parameters!$C$27)), 0)</f>
        <v>1</v>
      </c>
      <c r="M71" s="25">
        <f>MAX(MIN((Sheet6!F71 - Fuzzy_Parameters!$C$27)/(Fuzzy_Parameters!$C$28 - Fuzzy_Parameters!$C$27), 1, (Fuzzy_Parameters!$C$30 - Sheet6!F71)/(Fuzzy_Parameters!$C$30 - Fuzzy_Parameters!$C$29)), 0)</f>
        <v>0</v>
      </c>
      <c r="N71" s="25">
        <f>MAX(MIN((Sheet6!F71 - Fuzzy_Parameters!$C$29)/(Fuzzy_Parameters!$C$30 - Fuzzy_Parameters!$C$29), 1), 0)</f>
        <v>0</v>
      </c>
    </row>
    <row r="72">
      <c r="A72" s="6" t="s">
        <v>8</v>
      </c>
      <c r="B72" s="26">
        <v>2015.0</v>
      </c>
      <c r="C72" s="25">
        <f>MAX(MIN(1, (Fuzzy_Parameters!$C$4 - Sheet6!C72)/(Fuzzy_Parameters!$C$4 - Fuzzy_Parameters!$C$3)), 0)</f>
        <v>0</v>
      </c>
      <c r="D72" s="25">
        <f>MAX(MIN((Sheet6!C72 - Fuzzy_Parameters!$C$3)/(Fuzzy_Parameters!$C$4 - Fuzzy_Parameters!$C$3), 1, (Fuzzy_Parameters!$C$6 - Sheet6!C72)/(Fuzzy_Parameters!$C$6 - Fuzzy_Parameters!$C$5)), 0)</f>
        <v>0.6593469734</v>
      </c>
      <c r="E72" s="25">
        <f>MAX(MIN((Sheet6!C72 - Fuzzy_Parameters!$C$5)/(Fuzzy_Parameters!$C$6 - Fuzzy_Parameters!$C$5), 1), 0)</f>
        <v>0.3406530266</v>
      </c>
      <c r="F72" s="25">
        <f>MAX(MIN(1, (Fuzzy_Parameters!$C$12 - Sheet6!D72)/(Fuzzy_Parameters!$C$12 - Fuzzy_Parameters!$C$11)), 0)</f>
        <v>0</v>
      </c>
      <c r="G72" s="25">
        <f>MAX(MIN((Sheet6!D72 - Fuzzy_Parameters!$C$11)/(Fuzzy_Parameters!$C$12 - Fuzzy_Parameters!$C$11), 1, (Fuzzy_Parameters!$C$14 - Sheet6!D72)/(Fuzzy_Parameters!$C$14 - Fuzzy_Parameters!$C$13)), 0)</f>
        <v>0.5508143827</v>
      </c>
      <c r="H72" s="25">
        <f>MAX(MIN((Sheet6!D72 - Fuzzy_Parameters!$C$13)/(Fuzzy_Parameters!$C$14 - Fuzzy_Parameters!$C$13), 1), 0)</f>
        <v>0.4491856173</v>
      </c>
      <c r="I72" s="25">
        <f>MAX(MIN(1, (Fuzzy_Parameters!$C$20 - Sheet6!E72)/(Fuzzy_Parameters!$C$20 - Fuzzy_Parameters!$C$19)), 0)</f>
        <v>0</v>
      </c>
      <c r="J72" s="25">
        <f>MAX(MIN((Sheet6!E72 - Fuzzy_Parameters!$C$19)/(Fuzzy_Parameters!$C$20 - Fuzzy_Parameters!$C$19), 1, (Fuzzy_Parameters!$C$22 - Sheet6!E72)/(Fuzzy_Parameters!$C$22 - Fuzzy_Parameters!$C$21)), 0)</f>
        <v>1</v>
      </c>
      <c r="K72" s="25">
        <f>MAX(MIN((Sheet6!E72 - Fuzzy_Parameters!$C$21)/(Fuzzy_Parameters!$C$22 - Fuzzy_Parameters!$C$21), 1), 0)</f>
        <v>0</v>
      </c>
      <c r="L72" s="25">
        <f>MAX(MIN(1, (Fuzzy_Parameters!$C$28 - Sheet6!F72)/(Fuzzy_Parameters!$C$28 - Fuzzy_Parameters!$C$27)), 0)</f>
        <v>1</v>
      </c>
      <c r="M72" s="25">
        <f>MAX(MIN((Sheet6!F72 - Fuzzy_Parameters!$C$27)/(Fuzzy_Parameters!$C$28 - Fuzzy_Parameters!$C$27), 1, (Fuzzy_Parameters!$C$30 - Sheet6!F72)/(Fuzzy_Parameters!$C$30 - Fuzzy_Parameters!$C$29)), 0)</f>
        <v>0</v>
      </c>
      <c r="N72" s="25">
        <f>MAX(MIN((Sheet6!F72 - Fuzzy_Parameters!$C$29)/(Fuzzy_Parameters!$C$30 - Fuzzy_Parameters!$C$29), 1), 0)</f>
        <v>0</v>
      </c>
    </row>
    <row r="73">
      <c r="A73" s="56" t="s">
        <v>8</v>
      </c>
      <c r="B73" s="57">
        <v>2014.0</v>
      </c>
      <c r="C73" s="25">
        <f>MAX(MIN(1, (Fuzzy_Parameters!$C$4 - Sheet6!C73)/(Fuzzy_Parameters!$C$4 - Fuzzy_Parameters!$C$3)), 0)</f>
        <v>0</v>
      </c>
      <c r="D73" s="25">
        <f>MAX(MIN((Sheet6!C73 - Fuzzy_Parameters!$C$3)/(Fuzzy_Parameters!$C$4 - Fuzzy_Parameters!$C$3), 1, (Fuzzy_Parameters!$C$6 - Sheet6!C73)/(Fuzzy_Parameters!$C$6 - Fuzzy_Parameters!$C$5)), 0)</f>
        <v>0</v>
      </c>
      <c r="E73" s="25">
        <f>MAX(MIN((Sheet6!C73 - Fuzzy_Parameters!$C$5)/(Fuzzy_Parameters!$C$6 - Fuzzy_Parameters!$C$5), 1), 0)</f>
        <v>1</v>
      </c>
      <c r="F73" s="25">
        <f>MAX(MIN(1, (Fuzzy_Parameters!$C$12 - Sheet6!D73)/(Fuzzy_Parameters!$C$12 - Fuzzy_Parameters!$C$11)), 0)</f>
        <v>0.3602101248</v>
      </c>
      <c r="G73" s="25">
        <f>MAX(MIN((Sheet6!D73 - Fuzzy_Parameters!$C$11)/(Fuzzy_Parameters!$C$12 - Fuzzy_Parameters!$C$11), 1, (Fuzzy_Parameters!$C$14 - Sheet6!D73)/(Fuzzy_Parameters!$C$14 - Fuzzy_Parameters!$C$13)), 0)</f>
        <v>0.6397898752</v>
      </c>
      <c r="H73" s="25">
        <f>MAX(MIN((Sheet6!D73 - Fuzzy_Parameters!$C$13)/(Fuzzy_Parameters!$C$14 - Fuzzy_Parameters!$C$13), 1), 0)</f>
        <v>0</v>
      </c>
      <c r="I73" s="25">
        <f>MAX(MIN(1, (Fuzzy_Parameters!$C$20 - Sheet6!E73)/(Fuzzy_Parameters!$C$20 - Fuzzy_Parameters!$C$19)), 0)</f>
        <v>0</v>
      </c>
      <c r="J73" s="25">
        <f>MAX(MIN((Sheet6!E73 - Fuzzy_Parameters!$C$19)/(Fuzzy_Parameters!$C$20 - Fuzzy_Parameters!$C$19), 1, (Fuzzy_Parameters!$C$22 - Sheet6!E73)/(Fuzzy_Parameters!$C$22 - Fuzzy_Parameters!$C$21)), 0)</f>
        <v>1</v>
      </c>
      <c r="K73" s="25">
        <f>MAX(MIN((Sheet6!E73 - Fuzzy_Parameters!$C$21)/(Fuzzy_Parameters!$C$22 - Fuzzy_Parameters!$C$21), 1), 0)</f>
        <v>0</v>
      </c>
      <c r="L73" s="25">
        <f>MAX(MIN(1, (Fuzzy_Parameters!$C$28 - Sheet6!F73)/(Fuzzy_Parameters!$C$28 - Fuzzy_Parameters!$C$27)), 0)</f>
        <v>1</v>
      </c>
      <c r="M73" s="25">
        <f>MAX(MIN((Sheet6!F73 - Fuzzy_Parameters!$C$27)/(Fuzzy_Parameters!$C$28 - Fuzzy_Parameters!$C$27), 1, (Fuzzy_Parameters!$C$30 - Sheet6!F73)/(Fuzzy_Parameters!$C$30 - Fuzzy_Parameters!$C$29)), 0)</f>
        <v>0</v>
      </c>
      <c r="N73" s="25">
        <f>MAX(MIN((Sheet6!F73 - Fuzzy_Parameters!$C$29)/(Fuzzy_Parameters!$C$30 - Fuzzy_Parameters!$C$29), 1), 0)</f>
        <v>0</v>
      </c>
    </row>
    <row r="74">
      <c r="A74" s="6" t="s">
        <v>9</v>
      </c>
      <c r="B74" s="26">
        <v>2022.0</v>
      </c>
      <c r="C74" s="25">
        <f>MAX(MIN(1, (Fuzzy_Parameters!$C$4 - Sheet6!C74)/(Fuzzy_Parameters!$C$4 - Fuzzy_Parameters!$C$3)), 0)</f>
        <v>0</v>
      </c>
      <c r="D74" s="25">
        <f>MAX(MIN((Sheet6!C74 - Fuzzy_Parameters!$C$3)/(Fuzzy_Parameters!$C$4 - Fuzzy_Parameters!$C$3), 1, (Fuzzy_Parameters!$C$6 - Sheet6!C74)/(Fuzzy_Parameters!$C$6 - Fuzzy_Parameters!$C$5)), 0)</f>
        <v>0.1942565669</v>
      </c>
      <c r="E74" s="25">
        <f>MAX(MIN((Sheet6!C74 - Fuzzy_Parameters!$C$5)/(Fuzzy_Parameters!$C$6 - Fuzzy_Parameters!$C$5), 1), 0)</f>
        <v>0.8057434331</v>
      </c>
      <c r="F74" s="25">
        <f>MAX(MIN(1, (Fuzzy_Parameters!$C$12 - Sheet6!D74)/(Fuzzy_Parameters!$C$12 - Fuzzy_Parameters!$C$11)), 0)</f>
        <v>0</v>
      </c>
      <c r="G74" s="25">
        <f>MAX(MIN((Sheet6!D74 - Fuzzy_Parameters!$C$11)/(Fuzzy_Parameters!$C$12 - Fuzzy_Parameters!$C$11), 1, (Fuzzy_Parameters!$C$14 - Sheet6!D74)/(Fuzzy_Parameters!$C$14 - Fuzzy_Parameters!$C$13)), 0)</f>
        <v>1</v>
      </c>
      <c r="H74" s="25">
        <f>MAX(MIN((Sheet6!D74 - Fuzzy_Parameters!$C$13)/(Fuzzy_Parameters!$C$14 - Fuzzy_Parameters!$C$13), 1), 0)</f>
        <v>0</v>
      </c>
      <c r="I74" s="25">
        <f>MAX(MIN(1, (Fuzzy_Parameters!$C$20 - Sheet6!E74)/(Fuzzy_Parameters!$C$20 - Fuzzy_Parameters!$C$19)), 0)</f>
        <v>0</v>
      </c>
      <c r="J74" s="25">
        <f>MAX(MIN((Sheet6!E74 - Fuzzy_Parameters!$C$19)/(Fuzzy_Parameters!$C$20 - Fuzzy_Parameters!$C$19), 1, (Fuzzy_Parameters!$C$22 - Sheet6!E74)/(Fuzzy_Parameters!$C$22 - Fuzzy_Parameters!$C$21)), 0)</f>
        <v>0</v>
      </c>
      <c r="K74" s="25">
        <f>MAX(MIN((Sheet6!E74 - Fuzzy_Parameters!$C$21)/(Fuzzy_Parameters!$C$22 - Fuzzy_Parameters!$C$21), 1), 0)</f>
        <v>1</v>
      </c>
      <c r="L74" s="25">
        <f>MAX(MIN(1, (Fuzzy_Parameters!$C$28 - Sheet6!F74)/(Fuzzy_Parameters!$C$28 - Fuzzy_Parameters!$C$27)), 0)</f>
        <v>0</v>
      </c>
      <c r="M74" s="25">
        <f>MAX(MIN((Sheet6!F74 - Fuzzy_Parameters!$C$27)/(Fuzzy_Parameters!$C$28 - Fuzzy_Parameters!$C$27), 1, (Fuzzy_Parameters!$C$30 - Sheet6!F74)/(Fuzzy_Parameters!$C$30 - Fuzzy_Parameters!$C$29)), 0)</f>
        <v>0</v>
      </c>
      <c r="N74" s="25">
        <f>MAX(MIN((Sheet6!F74 - Fuzzy_Parameters!$C$29)/(Fuzzy_Parameters!$C$30 - Fuzzy_Parameters!$C$29), 1), 0)</f>
        <v>1</v>
      </c>
    </row>
    <row r="75">
      <c r="A75" s="6" t="s">
        <v>9</v>
      </c>
      <c r="B75" s="26">
        <v>2021.0</v>
      </c>
      <c r="C75" s="25">
        <f>MAX(MIN(1, (Fuzzy_Parameters!$C$4 - Sheet6!C75)/(Fuzzy_Parameters!$C$4 - Fuzzy_Parameters!$C$3)), 0)</f>
        <v>0</v>
      </c>
      <c r="D75" s="25">
        <f>MAX(MIN((Sheet6!C75 - Fuzzy_Parameters!$C$3)/(Fuzzy_Parameters!$C$4 - Fuzzy_Parameters!$C$3), 1, (Fuzzy_Parameters!$C$6 - Sheet6!C75)/(Fuzzy_Parameters!$C$6 - Fuzzy_Parameters!$C$5)), 0)</f>
        <v>0.4954956307</v>
      </c>
      <c r="E75" s="25">
        <f>MAX(MIN((Sheet6!C75 - Fuzzy_Parameters!$C$5)/(Fuzzy_Parameters!$C$6 - Fuzzy_Parameters!$C$5), 1), 0)</f>
        <v>0.5045043693</v>
      </c>
      <c r="F75" s="25">
        <f>MAX(MIN(1, (Fuzzy_Parameters!$C$12 - Sheet6!D75)/(Fuzzy_Parameters!$C$12 - Fuzzy_Parameters!$C$11)), 0)</f>
        <v>0.290972702</v>
      </c>
      <c r="G75" s="25">
        <f>MAX(MIN((Sheet6!D75 - Fuzzy_Parameters!$C$11)/(Fuzzy_Parameters!$C$12 - Fuzzy_Parameters!$C$11), 1, (Fuzzy_Parameters!$C$14 - Sheet6!D75)/(Fuzzy_Parameters!$C$14 - Fuzzy_Parameters!$C$13)), 0)</f>
        <v>0.709027298</v>
      </c>
      <c r="H75" s="25">
        <f>MAX(MIN((Sheet6!D75 - Fuzzy_Parameters!$C$13)/(Fuzzy_Parameters!$C$14 - Fuzzy_Parameters!$C$13), 1), 0)</f>
        <v>0</v>
      </c>
      <c r="I75" s="25">
        <f>MAX(MIN(1, (Fuzzy_Parameters!$C$20 - Sheet6!E75)/(Fuzzy_Parameters!$C$20 - Fuzzy_Parameters!$C$19)), 0)</f>
        <v>0</v>
      </c>
      <c r="J75" s="25">
        <f>MAX(MIN((Sheet6!E75 - Fuzzy_Parameters!$C$19)/(Fuzzy_Parameters!$C$20 - Fuzzy_Parameters!$C$19), 1, (Fuzzy_Parameters!$C$22 - Sheet6!E75)/(Fuzzy_Parameters!$C$22 - Fuzzy_Parameters!$C$21)), 0)</f>
        <v>0</v>
      </c>
      <c r="K75" s="25">
        <f>MAX(MIN((Sheet6!E75 - Fuzzy_Parameters!$C$21)/(Fuzzy_Parameters!$C$22 - Fuzzy_Parameters!$C$21), 1), 0)</f>
        <v>1</v>
      </c>
      <c r="L75" s="25">
        <f>MAX(MIN(1, (Fuzzy_Parameters!$C$28 - Sheet6!F75)/(Fuzzy_Parameters!$C$28 - Fuzzy_Parameters!$C$27)), 0)</f>
        <v>0</v>
      </c>
      <c r="M75" s="25">
        <f>MAX(MIN((Sheet6!F75 - Fuzzy_Parameters!$C$27)/(Fuzzy_Parameters!$C$28 - Fuzzy_Parameters!$C$27), 1, (Fuzzy_Parameters!$C$30 - Sheet6!F75)/(Fuzzy_Parameters!$C$30 - Fuzzy_Parameters!$C$29)), 0)</f>
        <v>0</v>
      </c>
      <c r="N75" s="25">
        <f>MAX(MIN((Sheet6!F75 - Fuzzy_Parameters!$C$29)/(Fuzzy_Parameters!$C$30 - Fuzzy_Parameters!$C$29), 1), 0)</f>
        <v>1</v>
      </c>
    </row>
    <row r="76">
      <c r="A76" s="6" t="s">
        <v>9</v>
      </c>
      <c r="B76" s="26">
        <v>2020.0</v>
      </c>
      <c r="C76" s="25">
        <f>MAX(MIN(1, (Fuzzy_Parameters!$C$4 - Sheet6!C76)/(Fuzzy_Parameters!$C$4 - Fuzzy_Parameters!$C$3)), 0)</f>
        <v>0</v>
      </c>
      <c r="D76" s="25">
        <f>MAX(MIN((Sheet6!C76 - Fuzzy_Parameters!$C$3)/(Fuzzy_Parameters!$C$4 - Fuzzy_Parameters!$C$3), 1, (Fuzzy_Parameters!$C$6 - Sheet6!C76)/(Fuzzy_Parameters!$C$6 - Fuzzy_Parameters!$C$5)), 0)</f>
        <v>0.7249437633</v>
      </c>
      <c r="E76" s="25">
        <f>MAX(MIN((Sheet6!C76 - Fuzzy_Parameters!$C$5)/(Fuzzy_Parameters!$C$6 - Fuzzy_Parameters!$C$5), 1), 0)</f>
        <v>0.2750562367</v>
      </c>
      <c r="F76" s="25">
        <f>MAX(MIN(1, (Fuzzy_Parameters!$C$12 - Sheet6!D76)/(Fuzzy_Parameters!$C$12 - Fuzzy_Parameters!$C$11)), 0)</f>
        <v>1</v>
      </c>
      <c r="G76" s="25">
        <f>MAX(MIN((Sheet6!D76 - Fuzzy_Parameters!$C$11)/(Fuzzy_Parameters!$C$12 - Fuzzy_Parameters!$C$11), 1, (Fuzzy_Parameters!$C$14 - Sheet6!D76)/(Fuzzy_Parameters!$C$14 - Fuzzy_Parameters!$C$13)), 0)</f>
        <v>0</v>
      </c>
      <c r="H76" s="25">
        <f>MAX(MIN((Sheet6!D76 - Fuzzy_Parameters!$C$13)/(Fuzzy_Parameters!$C$14 - Fuzzy_Parameters!$C$13), 1), 0)</f>
        <v>0</v>
      </c>
      <c r="I76" s="25">
        <f>MAX(MIN(1, (Fuzzy_Parameters!$C$20 - Sheet6!E76)/(Fuzzy_Parameters!$C$20 - Fuzzy_Parameters!$C$19)), 0)</f>
        <v>0</v>
      </c>
      <c r="J76" s="25">
        <f>MAX(MIN((Sheet6!E76 - Fuzzy_Parameters!$C$19)/(Fuzzy_Parameters!$C$20 - Fuzzy_Parameters!$C$19), 1, (Fuzzy_Parameters!$C$22 - Sheet6!E76)/(Fuzzy_Parameters!$C$22 - Fuzzy_Parameters!$C$21)), 0)</f>
        <v>0.8418604651</v>
      </c>
      <c r="K76" s="25">
        <f>MAX(MIN((Sheet6!E76 - Fuzzy_Parameters!$C$21)/(Fuzzy_Parameters!$C$22 - Fuzzy_Parameters!$C$21), 1), 0)</f>
        <v>0.1581395349</v>
      </c>
      <c r="L76" s="25">
        <f>MAX(MIN(1, (Fuzzy_Parameters!$C$28 - Sheet6!F76)/(Fuzzy_Parameters!$C$28 - Fuzzy_Parameters!$C$27)), 0)</f>
        <v>0</v>
      </c>
      <c r="M76" s="25">
        <f>MAX(MIN((Sheet6!F76 - Fuzzy_Parameters!$C$27)/(Fuzzy_Parameters!$C$28 - Fuzzy_Parameters!$C$27), 1, (Fuzzy_Parameters!$C$30 - Sheet6!F76)/(Fuzzy_Parameters!$C$30 - Fuzzy_Parameters!$C$29)), 0)</f>
        <v>0</v>
      </c>
      <c r="N76" s="25">
        <f>MAX(MIN((Sheet6!F76 - Fuzzy_Parameters!$C$29)/(Fuzzy_Parameters!$C$30 - Fuzzy_Parameters!$C$29), 1), 0)</f>
        <v>1</v>
      </c>
    </row>
    <row r="77">
      <c r="A77" s="6" t="s">
        <v>9</v>
      </c>
      <c r="B77" s="26">
        <v>2019.0</v>
      </c>
      <c r="C77" s="25">
        <f>MAX(MIN(1, (Fuzzy_Parameters!$C$4 - Sheet6!C77)/(Fuzzy_Parameters!$C$4 - Fuzzy_Parameters!$C$3)), 0)</f>
        <v>0</v>
      </c>
      <c r="D77" s="25">
        <f>MAX(MIN((Sheet6!C77 - Fuzzy_Parameters!$C$3)/(Fuzzy_Parameters!$C$4 - Fuzzy_Parameters!$C$3), 1, (Fuzzy_Parameters!$C$6 - Sheet6!C77)/(Fuzzy_Parameters!$C$6 - Fuzzy_Parameters!$C$5)), 0)</f>
        <v>0</v>
      </c>
      <c r="E77" s="25">
        <f>MAX(MIN((Sheet6!C77 - Fuzzy_Parameters!$C$5)/(Fuzzy_Parameters!$C$6 - Fuzzy_Parameters!$C$5), 1), 0)</f>
        <v>1</v>
      </c>
      <c r="F77" s="25">
        <f>MAX(MIN(1, (Fuzzy_Parameters!$C$12 - Sheet6!D77)/(Fuzzy_Parameters!$C$12 - Fuzzy_Parameters!$C$11)), 0)</f>
        <v>0</v>
      </c>
      <c r="G77" s="25">
        <f>MAX(MIN((Sheet6!D77 - Fuzzy_Parameters!$C$11)/(Fuzzy_Parameters!$C$12 - Fuzzy_Parameters!$C$11), 1, (Fuzzy_Parameters!$C$14 - Sheet6!D77)/(Fuzzy_Parameters!$C$14 - Fuzzy_Parameters!$C$13)), 0)</f>
        <v>1</v>
      </c>
      <c r="H77" s="25">
        <f>MAX(MIN((Sheet6!D77 - Fuzzy_Parameters!$C$13)/(Fuzzy_Parameters!$C$14 - Fuzzy_Parameters!$C$13), 1), 0)</f>
        <v>0</v>
      </c>
      <c r="I77" s="25">
        <f>MAX(MIN(1, (Fuzzy_Parameters!$C$20 - Sheet6!E77)/(Fuzzy_Parameters!$C$20 - Fuzzy_Parameters!$C$19)), 0)</f>
        <v>0</v>
      </c>
      <c r="J77" s="25">
        <f>MAX(MIN((Sheet6!E77 - Fuzzy_Parameters!$C$19)/(Fuzzy_Parameters!$C$20 - Fuzzy_Parameters!$C$19), 1, (Fuzzy_Parameters!$C$22 - Sheet6!E77)/(Fuzzy_Parameters!$C$22 - Fuzzy_Parameters!$C$21)), 0)</f>
        <v>0</v>
      </c>
      <c r="K77" s="25">
        <f>MAX(MIN((Sheet6!E77 - Fuzzy_Parameters!$C$21)/(Fuzzy_Parameters!$C$22 - Fuzzy_Parameters!$C$21), 1), 0)</f>
        <v>1</v>
      </c>
      <c r="L77" s="25">
        <f>MAX(MIN(1, (Fuzzy_Parameters!$C$28 - Sheet6!F77)/(Fuzzy_Parameters!$C$28 - Fuzzy_Parameters!$C$27)), 0)</f>
        <v>0</v>
      </c>
      <c r="M77" s="25">
        <f>MAX(MIN((Sheet6!F77 - Fuzzy_Parameters!$C$27)/(Fuzzy_Parameters!$C$28 - Fuzzy_Parameters!$C$27), 1, (Fuzzy_Parameters!$C$30 - Sheet6!F77)/(Fuzzy_Parameters!$C$30 - Fuzzy_Parameters!$C$29)), 0)</f>
        <v>0</v>
      </c>
      <c r="N77" s="25">
        <f>MAX(MIN((Sheet6!F77 - Fuzzy_Parameters!$C$29)/(Fuzzy_Parameters!$C$30 - Fuzzy_Parameters!$C$29), 1), 0)</f>
        <v>1</v>
      </c>
    </row>
    <row r="78">
      <c r="A78" s="6" t="s">
        <v>9</v>
      </c>
      <c r="B78" s="26">
        <v>2018.0</v>
      </c>
      <c r="C78" s="25">
        <f>MAX(MIN(1, (Fuzzy_Parameters!$C$4 - Sheet6!C78)/(Fuzzy_Parameters!$C$4 - Fuzzy_Parameters!$C$3)), 0)</f>
        <v>0</v>
      </c>
      <c r="D78" s="25">
        <f>MAX(MIN((Sheet6!C78 - Fuzzy_Parameters!$C$3)/(Fuzzy_Parameters!$C$4 - Fuzzy_Parameters!$C$3), 1, (Fuzzy_Parameters!$C$6 - Sheet6!C78)/(Fuzzy_Parameters!$C$6 - Fuzzy_Parameters!$C$5)), 0)</f>
        <v>0.1252814423</v>
      </c>
      <c r="E78" s="25">
        <f>MAX(MIN((Sheet6!C78 - Fuzzy_Parameters!$C$5)/(Fuzzy_Parameters!$C$6 - Fuzzy_Parameters!$C$5), 1), 0)</f>
        <v>0.8747185577</v>
      </c>
      <c r="F78" s="25">
        <f>MAX(MIN(1, (Fuzzy_Parameters!$C$12 - Sheet6!D78)/(Fuzzy_Parameters!$C$12 - Fuzzy_Parameters!$C$11)), 0)</f>
        <v>0</v>
      </c>
      <c r="G78" s="25">
        <f>MAX(MIN((Sheet6!D78 - Fuzzy_Parameters!$C$11)/(Fuzzy_Parameters!$C$12 - Fuzzy_Parameters!$C$11), 1, (Fuzzy_Parameters!$C$14 - Sheet6!D78)/(Fuzzy_Parameters!$C$14 - Fuzzy_Parameters!$C$13)), 0)</f>
        <v>1</v>
      </c>
      <c r="H78" s="25">
        <f>MAX(MIN((Sheet6!D78 - Fuzzy_Parameters!$C$13)/(Fuzzy_Parameters!$C$14 - Fuzzy_Parameters!$C$13), 1), 0)</f>
        <v>0</v>
      </c>
      <c r="I78" s="25">
        <f>MAX(MIN(1, (Fuzzy_Parameters!$C$20 - Sheet6!E78)/(Fuzzy_Parameters!$C$20 - Fuzzy_Parameters!$C$19)), 0)</f>
        <v>0</v>
      </c>
      <c r="J78" s="25">
        <f>MAX(MIN((Sheet6!E78 - Fuzzy_Parameters!$C$19)/(Fuzzy_Parameters!$C$20 - Fuzzy_Parameters!$C$19), 1, (Fuzzy_Parameters!$C$22 - Sheet6!E78)/(Fuzzy_Parameters!$C$22 - Fuzzy_Parameters!$C$21)), 0)</f>
        <v>0</v>
      </c>
      <c r="K78" s="25">
        <f>MAX(MIN((Sheet6!E78 - Fuzzy_Parameters!$C$21)/(Fuzzy_Parameters!$C$22 - Fuzzy_Parameters!$C$21), 1), 0)</f>
        <v>1</v>
      </c>
      <c r="L78" s="25">
        <f>MAX(MIN(1, (Fuzzy_Parameters!$C$28 - Sheet6!F78)/(Fuzzy_Parameters!$C$28 - Fuzzy_Parameters!$C$27)), 0)</f>
        <v>0</v>
      </c>
      <c r="M78" s="25">
        <f>MAX(MIN((Sheet6!F78 - Fuzzy_Parameters!$C$27)/(Fuzzy_Parameters!$C$28 - Fuzzy_Parameters!$C$27), 1, (Fuzzy_Parameters!$C$30 - Sheet6!F78)/(Fuzzy_Parameters!$C$30 - Fuzzy_Parameters!$C$29)), 0)</f>
        <v>0</v>
      </c>
      <c r="N78" s="25">
        <f>MAX(MIN((Sheet6!F78 - Fuzzy_Parameters!$C$29)/(Fuzzy_Parameters!$C$30 - Fuzzy_Parameters!$C$29), 1), 0)</f>
        <v>1</v>
      </c>
    </row>
    <row r="79">
      <c r="A79" s="6" t="s">
        <v>9</v>
      </c>
      <c r="B79" s="26">
        <v>2017.0</v>
      </c>
      <c r="C79" s="25">
        <f>MAX(MIN(1, (Fuzzy_Parameters!$C$4 - Sheet6!C79)/(Fuzzy_Parameters!$C$4 - Fuzzy_Parameters!$C$3)), 0)</f>
        <v>0</v>
      </c>
      <c r="D79" s="25">
        <f>MAX(MIN((Sheet6!C79 - Fuzzy_Parameters!$C$3)/(Fuzzy_Parameters!$C$4 - Fuzzy_Parameters!$C$3), 1, (Fuzzy_Parameters!$C$6 - Sheet6!C79)/(Fuzzy_Parameters!$C$6 - Fuzzy_Parameters!$C$5)), 0)</f>
        <v>0.4518580162</v>
      </c>
      <c r="E79" s="25">
        <f>MAX(MIN((Sheet6!C79 - Fuzzy_Parameters!$C$5)/(Fuzzy_Parameters!$C$6 - Fuzzy_Parameters!$C$5), 1), 0)</f>
        <v>0.5481419838</v>
      </c>
      <c r="F79" s="25">
        <f>MAX(MIN(1, (Fuzzy_Parameters!$C$12 - Sheet6!D79)/(Fuzzy_Parameters!$C$12 - Fuzzy_Parameters!$C$11)), 0)</f>
        <v>0</v>
      </c>
      <c r="G79" s="25">
        <f>MAX(MIN((Sheet6!D79 - Fuzzy_Parameters!$C$11)/(Fuzzy_Parameters!$C$12 - Fuzzy_Parameters!$C$11), 1, (Fuzzy_Parameters!$C$14 - Sheet6!D79)/(Fuzzy_Parameters!$C$14 - Fuzzy_Parameters!$C$13)), 0)</f>
        <v>1</v>
      </c>
      <c r="H79" s="25">
        <f>MAX(MIN((Sheet6!D79 - Fuzzy_Parameters!$C$13)/(Fuzzy_Parameters!$C$14 - Fuzzy_Parameters!$C$13), 1), 0)</f>
        <v>0</v>
      </c>
      <c r="I79" s="25">
        <f>MAX(MIN(1, (Fuzzy_Parameters!$C$20 - Sheet6!E79)/(Fuzzy_Parameters!$C$20 - Fuzzy_Parameters!$C$19)), 0)</f>
        <v>0</v>
      </c>
      <c r="J79" s="25">
        <f>MAX(MIN((Sheet6!E79 - Fuzzy_Parameters!$C$19)/(Fuzzy_Parameters!$C$20 - Fuzzy_Parameters!$C$19), 1, (Fuzzy_Parameters!$C$22 - Sheet6!E79)/(Fuzzy_Parameters!$C$22 - Fuzzy_Parameters!$C$21)), 0)</f>
        <v>0.2790697674</v>
      </c>
      <c r="K79" s="25">
        <f>MAX(MIN((Sheet6!E79 - Fuzzy_Parameters!$C$21)/(Fuzzy_Parameters!$C$22 - Fuzzy_Parameters!$C$21), 1), 0)</f>
        <v>0.7209302326</v>
      </c>
      <c r="L79" s="25">
        <f>MAX(MIN(1, (Fuzzy_Parameters!$C$28 - Sheet6!F79)/(Fuzzy_Parameters!$C$28 - Fuzzy_Parameters!$C$27)), 0)</f>
        <v>0</v>
      </c>
      <c r="M79" s="25">
        <f>MAX(MIN((Sheet6!F79 - Fuzzy_Parameters!$C$27)/(Fuzzy_Parameters!$C$28 - Fuzzy_Parameters!$C$27), 1, (Fuzzy_Parameters!$C$30 - Sheet6!F79)/(Fuzzy_Parameters!$C$30 - Fuzzy_Parameters!$C$29)), 0)</f>
        <v>0</v>
      </c>
      <c r="N79" s="25">
        <f>MAX(MIN((Sheet6!F79 - Fuzzy_Parameters!$C$29)/(Fuzzy_Parameters!$C$30 - Fuzzy_Parameters!$C$29), 1), 0)</f>
        <v>1</v>
      </c>
    </row>
    <row r="80">
      <c r="A80" s="6" t="s">
        <v>9</v>
      </c>
      <c r="B80" s="26">
        <v>2016.0</v>
      </c>
      <c r="C80" s="25">
        <f>MAX(MIN(1, (Fuzzy_Parameters!$C$4 - Sheet6!C80)/(Fuzzy_Parameters!$C$4 - Fuzzy_Parameters!$C$3)), 0)</f>
        <v>0</v>
      </c>
      <c r="D80" s="25">
        <f>MAX(MIN((Sheet6!C80 - Fuzzy_Parameters!$C$3)/(Fuzzy_Parameters!$C$4 - Fuzzy_Parameters!$C$3), 1, (Fuzzy_Parameters!$C$6 - Sheet6!C80)/(Fuzzy_Parameters!$C$6 - Fuzzy_Parameters!$C$5)), 0)</f>
        <v>0.7029840602</v>
      </c>
      <c r="E80" s="25">
        <f>MAX(MIN((Sheet6!C80 - Fuzzy_Parameters!$C$5)/(Fuzzy_Parameters!$C$6 - Fuzzy_Parameters!$C$5), 1), 0)</f>
        <v>0.2970159398</v>
      </c>
      <c r="F80" s="25">
        <f>MAX(MIN(1, (Fuzzy_Parameters!$C$12 - Sheet6!D80)/(Fuzzy_Parameters!$C$12 - Fuzzy_Parameters!$C$11)), 0)</f>
        <v>0</v>
      </c>
      <c r="G80" s="25">
        <f>MAX(MIN((Sheet6!D80 - Fuzzy_Parameters!$C$11)/(Fuzzy_Parameters!$C$12 - Fuzzy_Parameters!$C$11), 1, (Fuzzy_Parameters!$C$14 - Sheet6!D80)/(Fuzzy_Parameters!$C$14 - Fuzzy_Parameters!$C$13)), 0)</f>
        <v>1</v>
      </c>
      <c r="H80" s="25">
        <f>MAX(MIN((Sheet6!D80 - Fuzzy_Parameters!$C$13)/(Fuzzy_Parameters!$C$14 - Fuzzy_Parameters!$C$13), 1), 0)</f>
        <v>0</v>
      </c>
      <c r="I80" s="25">
        <f>MAX(MIN(1, (Fuzzy_Parameters!$C$20 - Sheet6!E80)/(Fuzzy_Parameters!$C$20 - Fuzzy_Parameters!$C$19)), 0)</f>
        <v>0</v>
      </c>
      <c r="J80" s="25">
        <f>MAX(MIN((Sheet6!E80 - Fuzzy_Parameters!$C$19)/(Fuzzy_Parameters!$C$20 - Fuzzy_Parameters!$C$19), 1, (Fuzzy_Parameters!$C$22 - Sheet6!E80)/(Fuzzy_Parameters!$C$22 - Fuzzy_Parameters!$C$21)), 0)</f>
        <v>0.6651162791</v>
      </c>
      <c r="K80" s="25">
        <f>MAX(MIN((Sheet6!E80 - Fuzzy_Parameters!$C$21)/(Fuzzy_Parameters!$C$22 - Fuzzy_Parameters!$C$21), 1), 0)</f>
        <v>0.3348837209</v>
      </c>
      <c r="L80" s="25">
        <f>MAX(MIN(1, (Fuzzy_Parameters!$C$28 - Sheet6!F80)/(Fuzzy_Parameters!$C$28 - Fuzzy_Parameters!$C$27)), 0)</f>
        <v>0</v>
      </c>
      <c r="M80" s="25">
        <f>MAX(MIN((Sheet6!F80 - Fuzzy_Parameters!$C$27)/(Fuzzy_Parameters!$C$28 - Fuzzy_Parameters!$C$27), 1, (Fuzzy_Parameters!$C$30 - Sheet6!F80)/(Fuzzy_Parameters!$C$30 - Fuzzy_Parameters!$C$29)), 0)</f>
        <v>0</v>
      </c>
      <c r="N80" s="25">
        <f>MAX(MIN((Sheet6!F80 - Fuzzy_Parameters!$C$29)/(Fuzzy_Parameters!$C$30 - Fuzzy_Parameters!$C$29), 1), 0)</f>
        <v>1</v>
      </c>
    </row>
    <row r="81">
      <c r="A81" s="6" t="s">
        <v>9</v>
      </c>
      <c r="B81" s="26">
        <v>2015.0</v>
      </c>
      <c r="C81" s="25">
        <f>MAX(MIN(1, (Fuzzy_Parameters!$C$4 - Sheet6!C81)/(Fuzzy_Parameters!$C$4 - Fuzzy_Parameters!$C$3)), 0)</f>
        <v>0</v>
      </c>
      <c r="D81" s="25">
        <f>MAX(MIN((Sheet6!C81 - Fuzzy_Parameters!$C$3)/(Fuzzy_Parameters!$C$4 - Fuzzy_Parameters!$C$3), 1, (Fuzzy_Parameters!$C$6 - Sheet6!C81)/(Fuzzy_Parameters!$C$6 - Fuzzy_Parameters!$C$5)), 0)</f>
        <v>0.8899212176</v>
      </c>
      <c r="E81" s="25">
        <f>MAX(MIN((Sheet6!C81 - Fuzzy_Parameters!$C$5)/(Fuzzy_Parameters!$C$6 - Fuzzy_Parameters!$C$5), 1), 0)</f>
        <v>0.1100787824</v>
      </c>
      <c r="F81" s="25">
        <f>MAX(MIN(1, (Fuzzy_Parameters!$C$12 - Sheet6!D81)/(Fuzzy_Parameters!$C$12 - Fuzzy_Parameters!$C$11)), 0)</f>
        <v>1</v>
      </c>
      <c r="G81" s="25">
        <f>MAX(MIN((Sheet6!D81 - Fuzzy_Parameters!$C$11)/(Fuzzy_Parameters!$C$12 - Fuzzy_Parameters!$C$11), 1, (Fuzzy_Parameters!$C$14 - Sheet6!D81)/(Fuzzy_Parameters!$C$14 - Fuzzy_Parameters!$C$13)), 0)</f>
        <v>0</v>
      </c>
      <c r="H81" s="25">
        <f>MAX(MIN((Sheet6!D81 - Fuzzy_Parameters!$C$13)/(Fuzzy_Parameters!$C$14 - Fuzzy_Parameters!$C$13), 1), 0)</f>
        <v>0</v>
      </c>
      <c r="I81" s="25">
        <f>MAX(MIN(1, (Fuzzy_Parameters!$C$20 - Sheet6!E81)/(Fuzzy_Parameters!$C$20 - Fuzzy_Parameters!$C$19)), 0)</f>
        <v>0</v>
      </c>
      <c r="J81" s="25">
        <f>MAX(MIN((Sheet6!E81 - Fuzzy_Parameters!$C$19)/(Fuzzy_Parameters!$C$20 - Fuzzy_Parameters!$C$19), 1, (Fuzzy_Parameters!$C$22 - Sheet6!E81)/(Fuzzy_Parameters!$C$22 - Fuzzy_Parameters!$C$21)), 0)</f>
        <v>0.2976744186</v>
      </c>
      <c r="K81" s="25">
        <f>MAX(MIN((Sheet6!E81 - Fuzzy_Parameters!$C$21)/(Fuzzy_Parameters!$C$22 - Fuzzy_Parameters!$C$21), 1), 0)</f>
        <v>0.7023255814</v>
      </c>
      <c r="L81" s="25">
        <f>MAX(MIN(1, (Fuzzy_Parameters!$C$28 - Sheet6!F81)/(Fuzzy_Parameters!$C$28 - Fuzzy_Parameters!$C$27)), 0)</f>
        <v>0</v>
      </c>
      <c r="M81" s="25">
        <f>MAX(MIN((Sheet6!F81 - Fuzzy_Parameters!$C$27)/(Fuzzy_Parameters!$C$28 - Fuzzy_Parameters!$C$27), 1, (Fuzzy_Parameters!$C$30 - Sheet6!F81)/(Fuzzy_Parameters!$C$30 - Fuzzy_Parameters!$C$29)), 0)</f>
        <v>0</v>
      </c>
      <c r="N81" s="25">
        <f>MAX(MIN((Sheet6!F81 - Fuzzy_Parameters!$C$29)/(Fuzzy_Parameters!$C$30 - Fuzzy_Parameters!$C$29), 1), 0)</f>
        <v>1</v>
      </c>
    </row>
    <row r="82">
      <c r="A82" s="56" t="s">
        <v>9</v>
      </c>
      <c r="B82" s="57">
        <v>2014.0</v>
      </c>
      <c r="C82" s="25">
        <f>MAX(MIN(1, (Fuzzy_Parameters!$C$4 - Sheet6!C82)/(Fuzzy_Parameters!$C$4 - Fuzzy_Parameters!$C$3)), 0)</f>
        <v>0</v>
      </c>
      <c r="D82" s="25">
        <f>MAX(MIN((Sheet6!C82 - Fuzzy_Parameters!$C$3)/(Fuzzy_Parameters!$C$4 - Fuzzy_Parameters!$C$3), 1, (Fuzzy_Parameters!$C$6 - Sheet6!C82)/(Fuzzy_Parameters!$C$6 - Fuzzy_Parameters!$C$5)), 0)</f>
        <v>1</v>
      </c>
      <c r="E82" s="25">
        <f>MAX(MIN((Sheet6!C82 - Fuzzy_Parameters!$C$5)/(Fuzzy_Parameters!$C$6 - Fuzzy_Parameters!$C$5), 1), 0)</f>
        <v>0</v>
      </c>
      <c r="F82" s="25">
        <f>MAX(MIN(1, (Fuzzy_Parameters!$C$12 - Sheet6!D82)/(Fuzzy_Parameters!$C$12 - Fuzzy_Parameters!$C$11)), 0)</f>
        <v>1</v>
      </c>
      <c r="G82" s="25">
        <f>MAX(MIN((Sheet6!D82 - Fuzzy_Parameters!$C$11)/(Fuzzy_Parameters!$C$12 - Fuzzy_Parameters!$C$11), 1, (Fuzzy_Parameters!$C$14 - Sheet6!D82)/(Fuzzy_Parameters!$C$14 - Fuzzy_Parameters!$C$13)), 0)</f>
        <v>0</v>
      </c>
      <c r="H82" s="25">
        <f>MAX(MIN((Sheet6!D82 - Fuzzy_Parameters!$C$13)/(Fuzzy_Parameters!$C$14 - Fuzzy_Parameters!$C$13), 1), 0)</f>
        <v>0</v>
      </c>
      <c r="I82" s="25">
        <f>MAX(MIN(1, (Fuzzy_Parameters!$C$20 - Sheet6!E82)/(Fuzzy_Parameters!$C$20 - Fuzzy_Parameters!$C$19)), 0)</f>
        <v>0</v>
      </c>
      <c r="J82" s="25">
        <f>MAX(MIN((Sheet6!E82 - Fuzzy_Parameters!$C$19)/(Fuzzy_Parameters!$C$20 - Fuzzy_Parameters!$C$19), 1, (Fuzzy_Parameters!$C$22 - Sheet6!E82)/(Fuzzy_Parameters!$C$22 - Fuzzy_Parameters!$C$21)), 0)</f>
        <v>0.7255813953</v>
      </c>
      <c r="K82" s="25">
        <f>MAX(MIN((Sheet6!E82 - Fuzzy_Parameters!$C$21)/(Fuzzy_Parameters!$C$22 - Fuzzy_Parameters!$C$21), 1), 0)</f>
        <v>0.2744186047</v>
      </c>
      <c r="L82" s="25">
        <f>MAX(MIN(1, (Fuzzy_Parameters!$C$28 - Sheet6!F82)/(Fuzzy_Parameters!$C$28 - Fuzzy_Parameters!$C$27)), 0)</f>
        <v>0</v>
      </c>
      <c r="M82" s="25">
        <f>MAX(MIN((Sheet6!F82 - Fuzzy_Parameters!$C$27)/(Fuzzy_Parameters!$C$28 - Fuzzy_Parameters!$C$27), 1, (Fuzzy_Parameters!$C$30 - Sheet6!F82)/(Fuzzy_Parameters!$C$30 - Fuzzy_Parameters!$C$29)), 0)</f>
        <v>0</v>
      </c>
      <c r="N82" s="25">
        <f>MAX(MIN((Sheet6!F82 - Fuzzy_Parameters!$C$29)/(Fuzzy_Parameters!$C$30 - Fuzzy_Parameters!$C$29), 1), 0)</f>
        <v>1</v>
      </c>
    </row>
    <row r="83">
      <c r="A83" s="6" t="s">
        <v>10</v>
      </c>
      <c r="B83" s="26">
        <v>2022.0</v>
      </c>
      <c r="C83" s="25">
        <f>MAX(MIN(1, (Fuzzy_Parameters!$C$4 - Sheet6!C83)/(Fuzzy_Parameters!$C$4 - Fuzzy_Parameters!$C$3)), 0)</f>
        <v>0</v>
      </c>
      <c r="D83" s="25">
        <f>MAX(MIN((Sheet6!C83 - Fuzzy_Parameters!$C$3)/(Fuzzy_Parameters!$C$4 - Fuzzy_Parameters!$C$3), 1, (Fuzzy_Parameters!$C$6 - Sheet6!C83)/(Fuzzy_Parameters!$C$6 - Fuzzy_Parameters!$C$5)), 0)</f>
        <v>1</v>
      </c>
      <c r="E83" s="25">
        <f>MAX(MIN((Sheet6!C83 - Fuzzy_Parameters!$C$5)/(Fuzzy_Parameters!$C$6 - Fuzzy_Parameters!$C$5), 1), 0)</f>
        <v>0</v>
      </c>
      <c r="F83" s="25">
        <f>MAX(MIN(1, (Fuzzy_Parameters!$C$12 - Sheet6!D83)/(Fuzzy_Parameters!$C$12 - Fuzzy_Parameters!$C$11)), 0)</f>
        <v>0</v>
      </c>
      <c r="G83" s="25">
        <f>MAX(MIN((Sheet6!D83 - Fuzzy_Parameters!$C$11)/(Fuzzy_Parameters!$C$12 - Fuzzy_Parameters!$C$11), 1, (Fuzzy_Parameters!$C$14 - Sheet6!D83)/(Fuzzy_Parameters!$C$14 - Fuzzy_Parameters!$C$13)), 0)</f>
        <v>0</v>
      </c>
      <c r="H83" s="25">
        <f>MAX(MIN((Sheet6!D83 - Fuzzy_Parameters!$C$13)/(Fuzzy_Parameters!$C$14 - Fuzzy_Parameters!$C$13), 1), 0)</f>
        <v>1</v>
      </c>
      <c r="I83" s="25">
        <f>MAX(MIN(1, (Fuzzy_Parameters!$C$20 - Sheet6!E83)/(Fuzzy_Parameters!$C$20 - Fuzzy_Parameters!$C$19)), 0)</f>
        <v>0</v>
      </c>
      <c r="J83" s="25">
        <f>MAX(MIN((Sheet6!E83 - Fuzzy_Parameters!$C$19)/(Fuzzy_Parameters!$C$20 - Fuzzy_Parameters!$C$19), 1, (Fuzzy_Parameters!$C$22 - Sheet6!E83)/(Fuzzy_Parameters!$C$22 - Fuzzy_Parameters!$C$21)), 0)</f>
        <v>0</v>
      </c>
      <c r="K83" s="25">
        <f>MAX(MIN((Sheet6!E83 - Fuzzy_Parameters!$C$21)/(Fuzzy_Parameters!$C$22 - Fuzzy_Parameters!$C$21), 1), 0)</f>
        <v>1</v>
      </c>
      <c r="L83" s="25">
        <f>MAX(MIN(1, (Fuzzy_Parameters!$C$28 - Sheet6!F83)/(Fuzzy_Parameters!$C$28 - Fuzzy_Parameters!$C$27)), 0)</f>
        <v>0.2713722792</v>
      </c>
      <c r="M83" s="25">
        <f>MAX(MIN((Sheet6!F83 - Fuzzy_Parameters!$C$27)/(Fuzzy_Parameters!$C$28 - Fuzzy_Parameters!$C$27), 1, (Fuzzy_Parameters!$C$30 - Sheet6!F83)/(Fuzzy_Parameters!$C$30 - Fuzzy_Parameters!$C$29)), 0)</f>
        <v>0.7286277208</v>
      </c>
      <c r="N83" s="25">
        <f>MAX(MIN((Sheet6!F83 - Fuzzy_Parameters!$C$29)/(Fuzzy_Parameters!$C$30 - Fuzzy_Parameters!$C$29), 1), 0)</f>
        <v>0</v>
      </c>
    </row>
    <row r="84">
      <c r="A84" s="6" t="s">
        <v>10</v>
      </c>
      <c r="B84" s="26">
        <v>2021.0</v>
      </c>
      <c r="C84" s="25">
        <f>MAX(MIN(1, (Fuzzy_Parameters!$C$4 - Sheet6!C84)/(Fuzzy_Parameters!$C$4 - Fuzzy_Parameters!$C$3)), 0)</f>
        <v>0</v>
      </c>
      <c r="D84" s="25">
        <f>MAX(MIN((Sheet6!C84 - Fuzzy_Parameters!$C$3)/(Fuzzy_Parameters!$C$4 - Fuzzy_Parameters!$C$3), 1, (Fuzzy_Parameters!$C$6 - Sheet6!C84)/(Fuzzy_Parameters!$C$6 - Fuzzy_Parameters!$C$5)), 0)</f>
        <v>1</v>
      </c>
      <c r="E84" s="25">
        <f>MAX(MIN((Sheet6!C84 - Fuzzy_Parameters!$C$5)/(Fuzzy_Parameters!$C$6 - Fuzzy_Parameters!$C$5), 1), 0)</f>
        <v>0</v>
      </c>
      <c r="F84" s="25">
        <f>MAX(MIN(1, (Fuzzy_Parameters!$C$12 - Sheet6!D84)/(Fuzzy_Parameters!$C$12 - Fuzzy_Parameters!$C$11)), 0)</f>
        <v>0</v>
      </c>
      <c r="G84" s="25">
        <f>MAX(MIN((Sheet6!D84 - Fuzzy_Parameters!$C$11)/(Fuzzy_Parameters!$C$12 - Fuzzy_Parameters!$C$11), 1, (Fuzzy_Parameters!$C$14 - Sheet6!D84)/(Fuzzy_Parameters!$C$14 - Fuzzy_Parameters!$C$13)), 0)</f>
        <v>0</v>
      </c>
      <c r="H84" s="25">
        <f>MAX(MIN((Sheet6!D84 - Fuzzy_Parameters!$C$13)/(Fuzzy_Parameters!$C$14 - Fuzzy_Parameters!$C$13), 1), 0)</f>
        <v>1</v>
      </c>
      <c r="I84" s="25">
        <f>MAX(MIN(1, (Fuzzy_Parameters!$C$20 - Sheet6!E84)/(Fuzzy_Parameters!$C$20 - Fuzzy_Parameters!$C$19)), 0)</f>
        <v>0</v>
      </c>
      <c r="J84" s="25">
        <f>MAX(MIN((Sheet6!E84 - Fuzzy_Parameters!$C$19)/(Fuzzy_Parameters!$C$20 - Fuzzy_Parameters!$C$19), 1, (Fuzzy_Parameters!$C$22 - Sheet6!E84)/(Fuzzy_Parameters!$C$22 - Fuzzy_Parameters!$C$21)), 0)</f>
        <v>0</v>
      </c>
      <c r="K84" s="25">
        <f>MAX(MIN((Sheet6!E84 - Fuzzy_Parameters!$C$21)/(Fuzzy_Parameters!$C$22 - Fuzzy_Parameters!$C$21), 1), 0)</f>
        <v>1</v>
      </c>
      <c r="L84" s="25">
        <f>MAX(MIN(1, (Fuzzy_Parameters!$C$28 - Sheet6!F84)/(Fuzzy_Parameters!$C$28 - Fuzzy_Parameters!$C$27)), 0)</f>
        <v>0.3487955568</v>
      </c>
      <c r="M84" s="25">
        <f>MAX(MIN((Sheet6!F84 - Fuzzy_Parameters!$C$27)/(Fuzzy_Parameters!$C$28 - Fuzzy_Parameters!$C$27), 1, (Fuzzy_Parameters!$C$30 - Sheet6!F84)/(Fuzzy_Parameters!$C$30 - Fuzzy_Parameters!$C$29)), 0)</f>
        <v>0.6512044432</v>
      </c>
      <c r="N84" s="25">
        <f>MAX(MIN((Sheet6!F84 - Fuzzy_Parameters!$C$29)/(Fuzzy_Parameters!$C$30 - Fuzzy_Parameters!$C$29), 1), 0)</f>
        <v>0</v>
      </c>
    </row>
    <row r="85">
      <c r="A85" s="6" t="s">
        <v>10</v>
      </c>
      <c r="B85" s="26">
        <v>2020.0</v>
      </c>
      <c r="C85" s="25">
        <f>MAX(MIN(1, (Fuzzy_Parameters!$C$4 - Sheet6!C85)/(Fuzzy_Parameters!$C$4 - Fuzzy_Parameters!$C$3)), 0)</f>
        <v>0</v>
      </c>
      <c r="D85" s="25">
        <f>MAX(MIN((Sheet6!C85 - Fuzzy_Parameters!$C$3)/(Fuzzy_Parameters!$C$4 - Fuzzy_Parameters!$C$3), 1, (Fuzzy_Parameters!$C$6 - Sheet6!C85)/(Fuzzy_Parameters!$C$6 - Fuzzy_Parameters!$C$5)), 0)</f>
        <v>1</v>
      </c>
      <c r="E85" s="25">
        <f>MAX(MIN((Sheet6!C85 - Fuzzy_Parameters!$C$5)/(Fuzzy_Parameters!$C$6 - Fuzzy_Parameters!$C$5), 1), 0)</f>
        <v>0</v>
      </c>
      <c r="F85" s="25">
        <f>MAX(MIN(1, (Fuzzy_Parameters!$C$12 - Sheet6!D85)/(Fuzzy_Parameters!$C$12 - Fuzzy_Parameters!$C$11)), 0)</f>
        <v>0</v>
      </c>
      <c r="G85" s="25">
        <f>MAX(MIN((Sheet6!D85 - Fuzzy_Parameters!$C$11)/(Fuzzy_Parameters!$C$12 - Fuzzy_Parameters!$C$11), 1, (Fuzzy_Parameters!$C$14 - Sheet6!D85)/(Fuzzy_Parameters!$C$14 - Fuzzy_Parameters!$C$13)), 0)</f>
        <v>0</v>
      </c>
      <c r="H85" s="25">
        <f>MAX(MIN((Sheet6!D85 - Fuzzy_Parameters!$C$13)/(Fuzzy_Parameters!$C$14 - Fuzzy_Parameters!$C$13), 1), 0)</f>
        <v>1</v>
      </c>
      <c r="I85" s="25">
        <f>MAX(MIN(1, (Fuzzy_Parameters!$C$20 - Sheet6!E85)/(Fuzzy_Parameters!$C$20 - Fuzzy_Parameters!$C$19)), 0)</f>
        <v>0</v>
      </c>
      <c r="J85" s="25">
        <f>MAX(MIN((Sheet6!E85 - Fuzzy_Parameters!$C$19)/(Fuzzy_Parameters!$C$20 - Fuzzy_Parameters!$C$19), 1, (Fuzzy_Parameters!$C$22 - Sheet6!E85)/(Fuzzy_Parameters!$C$22 - Fuzzy_Parameters!$C$21)), 0)</f>
        <v>0</v>
      </c>
      <c r="K85" s="25">
        <f>MAX(MIN((Sheet6!E85 - Fuzzy_Parameters!$C$21)/(Fuzzy_Parameters!$C$22 - Fuzzy_Parameters!$C$21), 1), 0)</f>
        <v>1</v>
      </c>
      <c r="L85" s="25">
        <f>MAX(MIN(1, (Fuzzy_Parameters!$C$28 - Sheet6!F85)/(Fuzzy_Parameters!$C$28 - Fuzzy_Parameters!$C$27)), 0)</f>
        <v>0</v>
      </c>
      <c r="M85" s="25">
        <f>MAX(MIN((Sheet6!F85 - Fuzzy_Parameters!$C$27)/(Fuzzy_Parameters!$C$28 - Fuzzy_Parameters!$C$27), 1, (Fuzzy_Parameters!$C$30 - Sheet6!F85)/(Fuzzy_Parameters!$C$30 - Fuzzy_Parameters!$C$29)), 0)</f>
        <v>0.8857571857</v>
      </c>
      <c r="N85" s="25">
        <f>MAX(MIN((Sheet6!F85 - Fuzzy_Parameters!$C$29)/(Fuzzy_Parameters!$C$30 - Fuzzy_Parameters!$C$29), 1), 0)</f>
        <v>0.1142428143</v>
      </c>
    </row>
    <row r="86">
      <c r="A86" s="6" t="s">
        <v>10</v>
      </c>
      <c r="B86" s="26">
        <v>2019.0</v>
      </c>
      <c r="C86" s="25">
        <f>MAX(MIN(1, (Fuzzy_Parameters!$C$4 - Sheet6!C86)/(Fuzzy_Parameters!$C$4 - Fuzzy_Parameters!$C$3)), 0)</f>
        <v>0</v>
      </c>
      <c r="D86" s="25">
        <f>MAX(MIN((Sheet6!C86 - Fuzzy_Parameters!$C$3)/(Fuzzy_Parameters!$C$4 - Fuzzy_Parameters!$C$3), 1, (Fuzzy_Parameters!$C$6 - Sheet6!C86)/(Fuzzy_Parameters!$C$6 - Fuzzy_Parameters!$C$5)), 0)</f>
        <v>1</v>
      </c>
      <c r="E86" s="25">
        <f>MAX(MIN((Sheet6!C86 - Fuzzy_Parameters!$C$5)/(Fuzzy_Parameters!$C$6 - Fuzzy_Parameters!$C$5), 1), 0)</f>
        <v>0</v>
      </c>
      <c r="F86" s="25">
        <f>MAX(MIN(1, (Fuzzy_Parameters!$C$12 - Sheet6!D86)/(Fuzzy_Parameters!$C$12 - Fuzzy_Parameters!$C$11)), 0)</f>
        <v>0</v>
      </c>
      <c r="G86" s="25">
        <f>MAX(MIN((Sheet6!D86 - Fuzzy_Parameters!$C$11)/(Fuzzy_Parameters!$C$12 - Fuzzy_Parameters!$C$11), 1, (Fuzzy_Parameters!$C$14 - Sheet6!D86)/(Fuzzy_Parameters!$C$14 - Fuzzy_Parameters!$C$13)), 0)</f>
        <v>0</v>
      </c>
      <c r="H86" s="25">
        <f>MAX(MIN((Sheet6!D86 - Fuzzy_Parameters!$C$13)/(Fuzzy_Parameters!$C$14 - Fuzzy_Parameters!$C$13), 1), 0)</f>
        <v>1</v>
      </c>
      <c r="I86" s="25">
        <f>MAX(MIN(1, (Fuzzy_Parameters!$C$20 - Sheet6!E86)/(Fuzzy_Parameters!$C$20 - Fuzzy_Parameters!$C$19)), 0)</f>
        <v>0</v>
      </c>
      <c r="J86" s="25">
        <f>MAX(MIN((Sheet6!E86 - Fuzzy_Parameters!$C$19)/(Fuzzy_Parameters!$C$20 - Fuzzy_Parameters!$C$19), 1, (Fuzzy_Parameters!$C$22 - Sheet6!E86)/(Fuzzy_Parameters!$C$22 - Fuzzy_Parameters!$C$21)), 0)</f>
        <v>0</v>
      </c>
      <c r="K86" s="25">
        <f>MAX(MIN((Sheet6!E86 - Fuzzy_Parameters!$C$21)/(Fuzzy_Parameters!$C$22 - Fuzzy_Parameters!$C$21), 1), 0)</f>
        <v>1</v>
      </c>
      <c r="L86" s="25">
        <f>MAX(MIN(1, (Fuzzy_Parameters!$C$28 - Sheet6!F86)/(Fuzzy_Parameters!$C$28 - Fuzzy_Parameters!$C$27)), 0)</f>
        <v>0</v>
      </c>
      <c r="M86" s="25">
        <f>MAX(MIN((Sheet6!F86 - Fuzzy_Parameters!$C$27)/(Fuzzy_Parameters!$C$28 - Fuzzy_Parameters!$C$27), 1, (Fuzzy_Parameters!$C$30 - Sheet6!F86)/(Fuzzy_Parameters!$C$30 - Fuzzy_Parameters!$C$29)), 0)</f>
        <v>1</v>
      </c>
      <c r="N86" s="25">
        <f>MAX(MIN((Sheet6!F86 - Fuzzy_Parameters!$C$29)/(Fuzzy_Parameters!$C$30 - Fuzzy_Parameters!$C$29), 1), 0)</f>
        <v>0</v>
      </c>
    </row>
    <row r="87">
      <c r="A87" s="6" t="s">
        <v>10</v>
      </c>
      <c r="B87" s="26">
        <v>2018.0</v>
      </c>
      <c r="C87" s="25">
        <f>MAX(MIN(1, (Fuzzy_Parameters!$C$4 - Sheet6!C87)/(Fuzzy_Parameters!$C$4 - Fuzzy_Parameters!$C$3)), 0)</f>
        <v>0</v>
      </c>
      <c r="D87" s="25">
        <f>MAX(MIN((Sheet6!C87 - Fuzzy_Parameters!$C$3)/(Fuzzy_Parameters!$C$4 - Fuzzy_Parameters!$C$3), 1, (Fuzzy_Parameters!$C$6 - Sheet6!C87)/(Fuzzy_Parameters!$C$6 - Fuzzy_Parameters!$C$5)), 0)</f>
        <v>1</v>
      </c>
      <c r="E87" s="25">
        <f>MAX(MIN((Sheet6!C87 - Fuzzy_Parameters!$C$5)/(Fuzzy_Parameters!$C$6 - Fuzzy_Parameters!$C$5), 1), 0)</f>
        <v>0</v>
      </c>
      <c r="F87" s="25">
        <f>MAX(MIN(1, (Fuzzy_Parameters!$C$12 - Sheet6!D87)/(Fuzzy_Parameters!$C$12 - Fuzzy_Parameters!$C$11)), 0)</f>
        <v>0</v>
      </c>
      <c r="G87" s="25">
        <f>MAX(MIN((Sheet6!D87 - Fuzzy_Parameters!$C$11)/(Fuzzy_Parameters!$C$12 - Fuzzy_Parameters!$C$11), 1, (Fuzzy_Parameters!$C$14 - Sheet6!D87)/(Fuzzy_Parameters!$C$14 - Fuzzy_Parameters!$C$13)), 0)</f>
        <v>0</v>
      </c>
      <c r="H87" s="25">
        <f>MAX(MIN((Sheet6!D87 - Fuzzy_Parameters!$C$13)/(Fuzzy_Parameters!$C$14 - Fuzzy_Parameters!$C$13), 1), 0)</f>
        <v>1</v>
      </c>
      <c r="I87" s="25">
        <f>MAX(MIN(1, (Fuzzy_Parameters!$C$20 - Sheet6!E87)/(Fuzzy_Parameters!$C$20 - Fuzzy_Parameters!$C$19)), 0)</f>
        <v>0</v>
      </c>
      <c r="J87" s="25">
        <f>MAX(MIN((Sheet6!E87 - Fuzzy_Parameters!$C$19)/(Fuzzy_Parameters!$C$20 - Fuzzy_Parameters!$C$19), 1, (Fuzzy_Parameters!$C$22 - Sheet6!E87)/(Fuzzy_Parameters!$C$22 - Fuzzy_Parameters!$C$21)), 0)</f>
        <v>0</v>
      </c>
      <c r="K87" s="25">
        <f>MAX(MIN((Sheet6!E87 - Fuzzy_Parameters!$C$21)/(Fuzzy_Parameters!$C$22 - Fuzzy_Parameters!$C$21), 1), 0)</f>
        <v>1</v>
      </c>
      <c r="L87" s="25">
        <f>MAX(MIN(1, (Fuzzy_Parameters!$C$28 - Sheet6!F87)/(Fuzzy_Parameters!$C$28 - Fuzzy_Parameters!$C$27)), 0)</f>
        <v>0</v>
      </c>
      <c r="M87" s="25">
        <f>MAX(MIN((Sheet6!F87 - Fuzzy_Parameters!$C$27)/(Fuzzy_Parameters!$C$28 - Fuzzy_Parameters!$C$27), 1, (Fuzzy_Parameters!$C$30 - Sheet6!F87)/(Fuzzy_Parameters!$C$30 - Fuzzy_Parameters!$C$29)), 0)</f>
        <v>1</v>
      </c>
      <c r="N87" s="25">
        <f>MAX(MIN((Sheet6!F87 - Fuzzy_Parameters!$C$29)/(Fuzzy_Parameters!$C$30 - Fuzzy_Parameters!$C$29), 1), 0)</f>
        <v>0</v>
      </c>
    </row>
    <row r="88">
      <c r="A88" s="6" t="s">
        <v>10</v>
      </c>
      <c r="B88" s="26">
        <v>2017.0</v>
      </c>
      <c r="C88" s="25">
        <f>MAX(MIN(1, (Fuzzy_Parameters!$C$4 - Sheet6!C88)/(Fuzzy_Parameters!$C$4 - Fuzzy_Parameters!$C$3)), 0)</f>
        <v>0</v>
      </c>
      <c r="D88" s="25">
        <f>MAX(MIN((Sheet6!C88 - Fuzzy_Parameters!$C$3)/(Fuzzy_Parameters!$C$4 - Fuzzy_Parameters!$C$3), 1, (Fuzzy_Parameters!$C$6 - Sheet6!C88)/(Fuzzy_Parameters!$C$6 - Fuzzy_Parameters!$C$5)), 0)</f>
        <v>1</v>
      </c>
      <c r="E88" s="25">
        <f>MAX(MIN((Sheet6!C88 - Fuzzy_Parameters!$C$5)/(Fuzzy_Parameters!$C$6 - Fuzzy_Parameters!$C$5), 1), 0)</f>
        <v>0</v>
      </c>
      <c r="F88" s="25">
        <f>MAX(MIN(1, (Fuzzy_Parameters!$C$12 - Sheet6!D88)/(Fuzzy_Parameters!$C$12 - Fuzzy_Parameters!$C$11)), 0)</f>
        <v>0</v>
      </c>
      <c r="G88" s="25">
        <f>MAX(MIN((Sheet6!D88 - Fuzzy_Parameters!$C$11)/(Fuzzy_Parameters!$C$12 - Fuzzy_Parameters!$C$11), 1, (Fuzzy_Parameters!$C$14 - Sheet6!D88)/(Fuzzy_Parameters!$C$14 - Fuzzy_Parameters!$C$13)), 0)</f>
        <v>0</v>
      </c>
      <c r="H88" s="25">
        <f>MAX(MIN((Sheet6!D88 - Fuzzy_Parameters!$C$13)/(Fuzzy_Parameters!$C$14 - Fuzzy_Parameters!$C$13), 1), 0)</f>
        <v>1</v>
      </c>
      <c r="I88" s="25">
        <f>MAX(MIN(1, (Fuzzy_Parameters!$C$20 - Sheet6!E88)/(Fuzzy_Parameters!$C$20 - Fuzzy_Parameters!$C$19)), 0)</f>
        <v>0</v>
      </c>
      <c r="J88" s="25">
        <f>MAX(MIN((Sheet6!E88 - Fuzzy_Parameters!$C$19)/(Fuzzy_Parameters!$C$20 - Fuzzy_Parameters!$C$19), 1, (Fuzzy_Parameters!$C$22 - Sheet6!E88)/(Fuzzy_Parameters!$C$22 - Fuzzy_Parameters!$C$21)), 0)</f>
        <v>0</v>
      </c>
      <c r="K88" s="25">
        <f>MAX(MIN((Sheet6!E88 - Fuzzy_Parameters!$C$21)/(Fuzzy_Parameters!$C$22 - Fuzzy_Parameters!$C$21), 1), 0)</f>
        <v>1</v>
      </c>
      <c r="L88" s="25">
        <f>MAX(MIN(1, (Fuzzy_Parameters!$C$28 - Sheet6!F88)/(Fuzzy_Parameters!$C$28 - Fuzzy_Parameters!$C$27)), 0)</f>
        <v>0</v>
      </c>
      <c r="M88" s="25">
        <f>MAX(MIN((Sheet6!F88 - Fuzzy_Parameters!$C$27)/(Fuzzy_Parameters!$C$28 - Fuzzy_Parameters!$C$27), 1, (Fuzzy_Parameters!$C$30 - Sheet6!F88)/(Fuzzy_Parameters!$C$30 - Fuzzy_Parameters!$C$29)), 0)</f>
        <v>0.9227958391</v>
      </c>
      <c r="N88" s="25">
        <f>MAX(MIN((Sheet6!F88 - Fuzzy_Parameters!$C$29)/(Fuzzy_Parameters!$C$30 - Fuzzy_Parameters!$C$29), 1), 0)</f>
        <v>0.07720416093</v>
      </c>
    </row>
    <row r="89">
      <c r="A89" s="6" t="s">
        <v>10</v>
      </c>
      <c r="B89" s="26">
        <v>2016.0</v>
      </c>
      <c r="C89" s="25">
        <f>MAX(MIN(1, (Fuzzy_Parameters!$C$4 - Sheet6!C89)/(Fuzzy_Parameters!$C$4 - Fuzzy_Parameters!$C$3)), 0)</f>
        <v>0.02006620808</v>
      </c>
      <c r="D89" s="25">
        <f>MAX(MIN((Sheet6!C89 - Fuzzy_Parameters!$C$3)/(Fuzzy_Parameters!$C$4 - Fuzzy_Parameters!$C$3), 1, (Fuzzy_Parameters!$C$6 - Sheet6!C89)/(Fuzzy_Parameters!$C$6 - Fuzzy_Parameters!$C$5)), 0)</f>
        <v>0.9799337919</v>
      </c>
      <c r="E89" s="25">
        <f>MAX(MIN((Sheet6!C89 - Fuzzy_Parameters!$C$5)/(Fuzzy_Parameters!$C$6 - Fuzzy_Parameters!$C$5), 1), 0)</f>
        <v>0</v>
      </c>
      <c r="F89" s="25">
        <f>MAX(MIN(1, (Fuzzy_Parameters!$C$12 - Sheet6!D89)/(Fuzzy_Parameters!$C$12 - Fuzzy_Parameters!$C$11)), 0)</f>
        <v>0</v>
      </c>
      <c r="G89" s="25">
        <f>MAX(MIN((Sheet6!D89 - Fuzzy_Parameters!$C$11)/(Fuzzy_Parameters!$C$12 - Fuzzy_Parameters!$C$11), 1, (Fuzzy_Parameters!$C$14 - Sheet6!D89)/(Fuzzy_Parameters!$C$14 - Fuzzy_Parameters!$C$13)), 0)</f>
        <v>0</v>
      </c>
      <c r="H89" s="25">
        <f>MAX(MIN((Sheet6!D89 - Fuzzy_Parameters!$C$13)/(Fuzzy_Parameters!$C$14 - Fuzzy_Parameters!$C$13), 1), 0)</f>
        <v>1</v>
      </c>
      <c r="I89" s="25">
        <f>MAX(MIN(1, (Fuzzy_Parameters!$C$20 - Sheet6!E89)/(Fuzzy_Parameters!$C$20 - Fuzzy_Parameters!$C$19)), 0)</f>
        <v>0</v>
      </c>
      <c r="J89" s="25">
        <f>MAX(MIN((Sheet6!E89 - Fuzzy_Parameters!$C$19)/(Fuzzy_Parameters!$C$20 - Fuzzy_Parameters!$C$19), 1, (Fuzzy_Parameters!$C$22 - Sheet6!E89)/(Fuzzy_Parameters!$C$22 - Fuzzy_Parameters!$C$21)), 0)</f>
        <v>0.04186046512</v>
      </c>
      <c r="K89" s="25">
        <f>MAX(MIN((Sheet6!E89 - Fuzzy_Parameters!$C$21)/(Fuzzy_Parameters!$C$22 - Fuzzy_Parameters!$C$21), 1), 0)</f>
        <v>0.9581395349</v>
      </c>
      <c r="L89" s="25">
        <f>MAX(MIN(1, (Fuzzy_Parameters!$C$28 - Sheet6!F89)/(Fuzzy_Parameters!$C$28 - Fuzzy_Parameters!$C$27)), 0)</f>
        <v>0</v>
      </c>
      <c r="M89" s="25">
        <f>MAX(MIN((Sheet6!F89 - Fuzzy_Parameters!$C$27)/(Fuzzy_Parameters!$C$28 - Fuzzy_Parameters!$C$27), 1, (Fuzzy_Parameters!$C$30 - Sheet6!F89)/(Fuzzy_Parameters!$C$30 - Fuzzy_Parameters!$C$29)), 0)</f>
        <v>1</v>
      </c>
      <c r="N89" s="25">
        <f>MAX(MIN((Sheet6!F89 - Fuzzy_Parameters!$C$29)/(Fuzzy_Parameters!$C$30 - Fuzzy_Parameters!$C$29), 1), 0)</f>
        <v>0</v>
      </c>
    </row>
    <row r="90">
      <c r="A90" s="6" t="s">
        <v>10</v>
      </c>
      <c r="B90" s="26">
        <v>2015.0</v>
      </c>
      <c r="C90" s="25">
        <f>MAX(MIN(1, (Fuzzy_Parameters!$C$4 - Sheet6!C90)/(Fuzzy_Parameters!$C$4 - Fuzzy_Parameters!$C$3)), 0)</f>
        <v>0</v>
      </c>
      <c r="D90" s="25">
        <f>MAX(MIN((Sheet6!C90 - Fuzzy_Parameters!$C$3)/(Fuzzy_Parameters!$C$4 - Fuzzy_Parameters!$C$3), 1, (Fuzzy_Parameters!$C$6 - Sheet6!C90)/(Fuzzy_Parameters!$C$6 - Fuzzy_Parameters!$C$5)), 0)</f>
        <v>1</v>
      </c>
      <c r="E90" s="25">
        <f>MAX(MIN((Sheet6!C90 - Fuzzy_Parameters!$C$5)/(Fuzzy_Parameters!$C$6 - Fuzzy_Parameters!$C$5), 1), 0)</f>
        <v>0</v>
      </c>
      <c r="F90" s="25">
        <f>MAX(MIN(1, (Fuzzy_Parameters!$C$12 - Sheet6!D90)/(Fuzzy_Parameters!$C$12 - Fuzzy_Parameters!$C$11)), 0)</f>
        <v>0</v>
      </c>
      <c r="G90" s="25">
        <f>MAX(MIN((Sheet6!D90 - Fuzzy_Parameters!$C$11)/(Fuzzy_Parameters!$C$12 - Fuzzy_Parameters!$C$11), 1, (Fuzzy_Parameters!$C$14 - Sheet6!D90)/(Fuzzy_Parameters!$C$14 - Fuzzy_Parameters!$C$13)), 0)</f>
        <v>0</v>
      </c>
      <c r="H90" s="25">
        <f>MAX(MIN((Sheet6!D90 - Fuzzy_Parameters!$C$13)/(Fuzzy_Parameters!$C$14 - Fuzzy_Parameters!$C$13), 1), 0)</f>
        <v>1</v>
      </c>
      <c r="I90" s="25">
        <f>MAX(MIN(1, (Fuzzy_Parameters!$C$20 - Sheet6!E90)/(Fuzzy_Parameters!$C$20 - Fuzzy_Parameters!$C$19)), 0)</f>
        <v>0</v>
      </c>
      <c r="J90" s="25">
        <f>MAX(MIN((Sheet6!E90 - Fuzzy_Parameters!$C$19)/(Fuzzy_Parameters!$C$20 - Fuzzy_Parameters!$C$19), 1, (Fuzzy_Parameters!$C$22 - Sheet6!E90)/(Fuzzy_Parameters!$C$22 - Fuzzy_Parameters!$C$21)), 0)</f>
        <v>0.009302325581</v>
      </c>
      <c r="K90" s="25">
        <f>MAX(MIN((Sheet6!E90 - Fuzzy_Parameters!$C$21)/(Fuzzy_Parameters!$C$22 - Fuzzy_Parameters!$C$21), 1), 0)</f>
        <v>0.9906976744</v>
      </c>
      <c r="L90" s="25">
        <f>MAX(MIN(1, (Fuzzy_Parameters!$C$28 - Sheet6!F90)/(Fuzzy_Parameters!$C$28 - Fuzzy_Parameters!$C$27)), 0)</f>
        <v>0</v>
      </c>
      <c r="M90" s="25">
        <f>MAX(MIN((Sheet6!F90 - Fuzzy_Parameters!$C$27)/(Fuzzy_Parameters!$C$28 - Fuzzy_Parameters!$C$27), 1, (Fuzzy_Parameters!$C$30 - Sheet6!F90)/(Fuzzy_Parameters!$C$30 - Fuzzy_Parameters!$C$29)), 0)</f>
        <v>0.7374110711</v>
      </c>
      <c r="N90" s="25">
        <f>MAX(MIN((Sheet6!F90 - Fuzzy_Parameters!$C$29)/(Fuzzy_Parameters!$C$30 - Fuzzy_Parameters!$C$29), 1), 0)</f>
        <v>0.2625889289</v>
      </c>
    </row>
    <row r="91">
      <c r="A91" s="56" t="s">
        <v>10</v>
      </c>
      <c r="B91" s="57">
        <v>2014.0</v>
      </c>
      <c r="C91" s="25">
        <f>MAX(MIN(1, (Fuzzy_Parameters!$C$4 - Sheet6!C91)/(Fuzzy_Parameters!$C$4 - Fuzzy_Parameters!$C$3)), 0)</f>
        <v>0.1159421969</v>
      </c>
      <c r="D91" s="25">
        <f>MAX(MIN((Sheet6!C91 - Fuzzy_Parameters!$C$3)/(Fuzzy_Parameters!$C$4 - Fuzzy_Parameters!$C$3), 1, (Fuzzy_Parameters!$C$6 - Sheet6!C91)/(Fuzzy_Parameters!$C$6 - Fuzzy_Parameters!$C$5)), 0)</f>
        <v>0.8840578031</v>
      </c>
      <c r="E91" s="25">
        <f>MAX(MIN((Sheet6!C91 - Fuzzy_Parameters!$C$5)/(Fuzzy_Parameters!$C$6 - Fuzzy_Parameters!$C$5), 1), 0)</f>
        <v>0</v>
      </c>
      <c r="F91" s="25">
        <f>MAX(MIN(1, (Fuzzy_Parameters!$C$12 - Sheet6!D91)/(Fuzzy_Parameters!$C$12 - Fuzzy_Parameters!$C$11)), 0)</f>
        <v>0</v>
      </c>
      <c r="G91" s="25">
        <f>MAX(MIN((Sheet6!D91 - Fuzzy_Parameters!$C$11)/(Fuzzy_Parameters!$C$12 - Fuzzy_Parameters!$C$11), 1, (Fuzzy_Parameters!$C$14 - Sheet6!D91)/(Fuzzy_Parameters!$C$14 - Fuzzy_Parameters!$C$13)), 0)</f>
        <v>0</v>
      </c>
      <c r="H91" s="25">
        <f>MAX(MIN((Sheet6!D91 - Fuzzy_Parameters!$C$13)/(Fuzzy_Parameters!$C$14 - Fuzzy_Parameters!$C$13), 1), 0)</f>
        <v>1</v>
      </c>
      <c r="I91" s="25">
        <f>MAX(MIN(1, (Fuzzy_Parameters!$C$20 - Sheet6!E91)/(Fuzzy_Parameters!$C$20 - Fuzzy_Parameters!$C$19)), 0)</f>
        <v>0</v>
      </c>
      <c r="J91" s="25">
        <f>MAX(MIN((Sheet6!E91 - Fuzzy_Parameters!$C$19)/(Fuzzy_Parameters!$C$20 - Fuzzy_Parameters!$C$19), 1, (Fuzzy_Parameters!$C$22 - Sheet6!E91)/(Fuzzy_Parameters!$C$22 - Fuzzy_Parameters!$C$21)), 0)</f>
        <v>0.6790697674</v>
      </c>
      <c r="K91" s="25">
        <f>MAX(MIN((Sheet6!E91 - Fuzzy_Parameters!$C$21)/(Fuzzy_Parameters!$C$22 - Fuzzy_Parameters!$C$21), 1), 0)</f>
        <v>0.3209302326</v>
      </c>
      <c r="L91" s="25">
        <f>MAX(MIN(1, (Fuzzy_Parameters!$C$28 - Sheet6!F91)/(Fuzzy_Parameters!$C$28 - Fuzzy_Parameters!$C$27)), 0)</f>
        <v>0</v>
      </c>
      <c r="M91" s="25">
        <f>MAX(MIN((Sheet6!F91 - Fuzzy_Parameters!$C$27)/(Fuzzy_Parameters!$C$28 - Fuzzy_Parameters!$C$27), 1, (Fuzzy_Parameters!$C$30 - Sheet6!F91)/(Fuzzy_Parameters!$C$30 - Fuzzy_Parameters!$C$29)), 0)</f>
        <v>0.6537571569</v>
      </c>
      <c r="N91" s="25">
        <f>MAX(MIN((Sheet6!F91 - Fuzzy_Parameters!$C$29)/(Fuzzy_Parameters!$C$30 - Fuzzy_Parameters!$C$29), 1), 0)</f>
        <v>0.3462428431</v>
      </c>
    </row>
    <row r="92">
      <c r="A92" s="6" t="s">
        <v>11</v>
      </c>
      <c r="B92" s="26">
        <v>2022.0</v>
      </c>
      <c r="C92" s="25">
        <f>MAX(MIN(1, (Fuzzy_Parameters!$C$4 - Sheet6!C92)/(Fuzzy_Parameters!$C$4 - Fuzzy_Parameters!$C$3)), 0)</f>
        <v>0</v>
      </c>
      <c r="D92" s="25">
        <f>MAX(MIN((Sheet6!C92 - Fuzzy_Parameters!$C$3)/(Fuzzy_Parameters!$C$4 - Fuzzy_Parameters!$C$3), 1, (Fuzzy_Parameters!$C$6 - Sheet6!C92)/(Fuzzy_Parameters!$C$6 - Fuzzy_Parameters!$C$5)), 0)</f>
        <v>1</v>
      </c>
      <c r="E92" s="25">
        <f>MAX(MIN((Sheet6!C92 - Fuzzy_Parameters!$C$5)/(Fuzzy_Parameters!$C$6 - Fuzzy_Parameters!$C$5), 1), 0)</f>
        <v>0</v>
      </c>
      <c r="F92" s="25">
        <f>MAX(MIN(1, (Fuzzy_Parameters!$C$12 - Sheet6!D92)/(Fuzzy_Parameters!$C$12 - Fuzzy_Parameters!$C$11)), 0)</f>
        <v>0.09290133111</v>
      </c>
      <c r="G92" s="25">
        <f>MAX(MIN((Sheet6!D92 - Fuzzy_Parameters!$C$11)/(Fuzzy_Parameters!$C$12 - Fuzzy_Parameters!$C$11), 1, (Fuzzy_Parameters!$C$14 - Sheet6!D92)/(Fuzzy_Parameters!$C$14 - Fuzzy_Parameters!$C$13)), 0)</f>
        <v>0.9070986689</v>
      </c>
      <c r="H92" s="25">
        <f>MAX(MIN((Sheet6!D92 - Fuzzy_Parameters!$C$13)/(Fuzzy_Parameters!$C$14 - Fuzzy_Parameters!$C$13), 1), 0)</f>
        <v>0</v>
      </c>
      <c r="I92" s="25">
        <f>MAX(MIN(1, (Fuzzy_Parameters!$C$20 - Sheet6!E92)/(Fuzzy_Parameters!$C$20 - Fuzzy_Parameters!$C$19)), 0)</f>
        <v>0</v>
      </c>
      <c r="J92" s="25">
        <f>MAX(MIN((Sheet6!E92 - Fuzzy_Parameters!$C$19)/(Fuzzy_Parameters!$C$20 - Fuzzy_Parameters!$C$19), 1, (Fuzzy_Parameters!$C$22 - Sheet6!E92)/(Fuzzy_Parameters!$C$22 - Fuzzy_Parameters!$C$21)), 0)</f>
        <v>0.2837209302</v>
      </c>
      <c r="K92" s="25">
        <f>MAX(MIN((Sheet6!E92 - Fuzzy_Parameters!$C$21)/(Fuzzy_Parameters!$C$22 - Fuzzy_Parameters!$C$21), 1), 0)</f>
        <v>0.7162790698</v>
      </c>
      <c r="L92" s="25">
        <f>MAX(MIN(1, (Fuzzy_Parameters!$C$28 - Sheet6!F92)/(Fuzzy_Parameters!$C$28 - Fuzzy_Parameters!$C$27)), 0)</f>
        <v>0</v>
      </c>
      <c r="M92" s="25">
        <f>MAX(MIN((Sheet6!F92 - Fuzzy_Parameters!$C$27)/(Fuzzy_Parameters!$C$28 - Fuzzy_Parameters!$C$27), 1, (Fuzzy_Parameters!$C$30 - Sheet6!F92)/(Fuzzy_Parameters!$C$30 - Fuzzy_Parameters!$C$29)), 0)</f>
        <v>0</v>
      </c>
      <c r="N92" s="25">
        <f>MAX(MIN((Sheet6!F92 - Fuzzy_Parameters!$C$29)/(Fuzzy_Parameters!$C$30 - Fuzzy_Parameters!$C$29), 1), 0)</f>
        <v>1</v>
      </c>
    </row>
    <row r="93">
      <c r="A93" s="6" t="s">
        <v>11</v>
      </c>
      <c r="B93" s="26">
        <v>2021.0</v>
      </c>
      <c r="C93" s="25">
        <f>MAX(MIN(1, (Fuzzy_Parameters!$C$4 - Sheet6!C93)/(Fuzzy_Parameters!$C$4 - Fuzzy_Parameters!$C$3)), 0)</f>
        <v>0</v>
      </c>
      <c r="D93" s="25">
        <f>MAX(MIN((Sheet6!C93 - Fuzzy_Parameters!$C$3)/(Fuzzy_Parameters!$C$4 - Fuzzy_Parameters!$C$3), 1, (Fuzzy_Parameters!$C$6 - Sheet6!C93)/(Fuzzy_Parameters!$C$6 - Fuzzy_Parameters!$C$5)), 0)</f>
        <v>1</v>
      </c>
      <c r="E93" s="25">
        <f>MAX(MIN((Sheet6!C93 - Fuzzy_Parameters!$C$5)/(Fuzzy_Parameters!$C$6 - Fuzzy_Parameters!$C$5), 1), 0)</f>
        <v>0</v>
      </c>
      <c r="F93" s="25">
        <f>MAX(MIN(1, (Fuzzy_Parameters!$C$12 - Sheet6!D93)/(Fuzzy_Parameters!$C$12 - Fuzzy_Parameters!$C$11)), 0)</f>
        <v>0.645048034</v>
      </c>
      <c r="G93" s="25">
        <f>MAX(MIN((Sheet6!D93 - Fuzzy_Parameters!$C$11)/(Fuzzy_Parameters!$C$12 - Fuzzy_Parameters!$C$11), 1, (Fuzzy_Parameters!$C$14 - Sheet6!D93)/(Fuzzy_Parameters!$C$14 - Fuzzy_Parameters!$C$13)), 0)</f>
        <v>0.354951966</v>
      </c>
      <c r="H93" s="25">
        <f>MAX(MIN((Sheet6!D93 - Fuzzy_Parameters!$C$13)/(Fuzzy_Parameters!$C$14 - Fuzzy_Parameters!$C$13), 1), 0)</f>
        <v>0</v>
      </c>
      <c r="I93" s="25">
        <f>MAX(MIN(1, (Fuzzy_Parameters!$C$20 - Sheet6!E93)/(Fuzzy_Parameters!$C$20 - Fuzzy_Parameters!$C$19)), 0)</f>
        <v>0</v>
      </c>
      <c r="J93" s="25">
        <f>MAX(MIN((Sheet6!E93 - Fuzzy_Parameters!$C$19)/(Fuzzy_Parameters!$C$20 - Fuzzy_Parameters!$C$19), 1, (Fuzzy_Parameters!$C$22 - Sheet6!E93)/(Fuzzy_Parameters!$C$22 - Fuzzy_Parameters!$C$21)), 0)</f>
        <v>0.6604651163</v>
      </c>
      <c r="K93" s="25">
        <f>MAX(MIN((Sheet6!E93 - Fuzzy_Parameters!$C$21)/(Fuzzy_Parameters!$C$22 - Fuzzy_Parameters!$C$21), 1), 0)</f>
        <v>0.3395348837</v>
      </c>
      <c r="L93" s="25">
        <f>MAX(MIN(1, (Fuzzy_Parameters!$C$28 - Sheet6!F93)/(Fuzzy_Parameters!$C$28 - Fuzzy_Parameters!$C$27)), 0)</f>
        <v>0</v>
      </c>
      <c r="M93" s="25">
        <f>MAX(MIN((Sheet6!F93 - Fuzzy_Parameters!$C$27)/(Fuzzy_Parameters!$C$28 - Fuzzy_Parameters!$C$27), 1, (Fuzzy_Parameters!$C$30 - Sheet6!F93)/(Fuzzy_Parameters!$C$30 - Fuzzy_Parameters!$C$29)), 0)</f>
        <v>0</v>
      </c>
      <c r="N93" s="25">
        <f>MAX(MIN((Sheet6!F93 - Fuzzy_Parameters!$C$29)/(Fuzzy_Parameters!$C$30 - Fuzzy_Parameters!$C$29), 1), 0)</f>
        <v>1</v>
      </c>
    </row>
    <row r="94">
      <c r="A94" s="6" t="s">
        <v>11</v>
      </c>
      <c r="B94" s="26">
        <v>2020.0</v>
      </c>
      <c r="C94" s="25">
        <f>MAX(MIN(1, (Fuzzy_Parameters!$C$4 - Sheet6!C94)/(Fuzzy_Parameters!$C$4 - Fuzzy_Parameters!$C$3)), 0)</f>
        <v>0.5261974797</v>
      </c>
      <c r="D94" s="25">
        <f>MAX(MIN((Sheet6!C94 - Fuzzy_Parameters!$C$3)/(Fuzzy_Parameters!$C$4 - Fuzzy_Parameters!$C$3), 1, (Fuzzy_Parameters!$C$6 - Sheet6!C94)/(Fuzzy_Parameters!$C$6 - Fuzzy_Parameters!$C$5)), 0)</f>
        <v>0.4738025203</v>
      </c>
      <c r="E94" s="25">
        <f>MAX(MIN((Sheet6!C94 - Fuzzy_Parameters!$C$5)/(Fuzzy_Parameters!$C$6 - Fuzzy_Parameters!$C$5), 1), 0)</f>
        <v>0</v>
      </c>
      <c r="F94" s="25">
        <f>MAX(MIN(1, (Fuzzy_Parameters!$C$12 - Sheet6!D94)/(Fuzzy_Parameters!$C$12 - Fuzzy_Parameters!$C$11)), 0)</f>
        <v>1</v>
      </c>
      <c r="G94" s="25">
        <f>MAX(MIN((Sheet6!D94 - Fuzzy_Parameters!$C$11)/(Fuzzy_Parameters!$C$12 - Fuzzy_Parameters!$C$11), 1, (Fuzzy_Parameters!$C$14 - Sheet6!D94)/(Fuzzy_Parameters!$C$14 - Fuzzy_Parameters!$C$13)), 0)</f>
        <v>0</v>
      </c>
      <c r="H94" s="25">
        <f>MAX(MIN((Sheet6!D94 - Fuzzy_Parameters!$C$13)/(Fuzzy_Parameters!$C$14 - Fuzzy_Parameters!$C$13), 1), 0)</f>
        <v>0</v>
      </c>
      <c r="I94" s="25">
        <f>MAX(MIN(1, (Fuzzy_Parameters!$C$20 - Sheet6!E94)/(Fuzzy_Parameters!$C$20 - Fuzzy_Parameters!$C$19)), 0)</f>
        <v>0.1129032258</v>
      </c>
      <c r="J94" s="25">
        <f>MAX(MIN((Sheet6!E94 - Fuzzy_Parameters!$C$19)/(Fuzzy_Parameters!$C$20 - Fuzzy_Parameters!$C$19), 1, (Fuzzy_Parameters!$C$22 - Sheet6!E94)/(Fuzzy_Parameters!$C$22 - Fuzzy_Parameters!$C$21)), 0)</f>
        <v>0.8870967742</v>
      </c>
      <c r="K94" s="25">
        <f>MAX(MIN((Sheet6!E94 - Fuzzy_Parameters!$C$21)/(Fuzzy_Parameters!$C$22 - Fuzzy_Parameters!$C$21), 1), 0)</f>
        <v>0</v>
      </c>
      <c r="L94" s="25">
        <f>MAX(MIN(1, (Fuzzy_Parameters!$C$28 - Sheet6!F94)/(Fuzzy_Parameters!$C$28 - Fuzzy_Parameters!$C$27)), 0)</f>
        <v>0</v>
      </c>
      <c r="M94" s="25">
        <f>MAX(MIN((Sheet6!F94 - Fuzzy_Parameters!$C$27)/(Fuzzy_Parameters!$C$28 - Fuzzy_Parameters!$C$27), 1, (Fuzzy_Parameters!$C$30 - Sheet6!F94)/(Fuzzy_Parameters!$C$30 - Fuzzy_Parameters!$C$29)), 0)</f>
        <v>0</v>
      </c>
      <c r="N94" s="25">
        <f>MAX(MIN((Sheet6!F94 - Fuzzy_Parameters!$C$29)/(Fuzzy_Parameters!$C$30 - Fuzzy_Parameters!$C$29), 1), 0)</f>
        <v>1</v>
      </c>
    </row>
    <row r="95">
      <c r="A95" s="6" t="s">
        <v>11</v>
      </c>
      <c r="B95" s="26">
        <v>2019.0</v>
      </c>
      <c r="C95" s="25">
        <f>MAX(MIN(1, (Fuzzy_Parameters!$C$4 - Sheet6!C95)/(Fuzzy_Parameters!$C$4 - Fuzzy_Parameters!$C$3)), 0)</f>
        <v>1</v>
      </c>
      <c r="D95" s="25">
        <f>MAX(MIN((Sheet6!C95 - Fuzzy_Parameters!$C$3)/(Fuzzy_Parameters!$C$4 - Fuzzy_Parameters!$C$3), 1, (Fuzzy_Parameters!$C$6 - Sheet6!C95)/(Fuzzy_Parameters!$C$6 - Fuzzy_Parameters!$C$5)), 0)</f>
        <v>0</v>
      </c>
      <c r="E95" s="25">
        <f>MAX(MIN((Sheet6!C95 - Fuzzy_Parameters!$C$5)/(Fuzzy_Parameters!$C$6 - Fuzzy_Parameters!$C$5), 1), 0)</f>
        <v>0</v>
      </c>
      <c r="F95" s="25">
        <f>MAX(MIN(1, (Fuzzy_Parameters!$C$12 - Sheet6!D95)/(Fuzzy_Parameters!$C$12 - Fuzzy_Parameters!$C$11)), 0)</f>
        <v>0</v>
      </c>
      <c r="G95" s="25">
        <f>MAX(MIN((Sheet6!D95 - Fuzzy_Parameters!$C$11)/(Fuzzy_Parameters!$C$12 - Fuzzy_Parameters!$C$11), 1, (Fuzzy_Parameters!$C$14 - Sheet6!D95)/(Fuzzy_Parameters!$C$14 - Fuzzy_Parameters!$C$13)), 0)</f>
        <v>1</v>
      </c>
      <c r="H95" s="25">
        <f>MAX(MIN((Sheet6!D95 - Fuzzy_Parameters!$C$13)/(Fuzzy_Parameters!$C$14 - Fuzzy_Parameters!$C$13), 1), 0)</f>
        <v>0</v>
      </c>
      <c r="I95" s="25">
        <f>MAX(MIN(1, (Fuzzy_Parameters!$C$20 - Sheet6!E95)/(Fuzzy_Parameters!$C$20 - Fuzzy_Parameters!$C$19)), 0)</f>
        <v>0</v>
      </c>
      <c r="J95" s="25">
        <f>MAX(MIN((Sheet6!E95 - Fuzzy_Parameters!$C$19)/(Fuzzy_Parameters!$C$20 - Fuzzy_Parameters!$C$19), 1, (Fuzzy_Parameters!$C$22 - Sheet6!E95)/(Fuzzy_Parameters!$C$22 - Fuzzy_Parameters!$C$21)), 0)</f>
        <v>1</v>
      </c>
      <c r="K95" s="25">
        <f>MAX(MIN((Sheet6!E95 - Fuzzy_Parameters!$C$21)/(Fuzzy_Parameters!$C$22 - Fuzzy_Parameters!$C$21), 1), 0)</f>
        <v>0</v>
      </c>
      <c r="L95" s="25">
        <f>MAX(MIN(1, (Fuzzy_Parameters!$C$28 - Sheet6!F95)/(Fuzzy_Parameters!$C$28 - Fuzzy_Parameters!$C$27)), 0)</f>
        <v>0</v>
      </c>
      <c r="M95" s="25">
        <f>MAX(MIN((Sheet6!F95 - Fuzzy_Parameters!$C$27)/(Fuzzy_Parameters!$C$28 - Fuzzy_Parameters!$C$27), 1, (Fuzzy_Parameters!$C$30 - Sheet6!F95)/(Fuzzy_Parameters!$C$30 - Fuzzy_Parameters!$C$29)), 0)</f>
        <v>0</v>
      </c>
      <c r="N95" s="25">
        <f>MAX(MIN((Sheet6!F95 - Fuzzy_Parameters!$C$29)/(Fuzzy_Parameters!$C$30 - Fuzzy_Parameters!$C$29), 1), 0)</f>
        <v>1</v>
      </c>
    </row>
    <row r="96">
      <c r="A96" s="6" t="s">
        <v>11</v>
      </c>
      <c r="B96" s="26">
        <v>2018.0</v>
      </c>
      <c r="C96" s="25">
        <f>MAX(MIN(1, (Fuzzy_Parameters!$C$4 - Sheet6!C96)/(Fuzzy_Parameters!$C$4 - Fuzzy_Parameters!$C$3)), 0)</f>
        <v>0.8227418589</v>
      </c>
      <c r="D96" s="25">
        <f>MAX(MIN((Sheet6!C96 - Fuzzy_Parameters!$C$3)/(Fuzzy_Parameters!$C$4 - Fuzzy_Parameters!$C$3), 1, (Fuzzy_Parameters!$C$6 - Sheet6!C96)/(Fuzzy_Parameters!$C$6 - Fuzzy_Parameters!$C$5)), 0)</f>
        <v>0.1772581411</v>
      </c>
      <c r="E96" s="25">
        <f>MAX(MIN((Sheet6!C96 - Fuzzy_Parameters!$C$5)/(Fuzzy_Parameters!$C$6 - Fuzzy_Parameters!$C$5), 1), 0)</f>
        <v>0</v>
      </c>
      <c r="F96" s="25">
        <f>MAX(MIN(1, (Fuzzy_Parameters!$C$12 - Sheet6!D96)/(Fuzzy_Parameters!$C$12 - Fuzzy_Parameters!$C$11)), 0)</f>
        <v>0.2506572015</v>
      </c>
      <c r="G96" s="25">
        <f>MAX(MIN((Sheet6!D96 - Fuzzy_Parameters!$C$11)/(Fuzzy_Parameters!$C$12 - Fuzzy_Parameters!$C$11), 1, (Fuzzy_Parameters!$C$14 - Sheet6!D96)/(Fuzzy_Parameters!$C$14 - Fuzzy_Parameters!$C$13)), 0)</f>
        <v>0.7493427985</v>
      </c>
      <c r="H96" s="25">
        <f>MAX(MIN((Sheet6!D96 - Fuzzy_Parameters!$C$13)/(Fuzzy_Parameters!$C$14 - Fuzzy_Parameters!$C$13), 1), 0)</f>
        <v>0</v>
      </c>
      <c r="I96" s="25">
        <f>MAX(MIN(1, (Fuzzy_Parameters!$C$20 - Sheet6!E96)/(Fuzzy_Parameters!$C$20 - Fuzzy_Parameters!$C$19)), 0)</f>
        <v>0</v>
      </c>
      <c r="J96" s="25">
        <f>MAX(MIN((Sheet6!E96 - Fuzzy_Parameters!$C$19)/(Fuzzy_Parameters!$C$20 - Fuzzy_Parameters!$C$19), 1, (Fuzzy_Parameters!$C$22 - Sheet6!E96)/(Fuzzy_Parameters!$C$22 - Fuzzy_Parameters!$C$21)), 0)</f>
        <v>1</v>
      </c>
      <c r="K96" s="25">
        <f>MAX(MIN((Sheet6!E96 - Fuzzy_Parameters!$C$21)/(Fuzzy_Parameters!$C$22 - Fuzzy_Parameters!$C$21), 1), 0)</f>
        <v>0</v>
      </c>
      <c r="L96" s="25">
        <f>MAX(MIN(1, (Fuzzy_Parameters!$C$28 - Sheet6!F96)/(Fuzzy_Parameters!$C$28 - Fuzzy_Parameters!$C$27)), 0)</f>
        <v>0</v>
      </c>
      <c r="M96" s="25">
        <f>MAX(MIN((Sheet6!F96 - Fuzzy_Parameters!$C$27)/(Fuzzy_Parameters!$C$28 - Fuzzy_Parameters!$C$27), 1, (Fuzzy_Parameters!$C$30 - Sheet6!F96)/(Fuzzy_Parameters!$C$30 - Fuzzy_Parameters!$C$29)), 0)</f>
        <v>0</v>
      </c>
      <c r="N96" s="25">
        <f>MAX(MIN((Sheet6!F96 - Fuzzy_Parameters!$C$29)/(Fuzzy_Parameters!$C$30 - Fuzzy_Parameters!$C$29), 1), 0)</f>
        <v>1</v>
      </c>
    </row>
    <row r="97">
      <c r="A97" s="6" t="s">
        <v>11</v>
      </c>
      <c r="B97" s="26">
        <v>2017.0</v>
      </c>
      <c r="C97" s="25">
        <f>MAX(MIN(1, (Fuzzy_Parameters!$C$4 - Sheet6!C97)/(Fuzzy_Parameters!$C$4 - Fuzzy_Parameters!$C$3)), 0)</f>
        <v>0.3823855861</v>
      </c>
      <c r="D97" s="25">
        <f>MAX(MIN((Sheet6!C97 - Fuzzy_Parameters!$C$3)/(Fuzzy_Parameters!$C$4 - Fuzzy_Parameters!$C$3), 1, (Fuzzy_Parameters!$C$6 - Sheet6!C97)/(Fuzzy_Parameters!$C$6 - Fuzzy_Parameters!$C$5)), 0)</f>
        <v>0.6176144139</v>
      </c>
      <c r="E97" s="25">
        <f>MAX(MIN((Sheet6!C97 - Fuzzy_Parameters!$C$5)/(Fuzzy_Parameters!$C$6 - Fuzzy_Parameters!$C$5), 1), 0)</f>
        <v>0</v>
      </c>
      <c r="F97" s="25">
        <f>MAX(MIN(1, (Fuzzy_Parameters!$C$12 - Sheet6!D97)/(Fuzzy_Parameters!$C$12 - Fuzzy_Parameters!$C$11)), 0)</f>
        <v>0.07537221566</v>
      </c>
      <c r="G97" s="25">
        <f>MAX(MIN((Sheet6!D97 - Fuzzy_Parameters!$C$11)/(Fuzzy_Parameters!$C$12 - Fuzzy_Parameters!$C$11), 1, (Fuzzy_Parameters!$C$14 - Sheet6!D97)/(Fuzzy_Parameters!$C$14 - Fuzzy_Parameters!$C$13)), 0)</f>
        <v>0.9246277843</v>
      </c>
      <c r="H97" s="25">
        <f>MAX(MIN((Sheet6!D97 - Fuzzy_Parameters!$C$13)/(Fuzzy_Parameters!$C$14 - Fuzzy_Parameters!$C$13), 1), 0)</f>
        <v>0</v>
      </c>
      <c r="I97" s="25">
        <f>MAX(MIN(1, (Fuzzy_Parameters!$C$20 - Sheet6!E97)/(Fuzzy_Parameters!$C$20 - Fuzzy_Parameters!$C$19)), 0)</f>
        <v>0</v>
      </c>
      <c r="J97" s="25">
        <f>MAX(MIN((Sheet6!E97 - Fuzzy_Parameters!$C$19)/(Fuzzy_Parameters!$C$20 - Fuzzy_Parameters!$C$19), 1, (Fuzzy_Parameters!$C$22 - Sheet6!E97)/(Fuzzy_Parameters!$C$22 - Fuzzy_Parameters!$C$21)), 0)</f>
        <v>1</v>
      </c>
      <c r="K97" s="25">
        <f>MAX(MIN((Sheet6!E97 - Fuzzy_Parameters!$C$21)/(Fuzzy_Parameters!$C$22 - Fuzzy_Parameters!$C$21), 1), 0)</f>
        <v>0</v>
      </c>
      <c r="L97" s="25">
        <f>MAX(MIN(1, (Fuzzy_Parameters!$C$28 - Sheet6!F97)/(Fuzzy_Parameters!$C$28 - Fuzzy_Parameters!$C$27)), 0)</f>
        <v>0</v>
      </c>
      <c r="M97" s="25">
        <f>MAX(MIN((Sheet6!F97 - Fuzzy_Parameters!$C$27)/(Fuzzy_Parameters!$C$28 - Fuzzy_Parameters!$C$27), 1, (Fuzzy_Parameters!$C$30 - Sheet6!F97)/(Fuzzy_Parameters!$C$30 - Fuzzy_Parameters!$C$29)), 0)</f>
        <v>0</v>
      </c>
      <c r="N97" s="25">
        <f>MAX(MIN((Sheet6!F97 - Fuzzy_Parameters!$C$29)/(Fuzzy_Parameters!$C$30 - Fuzzy_Parameters!$C$29), 1), 0)</f>
        <v>1</v>
      </c>
    </row>
    <row r="98">
      <c r="A98" s="6" t="s">
        <v>11</v>
      </c>
      <c r="B98" s="26">
        <v>2016.0</v>
      </c>
      <c r="C98" s="25">
        <f>MAX(MIN(1, (Fuzzy_Parameters!$C$4 - Sheet6!C98)/(Fuzzy_Parameters!$C$4 - Fuzzy_Parameters!$C$3)), 0)</f>
        <v>0.207356845</v>
      </c>
      <c r="D98" s="25">
        <f>MAX(MIN((Sheet6!C98 - Fuzzy_Parameters!$C$3)/(Fuzzy_Parameters!$C$4 - Fuzzy_Parameters!$C$3), 1, (Fuzzy_Parameters!$C$6 - Sheet6!C98)/(Fuzzy_Parameters!$C$6 - Fuzzy_Parameters!$C$5)), 0)</f>
        <v>0.792643155</v>
      </c>
      <c r="E98" s="25">
        <f>MAX(MIN((Sheet6!C98 - Fuzzy_Parameters!$C$5)/(Fuzzy_Parameters!$C$6 - Fuzzy_Parameters!$C$5), 1), 0)</f>
        <v>0</v>
      </c>
      <c r="F98" s="25">
        <f>MAX(MIN(1, (Fuzzy_Parameters!$C$12 - Sheet6!D98)/(Fuzzy_Parameters!$C$12 - Fuzzy_Parameters!$C$11)), 0)</f>
        <v>0</v>
      </c>
      <c r="G98" s="25">
        <f>MAX(MIN((Sheet6!D98 - Fuzzy_Parameters!$C$11)/(Fuzzy_Parameters!$C$12 - Fuzzy_Parameters!$C$11), 1, (Fuzzy_Parameters!$C$14 - Sheet6!D98)/(Fuzzy_Parameters!$C$14 - Fuzzy_Parameters!$C$13)), 0)</f>
        <v>0.7529478897</v>
      </c>
      <c r="H98" s="25">
        <f>MAX(MIN((Sheet6!D98 - Fuzzy_Parameters!$C$13)/(Fuzzy_Parameters!$C$14 - Fuzzy_Parameters!$C$13), 1), 0)</f>
        <v>0.2470521103</v>
      </c>
      <c r="I98" s="25">
        <f>MAX(MIN(1, (Fuzzy_Parameters!$C$20 - Sheet6!E98)/(Fuzzy_Parameters!$C$20 - Fuzzy_Parameters!$C$19)), 0)</f>
        <v>0.2419354839</v>
      </c>
      <c r="J98" s="25">
        <f>MAX(MIN((Sheet6!E98 - Fuzzy_Parameters!$C$19)/(Fuzzy_Parameters!$C$20 - Fuzzy_Parameters!$C$19), 1, (Fuzzy_Parameters!$C$22 - Sheet6!E98)/(Fuzzy_Parameters!$C$22 - Fuzzy_Parameters!$C$21)), 0)</f>
        <v>0.7580645161</v>
      </c>
      <c r="K98" s="25">
        <f>MAX(MIN((Sheet6!E98 - Fuzzy_Parameters!$C$21)/(Fuzzy_Parameters!$C$22 - Fuzzy_Parameters!$C$21), 1), 0)</f>
        <v>0</v>
      </c>
      <c r="L98" s="25">
        <f>MAX(MIN(1, (Fuzzy_Parameters!$C$28 - Sheet6!F98)/(Fuzzy_Parameters!$C$28 - Fuzzy_Parameters!$C$27)), 0)</f>
        <v>0</v>
      </c>
      <c r="M98" s="25">
        <f>MAX(MIN((Sheet6!F98 - Fuzzy_Parameters!$C$27)/(Fuzzy_Parameters!$C$28 - Fuzzy_Parameters!$C$27), 1, (Fuzzy_Parameters!$C$30 - Sheet6!F98)/(Fuzzy_Parameters!$C$30 - Fuzzy_Parameters!$C$29)), 0)</f>
        <v>0</v>
      </c>
      <c r="N98" s="25">
        <f>MAX(MIN((Sheet6!F98 - Fuzzy_Parameters!$C$29)/(Fuzzy_Parameters!$C$30 - Fuzzy_Parameters!$C$29), 1), 0)</f>
        <v>1</v>
      </c>
    </row>
    <row r="99">
      <c r="A99" s="6" t="s">
        <v>11</v>
      </c>
      <c r="B99" s="26">
        <v>2015.0</v>
      </c>
      <c r="C99" s="25">
        <f>MAX(MIN(1, (Fuzzy_Parameters!$C$4 - Sheet6!C99)/(Fuzzy_Parameters!$C$4 - Fuzzy_Parameters!$C$3)), 0)</f>
        <v>0</v>
      </c>
      <c r="D99" s="25">
        <f>MAX(MIN((Sheet6!C99 - Fuzzy_Parameters!$C$3)/(Fuzzy_Parameters!$C$4 - Fuzzy_Parameters!$C$3), 1, (Fuzzy_Parameters!$C$6 - Sheet6!C99)/(Fuzzy_Parameters!$C$6 - Fuzzy_Parameters!$C$5)), 0)</f>
        <v>1</v>
      </c>
      <c r="E99" s="25">
        <f>MAX(MIN((Sheet6!C99 - Fuzzy_Parameters!$C$5)/(Fuzzy_Parameters!$C$6 - Fuzzy_Parameters!$C$5), 1), 0)</f>
        <v>0</v>
      </c>
      <c r="F99" s="25">
        <f>MAX(MIN(1, (Fuzzy_Parameters!$C$12 - Sheet6!D99)/(Fuzzy_Parameters!$C$12 - Fuzzy_Parameters!$C$11)), 0)</f>
        <v>0</v>
      </c>
      <c r="G99" s="25">
        <f>MAX(MIN((Sheet6!D99 - Fuzzy_Parameters!$C$11)/(Fuzzy_Parameters!$C$12 - Fuzzy_Parameters!$C$11), 1, (Fuzzy_Parameters!$C$14 - Sheet6!D99)/(Fuzzy_Parameters!$C$14 - Fuzzy_Parameters!$C$13)), 0)</f>
        <v>1</v>
      </c>
      <c r="H99" s="25">
        <f>MAX(MIN((Sheet6!D99 - Fuzzy_Parameters!$C$13)/(Fuzzy_Parameters!$C$14 - Fuzzy_Parameters!$C$13), 1), 0)</f>
        <v>0</v>
      </c>
      <c r="I99" s="25">
        <f>MAX(MIN(1, (Fuzzy_Parameters!$C$20 - Sheet6!E99)/(Fuzzy_Parameters!$C$20 - Fuzzy_Parameters!$C$19)), 0)</f>
        <v>0</v>
      </c>
      <c r="J99" s="25">
        <f>MAX(MIN((Sheet6!E99 - Fuzzy_Parameters!$C$19)/(Fuzzy_Parameters!$C$20 - Fuzzy_Parameters!$C$19), 1, (Fuzzy_Parameters!$C$22 - Sheet6!E99)/(Fuzzy_Parameters!$C$22 - Fuzzy_Parameters!$C$21)), 0)</f>
        <v>1</v>
      </c>
      <c r="K99" s="25">
        <f>MAX(MIN((Sheet6!E99 - Fuzzy_Parameters!$C$21)/(Fuzzy_Parameters!$C$22 - Fuzzy_Parameters!$C$21), 1), 0)</f>
        <v>0</v>
      </c>
      <c r="L99" s="25">
        <f>MAX(MIN(1, (Fuzzy_Parameters!$C$28 - Sheet6!F99)/(Fuzzy_Parameters!$C$28 - Fuzzy_Parameters!$C$27)), 0)</f>
        <v>0</v>
      </c>
      <c r="M99" s="25">
        <f>MAX(MIN((Sheet6!F99 - Fuzzy_Parameters!$C$27)/(Fuzzy_Parameters!$C$28 - Fuzzy_Parameters!$C$27), 1, (Fuzzy_Parameters!$C$30 - Sheet6!F99)/(Fuzzy_Parameters!$C$30 - Fuzzy_Parameters!$C$29)), 0)</f>
        <v>0</v>
      </c>
      <c r="N99" s="25">
        <f>MAX(MIN((Sheet6!F99 - Fuzzy_Parameters!$C$29)/(Fuzzy_Parameters!$C$30 - Fuzzy_Parameters!$C$29), 1), 0)</f>
        <v>1</v>
      </c>
    </row>
    <row r="100">
      <c r="A100" s="56" t="s">
        <v>11</v>
      </c>
      <c r="B100" s="57">
        <v>2014.0</v>
      </c>
      <c r="C100" s="25">
        <f>MAX(MIN(1, (Fuzzy_Parameters!$C$4 - Sheet6!C100)/(Fuzzy_Parameters!$C$4 - Fuzzy_Parameters!$C$3)), 0)</f>
        <v>0</v>
      </c>
      <c r="D100" s="25">
        <f>MAX(MIN((Sheet6!C100 - Fuzzy_Parameters!$C$3)/(Fuzzy_Parameters!$C$4 - Fuzzy_Parameters!$C$3), 1, (Fuzzy_Parameters!$C$6 - Sheet6!C100)/(Fuzzy_Parameters!$C$6 - Fuzzy_Parameters!$C$5)), 0)</f>
        <v>0</v>
      </c>
      <c r="E100" s="25">
        <f>MAX(MIN((Sheet6!C100 - Fuzzy_Parameters!$C$5)/(Fuzzy_Parameters!$C$6 - Fuzzy_Parameters!$C$5), 1), 0)</f>
        <v>1</v>
      </c>
      <c r="F100" s="25">
        <f>MAX(MIN(1, (Fuzzy_Parameters!$C$12 - Sheet6!D100)/(Fuzzy_Parameters!$C$12 - Fuzzy_Parameters!$C$11)), 0)</f>
        <v>0</v>
      </c>
      <c r="G100" s="25">
        <f>MAX(MIN((Sheet6!D100 - Fuzzy_Parameters!$C$11)/(Fuzzy_Parameters!$C$12 - Fuzzy_Parameters!$C$11), 1, (Fuzzy_Parameters!$C$14 - Sheet6!D100)/(Fuzzy_Parameters!$C$14 - Fuzzy_Parameters!$C$13)), 0)</f>
        <v>1</v>
      </c>
      <c r="H100" s="25">
        <f>MAX(MIN((Sheet6!D100 - Fuzzy_Parameters!$C$13)/(Fuzzy_Parameters!$C$14 - Fuzzy_Parameters!$C$13), 1), 0)</f>
        <v>0</v>
      </c>
      <c r="I100" s="25">
        <f>MAX(MIN(1, (Fuzzy_Parameters!$C$20 - Sheet6!E100)/(Fuzzy_Parameters!$C$20 - Fuzzy_Parameters!$C$19)), 0)</f>
        <v>0</v>
      </c>
      <c r="J100" s="25">
        <f>MAX(MIN((Sheet6!E100 - Fuzzy_Parameters!$C$19)/(Fuzzy_Parameters!$C$20 - Fuzzy_Parameters!$C$19), 1, (Fuzzy_Parameters!$C$22 - Sheet6!E100)/(Fuzzy_Parameters!$C$22 - Fuzzy_Parameters!$C$21)), 0)</f>
        <v>1</v>
      </c>
      <c r="K100" s="25">
        <f>MAX(MIN((Sheet6!E100 - Fuzzy_Parameters!$C$21)/(Fuzzy_Parameters!$C$22 - Fuzzy_Parameters!$C$21), 1), 0)</f>
        <v>0</v>
      </c>
      <c r="L100" s="25">
        <f>MAX(MIN(1, (Fuzzy_Parameters!$C$28 - Sheet6!F100)/(Fuzzy_Parameters!$C$28 - Fuzzy_Parameters!$C$27)), 0)</f>
        <v>0</v>
      </c>
      <c r="M100" s="25">
        <f>MAX(MIN((Sheet6!F100 - Fuzzy_Parameters!$C$27)/(Fuzzy_Parameters!$C$28 - Fuzzy_Parameters!$C$27), 1, (Fuzzy_Parameters!$C$30 - Sheet6!F100)/(Fuzzy_Parameters!$C$30 - Fuzzy_Parameters!$C$29)), 0)</f>
        <v>0</v>
      </c>
      <c r="N100" s="25">
        <f>MAX(MIN((Sheet6!F100 - Fuzzy_Parameters!$C$29)/(Fuzzy_Parameters!$C$30 - Fuzzy_Parameters!$C$29), 1), 0)</f>
        <v>1</v>
      </c>
    </row>
    <row r="101">
      <c r="A101" s="6" t="s">
        <v>12</v>
      </c>
      <c r="B101" s="26">
        <v>2022.0</v>
      </c>
      <c r="C101" s="25">
        <f>MAX(MIN(1, (Fuzzy_Parameters!$C$4 - Sheet6!C101)/(Fuzzy_Parameters!$C$4 - Fuzzy_Parameters!$C$3)), 0)</f>
        <v>0</v>
      </c>
      <c r="D101" s="25">
        <f>MAX(MIN((Sheet6!C101 - Fuzzy_Parameters!$C$3)/(Fuzzy_Parameters!$C$4 - Fuzzy_Parameters!$C$3), 1, (Fuzzy_Parameters!$C$6 - Sheet6!C101)/(Fuzzy_Parameters!$C$6 - Fuzzy_Parameters!$C$5)), 0)</f>
        <v>0.6418917165</v>
      </c>
      <c r="E101" s="25">
        <f>MAX(MIN((Sheet6!C101 - Fuzzy_Parameters!$C$5)/(Fuzzy_Parameters!$C$6 - Fuzzy_Parameters!$C$5), 1), 0)</f>
        <v>0.3581082835</v>
      </c>
      <c r="F101" s="25">
        <f>MAX(MIN(1, (Fuzzy_Parameters!$C$12 - Sheet6!D101)/(Fuzzy_Parameters!$C$12 - Fuzzy_Parameters!$C$11)), 0)</f>
        <v>0</v>
      </c>
      <c r="G101" s="25">
        <f>MAX(MIN((Sheet6!D101 - Fuzzy_Parameters!$C$11)/(Fuzzy_Parameters!$C$12 - Fuzzy_Parameters!$C$11), 1, (Fuzzy_Parameters!$C$14 - Sheet6!D101)/(Fuzzy_Parameters!$C$14 - Fuzzy_Parameters!$C$13)), 0)</f>
        <v>0</v>
      </c>
      <c r="H101" s="25">
        <f>MAX(MIN((Sheet6!D101 - Fuzzy_Parameters!$C$13)/(Fuzzy_Parameters!$C$14 - Fuzzy_Parameters!$C$13), 1), 0)</f>
        <v>1</v>
      </c>
      <c r="I101" s="25">
        <f>MAX(MIN(1, (Fuzzy_Parameters!$C$20 - Sheet6!E101)/(Fuzzy_Parameters!$C$20 - Fuzzy_Parameters!$C$19)), 0)</f>
        <v>0</v>
      </c>
      <c r="J101" s="25">
        <f>MAX(MIN((Sheet6!E101 - Fuzzy_Parameters!$C$19)/(Fuzzy_Parameters!$C$20 - Fuzzy_Parameters!$C$19), 1, (Fuzzy_Parameters!$C$22 - Sheet6!E101)/(Fuzzy_Parameters!$C$22 - Fuzzy_Parameters!$C$21)), 0)</f>
        <v>0</v>
      </c>
      <c r="K101" s="25">
        <f>MAX(MIN((Sheet6!E101 - Fuzzy_Parameters!$C$21)/(Fuzzy_Parameters!$C$22 - Fuzzy_Parameters!$C$21), 1), 0)</f>
        <v>1</v>
      </c>
      <c r="L101" s="25">
        <f>MAX(MIN(1, (Fuzzy_Parameters!$C$28 - Sheet6!F101)/(Fuzzy_Parameters!$C$28 - Fuzzy_Parameters!$C$27)), 0)</f>
        <v>0.1704837024</v>
      </c>
      <c r="M101" s="25">
        <f>MAX(MIN((Sheet6!F101 - Fuzzy_Parameters!$C$27)/(Fuzzy_Parameters!$C$28 - Fuzzy_Parameters!$C$27), 1, (Fuzzy_Parameters!$C$30 - Sheet6!F101)/(Fuzzy_Parameters!$C$30 - Fuzzy_Parameters!$C$29)), 0)</f>
        <v>0.8295162976</v>
      </c>
      <c r="N101" s="25">
        <f>MAX(MIN((Sheet6!F101 - Fuzzy_Parameters!$C$29)/(Fuzzy_Parameters!$C$30 - Fuzzy_Parameters!$C$29), 1), 0)</f>
        <v>0</v>
      </c>
    </row>
    <row r="102">
      <c r="A102" s="6" t="s">
        <v>12</v>
      </c>
      <c r="B102" s="26">
        <v>2021.0</v>
      </c>
      <c r="C102" s="25">
        <f>MAX(MIN(1, (Fuzzy_Parameters!$C$4 - Sheet6!C102)/(Fuzzy_Parameters!$C$4 - Fuzzy_Parameters!$C$3)), 0)</f>
        <v>0</v>
      </c>
      <c r="D102" s="25">
        <f>MAX(MIN((Sheet6!C102 - Fuzzy_Parameters!$C$3)/(Fuzzy_Parameters!$C$4 - Fuzzy_Parameters!$C$3), 1, (Fuzzy_Parameters!$C$6 - Sheet6!C102)/(Fuzzy_Parameters!$C$6 - Fuzzy_Parameters!$C$5)), 0)</f>
        <v>0.835867335</v>
      </c>
      <c r="E102" s="25">
        <f>MAX(MIN((Sheet6!C102 - Fuzzy_Parameters!$C$5)/(Fuzzy_Parameters!$C$6 - Fuzzy_Parameters!$C$5), 1), 0)</f>
        <v>0.164132665</v>
      </c>
      <c r="F102" s="25">
        <f>MAX(MIN(1, (Fuzzy_Parameters!$C$12 - Sheet6!D102)/(Fuzzy_Parameters!$C$12 - Fuzzy_Parameters!$C$11)), 0)</f>
        <v>0</v>
      </c>
      <c r="G102" s="25">
        <f>MAX(MIN((Sheet6!D102 - Fuzzy_Parameters!$C$11)/(Fuzzy_Parameters!$C$12 - Fuzzy_Parameters!$C$11), 1, (Fuzzy_Parameters!$C$14 - Sheet6!D102)/(Fuzzy_Parameters!$C$14 - Fuzzy_Parameters!$C$13)), 0)</f>
        <v>0</v>
      </c>
      <c r="H102" s="25">
        <f>MAX(MIN((Sheet6!D102 - Fuzzy_Parameters!$C$13)/(Fuzzy_Parameters!$C$14 - Fuzzy_Parameters!$C$13), 1), 0)</f>
        <v>1</v>
      </c>
      <c r="I102" s="25">
        <f>MAX(MIN(1, (Fuzzy_Parameters!$C$20 - Sheet6!E102)/(Fuzzy_Parameters!$C$20 - Fuzzy_Parameters!$C$19)), 0)</f>
        <v>0</v>
      </c>
      <c r="J102" s="25">
        <f>MAX(MIN((Sheet6!E102 - Fuzzy_Parameters!$C$19)/(Fuzzy_Parameters!$C$20 - Fuzzy_Parameters!$C$19), 1, (Fuzzy_Parameters!$C$22 - Sheet6!E102)/(Fuzzy_Parameters!$C$22 - Fuzzy_Parameters!$C$21)), 0)</f>
        <v>0.06976744186</v>
      </c>
      <c r="K102" s="25">
        <f>MAX(MIN((Sheet6!E102 - Fuzzy_Parameters!$C$21)/(Fuzzy_Parameters!$C$22 - Fuzzy_Parameters!$C$21), 1), 0)</f>
        <v>0.9302325581</v>
      </c>
      <c r="L102" s="25">
        <f>MAX(MIN(1, (Fuzzy_Parameters!$C$28 - Sheet6!F102)/(Fuzzy_Parameters!$C$28 - Fuzzy_Parameters!$C$27)), 0)</f>
        <v>0.508433507</v>
      </c>
      <c r="M102" s="25">
        <f>MAX(MIN((Sheet6!F102 - Fuzzy_Parameters!$C$27)/(Fuzzy_Parameters!$C$28 - Fuzzy_Parameters!$C$27), 1, (Fuzzy_Parameters!$C$30 - Sheet6!F102)/(Fuzzy_Parameters!$C$30 - Fuzzy_Parameters!$C$29)), 0)</f>
        <v>0.491566493</v>
      </c>
      <c r="N102" s="25">
        <f>MAX(MIN((Sheet6!F102 - Fuzzy_Parameters!$C$29)/(Fuzzy_Parameters!$C$30 - Fuzzy_Parameters!$C$29), 1), 0)</f>
        <v>0</v>
      </c>
    </row>
    <row r="103">
      <c r="A103" s="6" t="s">
        <v>12</v>
      </c>
      <c r="B103" s="26">
        <v>2020.0</v>
      </c>
      <c r="C103" s="25">
        <f>MAX(MIN(1, (Fuzzy_Parameters!$C$4 - Sheet6!C103)/(Fuzzy_Parameters!$C$4 - Fuzzy_Parameters!$C$3)), 0)</f>
        <v>0</v>
      </c>
      <c r="D103" s="25">
        <f>MAX(MIN((Sheet6!C103 - Fuzzy_Parameters!$C$3)/(Fuzzy_Parameters!$C$4 - Fuzzy_Parameters!$C$3), 1, (Fuzzy_Parameters!$C$6 - Sheet6!C103)/(Fuzzy_Parameters!$C$6 - Fuzzy_Parameters!$C$5)), 0)</f>
        <v>1</v>
      </c>
      <c r="E103" s="25">
        <f>MAX(MIN((Sheet6!C103 - Fuzzy_Parameters!$C$5)/(Fuzzy_Parameters!$C$6 - Fuzzy_Parameters!$C$5), 1), 0)</f>
        <v>0</v>
      </c>
      <c r="F103" s="25">
        <f>MAX(MIN(1, (Fuzzy_Parameters!$C$12 - Sheet6!D103)/(Fuzzy_Parameters!$C$12 - Fuzzy_Parameters!$C$11)), 0)</f>
        <v>0</v>
      </c>
      <c r="G103" s="25">
        <f>MAX(MIN((Sheet6!D103 - Fuzzy_Parameters!$C$11)/(Fuzzy_Parameters!$C$12 - Fuzzy_Parameters!$C$11), 1, (Fuzzy_Parameters!$C$14 - Sheet6!D103)/(Fuzzy_Parameters!$C$14 - Fuzzy_Parameters!$C$13)), 0)</f>
        <v>0</v>
      </c>
      <c r="H103" s="25">
        <f>MAX(MIN((Sheet6!D103 - Fuzzy_Parameters!$C$13)/(Fuzzy_Parameters!$C$14 - Fuzzy_Parameters!$C$13), 1), 0)</f>
        <v>1</v>
      </c>
      <c r="I103" s="25">
        <f>MAX(MIN(1, (Fuzzy_Parameters!$C$20 - Sheet6!E103)/(Fuzzy_Parameters!$C$20 - Fuzzy_Parameters!$C$19)), 0)</f>
        <v>0</v>
      </c>
      <c r="J103" s="25">
        <f>MAX(MIN((Sheet6!E103 - Fuzzy_Parameters!$C$19)/(Fuzzy_Parameters!$C$20 - Fuzzy_Parameters!$C$19), 1, (Fuzzy_Parameters!$C$22 - Sheet6!E103)/(Fuzzy_Parameters!$C$22 - Fuzzy_Parameters!$C$21)), 0)</f>
        <v>1</v>
      </c>
      <c r="K103" s="25">
        <f>MAX(MIN((Sheet6!E103 - Fuzzy_Parameters!$C$21)/(Fuzzy_Parameters!$C$22 - Fuzzy_Parameters!$C$21), 1), 0)</f>
        <v>0</v>
      </c>
      <c r="L103" s="25">
        <f>MAX(MIN(1, (Fuzzy_Parameters!$C$28 - Sheet6!F103)/(Fuzzy_Parameters!$C$28 - Fuzzy_Parameters!$C$27)), 0)</f>
        <v>0.535689405</v>
      </c>
      <c r="M103" s="25">
        <f>MAX(MIN((Sheet6!F103 - Fuzzy_Parameters!$C$27)/(Fuzzy_Parameters!$C$28 - Fuzzy_Parameters!$C$27), 1, (Fuzzy_Parameters!$C$30 - Sheet6!F103)/(Fuzzy_Parameters!$C$30 - Fuzzy_Parameters!$C$29)), 0)</f>
        <v>0.464310595</v>
      </c>
      <c r="N103" s="25">
        <f>MAX(MIN((Sheet6!F103 - Fuzzy_Parameters!$C$29)/(Fuzzy_Parameters!$C$30 - Fuzzy_Parameters!$C$29), 1), 0)</f>
        <v>0</v>
      </c>
    </row>
    <row r="104">
      <c r="A104" s="6" t="s">
        <v>12</v>
      </c>
      <c r="B104" s="26">
        <v>2019.0</v>
      </c>
      <c r="C104" s="25">
        <f>MAX(MIN(1, (Fuzzy_Parameters!$C$4 - Sheet6!C104)/(Fuzzy_Parameters!$C$4 - Fuzzy_Parameters!$C$3)), 0)</f>
        <v>0</v>
      </c>
      <c r="D104" s="25">
        <f>MAX(MIN((Sheet6!C104 - Fuzzy_Parameters!$C$3)/(Fuzzy_Parameters!$C$4 - Fuzzy_Parameters!$C$3), 1, (Fuzzy_Parameters!$C$6 - Sheet6!C104)/(Fuzzy_Parameters!$C$6 - Fuzzy_Parameters!$C$5)), 0)</f>
        <v>1</v>
      </c>
      <c r="E104" s="25">
        <f>MAX(MIN((Sheet6!C104 - Fuzzy_Parameters!$C$5)/(Fuzzy_Parameters!$C$6 - Fuzzy_Parameters!$C$5), 1), 0)</f>
        <v>0</v>
      </c>
      <c r="F104" s="25">
        <f>MAX(MIN(1, (Fuzzy_Parameters!$C$12 - Sheet6!D104)/(Fuzzy_Parameters!$C$12 - Fuzzy_Parameters!$C$11)), 0)</f>
        <v>0</v>
      </c>
      <c r="G104" s="25">
        <f>MAX(MIN((Sheet6!D104 - Fuzzy_Parameters!$C$11)/(Fuzzy_Parameters!$C$12 - Fuzzy_Parameters!$C$11), 1, (Fuzzy_Parameters!$C$14 - Sheet6!D104)/(Fuzzy_Parameters!$C$14 - Fuzzy_Parameters!$C$13)), 0)</f>
        <v>0</v>
      </c>
      <c r="H104" s="25">
        <f>MAX(MIN((Sheet6!D104 - Fuzzy_Parameters!$C$13)/(Fuzzy_Parameters!$C$14 - Fuzzy_Parameters!$C$13), 1), 0)</f>
        <v>1</v>
      </c>
      <c r="I104" s="25">
        <f>MAX(MIN(1, (Fuzzy_Parameters!$C$20 - Sheet6!E104)/(Fuzzy_Parameters!$C$20 - Fuzzy_Parameters!$C$19)), 0)</f>
        <v>0</v>
      </c>
      <c r="J104" s="25">
        <f>MAX(MIN((Sheet6!E104 - Fuzzy_Parameters!$C$19)/(Fuzzy_Parameters!$C$20 - Fuzzy_Parameters!$C$19), 1, (Fuzzy_Parameters!$C$22 - Sheet6!E104)/(Fuzzy_Parameters!$C$22 - Fuzzy_Parameters!$C$21)), 0)</f>
        <v>0.9441860465</v>
      </c>
      <c r="K104" s="25">
        <f>MAX(MIN((Sheet6!E104 - Fuzzy_Parameters!$C$21)/(Fuzzy_Parameters!$C$22 - Fuzzy_Parameters!$C$21), 1), 0)</f>
        <v>0.05581395349</v>
      </c>
      <c r="L104" s="25">
        <f>MAX(MIN(1, (Fuzzy_Parameters!$C$28 - Sheet6!F104)/(Fuzzy_Parameters!$C$28 - Fuzzy_Parameters!$C$27)), 0)</f>
        <v>0.9388337999</v>
      </c>
      <c r="M104" s="25">
        <f>MAX(MIN((Sheet6!F104 - Fuzzy_Parameters!$C$27)/(Fuzzy_Parameters!$C$28 - Fuzzy_Parameters!$C$27), 1, (Fuzzy_Parameters!$C$30 - Sheet6!F104)/(Fuzzy_Parameters!$C$30 - Fuzzy_Parameters!$C$29)), 0)</f>
        <v>0.06116620012</v>
      </c>
      <c r="N104" s="25">
        <f>MAX(MIN((Sheet6!F104 - Fuzzy_Parameters!$C$29)/(Fuzzy_Parameters!$C$30 - Fuzzy_Parameters!$C$29), 1), 0)</f>
        <v>0</v>
      </c>
    </row>
    <row r="105">
      <c r="A105" s="6" t="s">
        <v>12</v>
      </c>
      <c r="B105" s="26">
        <v>2018.0</v>
      </c>
      <c r="C105" s="25">
        <f>MAX(MIN(1, (Fuzzy_Parameters!$C$4 - Sheet6!C105)/(Fuzzy_Parameters!$C$4 - Fuzzy_Parameters!$C$3)), 0)</f>
        <v>0</v>
      </c>
      <c r="D105" s="25">
        <f>MAX(MIN((Sheet6!C105 - Fuzzy_Parameters!$C$3)/(Fuzzy_Parameters!$C$4 - Fuzzy_Parameters!$C$3), 1, (Fuzzy_Parameters!$C$6 - Sheet6!C105)/(Fuzzy_Parameters!$C$6 - Fuzzy_Parameters!$C$5)), 0)</f>
        <v>0.1185247729</v>
      </c>
      <c r="E105" s="25">
        <f>MAX(MIN((Sheet6!C105 - Fuzzy_Parameters!$C$5)/(Fuzzy_Parameters!$C$6 - Fuzzy_Parameters!$C$5), 1), 0)</f>
        <v>0.8814752271</v>
      </c>
      <c r="F105" s="25">
        <f>MAX(MIN(1, (Fuzzy_Parameters!$C$12 - Sheet6!D105)/(Fuzzy_Parameters!$C$12 - Fuzzy_Parameters!$C$11)), 0)</f>
        <v>0</v>
      </c>
      <c r="G105" s="25">
        <f>MAX(MIN((Sheet6!D105 - Fuzzy_Parameters!$C$11)/(Fuzzy_Parameters!$C$12 - Fuzzy_Parameters!$C$11), 1, (Fuzzy_Parameters!$C$14 - Sheet6!D105)/(Fuzzy_Parameters!$C$14 - Fuzzy_Parameters!$C$13)), 0)</f>
        <v>0</v>
      </c>
      <c r="H105" s="25">
        <f>MAX(MIN((Sheet6!D105 - Fuzzy_Parameters!$C$13)/(Fuzzy_Parameters!$C$14 - Fuzzy_Parameters!$C$13), 1), 0)</f>
        <v>1</v>
      </c>
      <c r="I105" s="25">
        <f>MAX(MIN(1, (Fuzzy_Parameters!$C$20 - Sheet6!E105)/(Fuzzy_Parameters!$C$20 - Fuzzy_Parameters!$C$19)), 0)</f>
        <v>0</v>
      </c>
      <c r="J105" s="25">
        <f>MAX(MIN((Sheet6!E105 - Fuzzy_Parameters!$C$19)/(Fuzzy_Parameters!$C$20 - Fuzzy_Parameters!$C$19), 1, (Fuzzy_Parameters!$C$22 - Sheet6!E105)/(Fuzzy_Parameters!$C$22 - Fuzzy_Parameters!$C$21)), 0)</f>
        <v>1</v>
      </c>
      <c r="K105" s="25">
        <f>MAX(MIN((Sheet6!E105 - Fuzzy_Parameters!$C$21)/(Fuzzy_Parameters!$C$22 - Fuzzy_Parameters!$C$21), 1), 0)</f>
        <v>0</v>
      </c>
      <c r="L105" s="25">
        <f>MAX(MIN(1, (Fuzzy_Parameters!$C$28 - Sheet6!F105)/(Fuzzy_Parameters!$C$28 - Fuzzy_Parameters!$C$27)), 0)</f>
        <v>1</v>
      </c>
      <c r="M105" s="25">
        <f>MAX(MIN((Sheet6!F105 - Fuzzy_Parameters!$C$27)/(Fuzzy_Parameters!$C$28 - Fuzzy_Parameters!$C$27), 1, (Fuzzy_Parameters!$C$30 - Sheet6!F105)/(Fuzzy_Parameters!$C$30 - Fuzzy_Parameters!$C$29)), 0)</f>
        <v>0</v>
      </c>
      <c r="N105" s="25">
        <f>MAX(MIN((Sheet6!F105 - Fuzzy_Parameters!$C$29)/(Fuzzy_Parameters!$C$30 - Fuzzy_Parameters!$C$29), 1), 0)</f>
        <v>0</v>
      </c>
    </row>
    <row r="106">
      <c r="A106" s="6" t="s">
        <v>12</v>
      </c>
      <c r="B106" s="26">
        <v>2017.0</v>
      </c>
      <c r="C106" s="25">
        <f>MAX(MIN(1, (Fuzzy_Parameters!$C$4 - Sheet6!C106)/(Fuzzy_Parameters!$C$4 - Fuzzy_Parameters!$C$3)), 0)</f>
        <v>0</v>
      </c>
      <c r="D106" s="25">
        <f>MAX(MIN((Sheet6!C106 - Fuzzy_Parameters!$C$3)/(Fuzzy_Parameters!$C$4 - Fuzzy_Parameters!$C$3), 1, (Fuzzy_Parameters!$C$6 - Sheet6!C106)/(Fuzzy_Parameters!$C$6 - Fuzzy_Parameters!$C$5)), 0)</f>
        <v>0.3502251287</v>
      </c>
      <c r="E106" s="25">
        <f>MAX(MIN((Sheet6!C106 - Fuzzy_Parameters!$C$5)/(Fuzzy_Parameters!$C$6 - Fuzzy_Parameters!$C$5), 1), 0)</f>
        <v>0.6497748713</v>
      </c>
      <c r="F106" s="25">
        <f>MAX(MIN(1, (Fuzzy_Parameters!$C$12 - Sheet6!D106)/(Fuzzy_Parameters!$C$12 - Fuzzy_Parameters!$C$11)), 0)</f>
        <v>0</v>
      </c>
      <c r="G106" s="25">
        <f>MAX(MIN((Sheet6!D106 - Fuzzy_Parameters!$C$11)/(Fuzzy_Parameters!$C$12 - Fuzzy_Parameters!$C$11), 1, (Fuzzy_Parameters!$C$14 - Sheet6!D106)/(Fuzzy_Parameters!$C$14 - Fuzzy_Parameters!$C$13)), 0)</f>
        <v>0</v>
      </c>
      <c r="H106" s="25">
        <f>MAX(MIN((Sheet6!D106 - Fuzzy_Parameters!$C$13)/(Fuzzy_Parameters!$C$14 - Fuzzy_Parameters!$C$13), 1), 0)</f>
        <v>1</v>
      </c>
      <c r="I106" s="25">
        <f>MAX(MIN(1, (Fuzzy_Parameters!$C$20 - Sheet6!E106)/(Fuzzy_Parameters!$C$20 - Fuzzy_Parameters!$C$19)), 0)</f>
        <v>0</v>
      </c>
      <c r="J106" s="25">
        <f>MAX(MIN((Sheet6!E106 - Fuzzy_Parameters!$C$19)/(Fuzzy_Parameters!$C$20 - Fuzzy_Parameters!$C$19), 1, (Fuzzy_Parameters!$C$22 - Sheet6!E106)/(Fuzzy_Parameters!$C$22 - Fuzzy_Parameters!$C$21)), 0)</f>
        <v>1</v>
      </c>
      <c r="K106" s="25">
        <f>MAX(MIN((Sheet6!E106 - Fuzzy_Parameters!$C$21)/(Fuzzy_Parameters!$C$22 - Fuzzy_Parameters!$C$21), 1), 0)</f>
        <v>0</v>
      </c>
      <c r="L106" s="25">
        <f>MAX(MIN(1, (Fuzzy_Parameters!$C$28 - Sheet6!F106)/(Fuzzy_Parameters!$C$28 - Fuzzy_Parameters!$C$27)), 0)</f>
        <v>1</v>
      </c>
      <c r="M106" s="25">
        <f>MAX(MIN((Sheet6!F106 - Fuzzy_Parameters!$C$27)/(Fuzzy_Parameters!$C$28 - Fuzzy_Parameters!$C$27), 1, (Fuzzy_Parameters!$C$30 - Sheet6!F106)/(Fuzzy_Parameters!$C$30 - Fuzzy_Parameters!$C$29)), 0)</f>
        <v>0</v>
      </c>
      <c r="N106" s="25">
        <f>MAX(MIN((Sheet6!F106 - Fuzzy_Parameters!$C$29)/(Fuzzy_Parameters!$C$30 - Fuzzy_Parameters!$C$29), 1), 0)</f>
        <v>0</v>
      </c>
    </row>
    <row r="107">
      <c r="A107" s="6" t="s">
        <v>12</v>
      </c>
      <c r="B107" s="26">
        <v>2016.0</v>
      </c>
      <c r="C107" s="25">
        <f>MAX(MIN(1, (Fuzzy_Parameters!$C$4 - Sheet6!C107)/(Fuzzy_Parameters!$C$4 - Fuzzy_Parameters!$C$3)), 0)</f>
        <v>0</v>
      </c>
      <c r="D107" s="25">
        <f>MAX(MIN((Sheet6!C107 - Fuzzy_Parameters!$C$3)/(Fuzzy_Parameters!$C$4 - Fuzzy_Parameters!$C$3), 1, (Fuzzy_Parameters!$C$6 - Sheet6!C107)/(Fuzzy_Parameters!$C$6 - Fuzzy_Parameters!$C$5)), 0)</f>
        <v>0.4557994066</v>
      </c>
      <c r="E107" s="25">
        <f>MAX(MIN((Sheet6!C107 - Fuzzy_Parameters!$C$5)/(Fuzzy_Parameters!$C$6 - Fuzzy_Parameters!$C$5), 1), 0)</f>
        <v>0.5442005934</v>
      </c>
      <c r="F107" s="25">
        <f>MAX(MIN(1, (Fuzzy_Parameters!$C$12 - Sheet6!D107)/(Fuzzy_Parameters!$C$12 - Fuzzy_Parameters!$C$11)), 0)</f>
        <v>0</v>
      </c>
      <c r="G107" s="25">
        <f>MAX(MIN((Sheet6!D107 - Fuzzy_Parameters!$C$11)/(Fuzzy_Parameters!$C$12 - Fuzzy_Parameters!$C$11), 1, (Fuzzy_Parameters!$C$14 - Sheet6!D107)/(Fuzzy_Parameters!$C$14 - Fuzzy_Parameters!$C$13)), 0)</f>
        <v>0</v>
      </c>
      <c r="H107" s="25">
        <f>MAX(MIN((Sheet6!D107 - Fuzzy_Parameters!$C$13)/(Fuzzy_Parameters!$C$14 - Fuzzy_Parameters!$C$13), 1), 0)</f>
        <v>1</v>
      </c>
      <c r="I107" s="25">
        <f>MAX(MIN(1, (Fuzzy_Parameters!$C$20 - Sheet6!E107)/(Fuzzy_Parameters!$C$20 - Fuzzy_Parameters!$C$19)), 0)</f>
        <v>0</v>
      </c>
      <c r="J107" s="25">
        <f>MAX(MIN((Sheet6!E107 - Fuzzy_Parameters!$C$19)/(Fuzzy_Parameters!$C$20 - Fuzzy_Parameters!$C$19), 1, (Fuzzy_Parameters!$C$22 - Sheet6!E107)/(Fuzzy_Parameters!$C$22 - Fuzzy_Parameters!$C$21)), 0)</f>
        <v>0.6837209302</v>
      </c>
      <c r="K107" s="25">
        <f>MAX(MIN((Sheet6!E107 - Fuzzy_Parameters!$C$21)/(Fuzzy_Parameters!$C$22 - Fuzzy_Parameters!$C$21), 1), 0)</f>
        <v>0.3162790698</v>
      </c>
      <c r="L107" s="25">
        <f>MAX(MIN(1, (Fuzzy_Parameters!$C$28 - Sheet6!F107)/(Fuzzy_Parameters!$C$28 - Fuzzy_Parameters!$C$27)), 0)</f>
        <v>1</v>
      </c>
      <c r="M107" s="25">
        <f>MAX(MIN((Sheet6!F107 - Fuzzy_Parameters!$C$27)/(Fuzzy_Parameters!$C$28 - Fuzzy_Parameters!$C$27), 1, (Fuzzy_Parameters!$C$30 - Sheet6!F107)/(Fuzzy_Parameters!$C$30 - Fuzzy_Parameters!$C$29)), 0)</f>
        <v>0</v>
      </c>
      <c r="N107" s="25">
        <f>MAX(MIN((Sheet6!F107 - Fuzzy_Parameters!$C$29)/(Fuzzy_Parameters!$C$30 - Fuzzy_Parameters!$C$29), 1), 0)</f>
        <v>0</v>
      </c>
    </row>
    <row r="108">
      <c r="A108" s="6" t="s">
        <v>12</v>
      </c>
      <c r="B108" s="26">
        <v>2015.0</v>
      </c>
      <c r="C108" s="25">
        <f>MAX(MIN(1, (Fuzzy_Parameters!$C$4 - Sheet6!C108)/(Fuzzy_Parameters!$C$4 - Fuzzy_Parameters!$C$3)), 0)</f>
        <v>0</v>
      </c>
      <c r="D108" s="25">
        <f>MAX(MIN((Sheet6!C108 - Fuzzy_Parameters!$C$3)/(Fuzzy_Parameters!$C$4 - Fuzzy_Parameters!$C$3), 1, (Fuzzy_Parameters!$C$6 - Sheet6!C108)/(Fuzzy_Parameters!$C$6 - Fuzzy_Parameters!$C$5)), 0)</f>
        <v>0</v>
      </c>
      <c r="E108" s="25">
        <f>MAX(MIN((Sheet6!C108 - Fuzzy_Parameters!$C$5)/(Fuzzy_Parameters!$C$6 - Fuzzy_Parameters!$C$5), 1), 0)</f>
        <v>1</v>
      </c>
      <c r="F108" s="25">
        <f>MAX(MIN(1, (Fuzzy_Parameters!$C$12 - Sheet6!D108)/(Fuzzy_Parameters!$C$12 - Fuzzy_Parameters!$C$11)), 0)</f>
        <v>0</v>
      </c>
      <c r="G108" s="25">
        <f>MAX(MIN((Sheet6!D108 - Fuzzy_Parameters!$C$11)/(Fuzzy_Parameters!$C$12 - Fuzzy_Parameters!$C$11), 1, (Fuzzy_Parameters!$C$14 - Sheet6!D108)/(Fuzzy_Parameters!$C$14 - Fuzzy_Parameters!$C$13)), 0)</f>
        <v>0.07130805272</v>
      </c>
      <c r="H108" s="25">
        <f>MAX(MIN((Sheet6!D108 - Fuzzy_Parameters!$C$13)/(Fuzzy_Parameters!$C$14 - Fuzzy_Parameters!$C$13), 1), 0)</f>
        <v>0.9286919473</v>
      </c>
      <c r="I108" s="25">
        <f>MAX(MIN(1, (Fuzzy_Parameters!$C$20 - Sheet6!E108)/(Fuzzy_Parameters!$C$20 - Fuzzy_Parameters!$C$19)), 0)</f>
        <v>0</v>
      </c>
      <c r="J108" s="25">
        <f>MAX(MIN((Sheet6!E108 - Fuzzy_Parameters!$C$19)/(Fuzzy_Parameters!$C$20 - Fuzzy_Parameters!$C$19), 1, (Fuzzy_Parameters!$C$22 - Sheet6!E108)/(Fuzzy_Parameters!$C$22 - Fuzzy_Parameters!$C$21)), 0)</f>
        <v>0.5441860465</v>
      </c>
      <c r="K108" s="25">
        <f>MAX(MIN((Sheet6!E108 - Fuzzy_Parameters!$C$21)/(Fuzzy_Parameters!$C$22 - Fuzzy_Parameters!$C$21), 1), 0)</f>
        <v>0.4558139535</v>
      </c>
      <c r="L108" s="25">
        <f>MAX(MIN(1, (Fuzzy_Parameters!$C$28 - Sheet6!F108)/(Fuzzy_Parameters!$C$28 - Fuzzy_Parameters!$C$27)), 0)</f>
        <v>1</v>
      </c>
      <c r="M108" s="25">
        <f>MAX(MIN((Sheet6!F108 - Fuzzy_Parameters!$C$27)/(Fuzzy_Parameters!$C$28 - Fuzzy_Parameters!$C$27), 1, (Fuzzy_Parameters!$C$30 - Sheet6!F108)/(Fuzzy_Parameters!$C$30 - Fuzzy_Parameters!$C$29)), 0)</f>
        <v>0</v>
      </c>
      <c r="N108" s="25">
        <f>MAX(MIN((Sheet6!F108 - Fuzzy_Parameters!$C$29)/(Fuzzy_Parameters!$C$30 - Fuzzy_Parameters!$C$29), 1), 0)</f>
        <v>0</v>
      </c>
    </row>
    <row r="109">
      <c r="A109" s="56" t="s">
        <v>12</v>
      </c>
      <c r="B109" s="57">
        <v>2014.0</v>
      </c>
      <c r="C109" s="25">
        <f>MAX(MIN(1, (Fuzzy_Parameters!$C$4 - Sheet6!C109)/(Fuzzy_Parameters!$C$4 - Fuzzy_Parameters!$C$3)), 0)</f>
        <v>0</v>
      </c>
      <c r="D109" s="25">
        <f>MAX(MIN((Sheet6!C109 - Fuzzy_Parameters!$C$3)/(Fuzzy_Parameters!$C$4 - Fuzzy_Parameters!$C$3), 1, (Fuzzy_Parameters!$C$6 - Sheet6!C109)/(Fuzzy_Parameters!$C$6 - Fuzzy_Parameters!$C$5)), 0)</f>
        <v>0</v>
      </c>
      <c r="E109" s="25">
        <f>MAX(MIN((Sheet6!C109 - Fuzzy_Parameters!$C$5)/(Fuzzy_Parameters!$C$6 - Fuzzy_Parameters!$C$5), 1), 0)</f>
        <v>1</v>
      </c>
      <c r="F109" s="25">
        <f>MAX(MIN(1, (Fuzzy_Parameters!$C$12 - Sheet6!D109)/(Fuzzy_Parameters!$C$12 - Fuzzy_Parameters!$C$11)), 0)</f>
        <v>0</v>
      </c>
      <c r="G109" s="25">
        <f>MAX(MIN((Sheet6!D109 - Fuzzy_Parameters!$C$11)/(Fuzzy_Parameters!$C$12 - Fuzzy_Parameters!$C$11), 1, (Fuzzy_Parameters!$C$14 - Sheet6!D109)/(Fuzzy_Parameters!$C$14 - Fuzzy_Parameters!$C$13)), 0)</f>
        <v>0.4817520147</v>
      </c>
      <c r="H109" s="25">
        <f>MAX(MIN((Sheet6!D109 - Fuzzy_Parameters!$C$13)/(Fuzzy_Parameters!$C$14 - Fuzzy_Parameters!$C$13), 1), 0)</f>
        <v>0.5182479853</v>
      </c>
      <c r="I109" s="25">
        <f>MAX(MIN(1, (Fuzzy_Parameters!$C$20 - Sheet6!E109)/(Fuzzy_Parameters!$C$20 - Fuzzy_Parameters!$C$19)), 0)</f>
        <v>0</v>
      </c>
      <c r="J109" s="25">
        <f>MAX(MIN((Sheet6!E109 - Fuzzy_Parameters!$C$19)/(Fuzzy_Parameters!$C$20 - Fuzzy_Parameters!$C$19), 1, (Fuzzy_Parameters!$C$22 - Sheet6!E109)/(Fuzzy_Parameters!$C$22 - Fuzzy_Parameters!$C$21)), 0)</f>
        <v>1</v>
      </c>
      <c r="K109" s="25">
        <f>MAX(MIN((Sheet6!E109 - Fuzzy_Parameters!$C$21)/(Fuzzy_Parameters!$C$22 - Fuzzy_Parameters!$C$21), 1), 0)</f>
        <v>0</v>
      </c>
      <c r="L109" s="25">
        <f>MAX(MIN(1, (Fuzzy_Parameters!$C$28 - Sheet6!F109)/(Fuzzy_Parameters!$C$28 - Fuzzy_Parameters!$C$27)), 0)</f>
        <v>1</v>
      </c>
      <c r="M109" s="25">
        <f>MAX(MIN((Sheet6!F109 - Fuzzy_Parameters!$C$27)/(Fuzzy_Parameters!$C$28 - Fuzzy_Parameters!$C$27), 1, (Fuzzy_Parameters!$C$30 - Sheet6!F109)/(Fuzzy_Parameters!$C$30 - Fuzzy_Parameters!$C$29)), 0)</f>
        <v>0</v>
      </c>
      <c r="N109" s="25">
        <f>MAX(MIN((Sheet6!F109 - Fuzzy_Parameters!$C$29)/(Fuzzy_Parameters!$C$30 - Fuzzy_Parameters!$C$29), 1), 0)</f>
        <v>0</v>
      </c>
    </row>
    <row r="110">
      <c r="A110" s="6" t="s">
        <v>13</v>
      </c>
      <c r="B110" s="26">
        <v>2022.0</v>
      </c>
      <c r="C110" s="25">
        <f>MAX(MIN(1, (Fuzzy_Parameters!$C$4 - Sheet6!C110)/(Fuzzy_Parameters!$C$4 - Fuzzy_Parameters!$C$3)), 0)</f>
        <v>0.7692308454</v>
      </c>
      <c r="D110" s="25">
        <f>MAX(MIN((Sheet6!C110 - Fuzzy_Parameters!$C$3)/(Fuzzy_Parameters!$C$4 - Fuzzy_Parameters!$C$3), 1, (Fuzzy_Parameters!$C$6 - Sheet6!C110)/(Fuzzy_Parameters!$C$6 - Fuzzy_Parameters!$C$5)), 0)</f>
        <v>0.2307691546</v>
      </c>
      <c r="E110" s="25">
        <f>MAX(MIN((Sheet6!C110 - Fuzzy_Parameters!$C$5)/(Fuzzy_Parameters!$C$6 - Fuzzy_Parameters!$C$5), 1), 0)</f>
        <v>0</v>
      </c>
      <c r="F110" s="25">
        <f>MAX(MIN(1, (Fuzzy_Parameters!$C$12 - Sheet6!D110)/(Fuzzy_Parameters!$C$12 - Fuzzy_Parameters!$C$11)), 0)</f>
        <v>0</v>
      </c>
      <c r="G110" s="25">
        <f>MAX(MIN((Sheet6!D110 - Fuzzy_Parameters!$C$11)/(Fuzzy_Parameters!$C$12 - Fuzzy_Parameters!$C$11), 1, (Fuzzy_Parameters!$C$14 - Sheet6!D110)/(Fuzzy_Parameters!$C$14 - Fuzzy_Parameters!$C$13)), 0)</f>
        <v>0</v>
      </c>
      <c r="H110" s="25">
        <f>MAX(MIN((Sheet6!D110 - Fuzzy_Parameters!$C$13)/(Fuzzy_Parameters!$C$14 - Fuzzy_Parameters!$C$13), 1), 0)</f>
        <v>1</v>
      </c>
      <c r="I110" s="25">
        <f>MAX(MIN(1, (Fuzzy_Parameters!$C$20 - Sheet6!E110)/(Fuzzy_Parameters!$C$20 - Fuzzy_Parameters!$C$19)), 0)</f>
        <v>0</v>
      </c>
      <c r="J110" s="25">
        <f>MAX(MIN((Sheet6!E110 - Fuzzy_Parameters!$C$19)/(Fuzzy_Parameters!$C$20 - Fuzzy_Parameters!$C$19), 1, (Fuzzy_Parameters!$C$22 - Sheet6!E110)/(Fuzzy_Parameters!$C$22 - Fuzzy_Parameters!$C$21)), 0)</f>
        <v>0.3906976744</v>
      </c>
      <c r="K110" s="25">
        <f>MAX(MIN((Sheet6!E110 - Fuzzy_Parameters!$C$21)/(Fuzzy_Parameters!$C$22 - Fuzzy_Parameters!$C$21), 1), 0)</f>
        <v>0.6093023256</v>
      </c>
      <c r="L110" s="25">
        <f>MAX(MIN(1, (Fuzzy_Parameters!$C$28 - Sheet6!F110)/(Fuzzy_Parameters!$C$28 - Fuzzy_Parameters!$C$27)), 0)</f>
        <v>1</v>
      </c>
      <c r="M110" s="25">
        <f>MAX(MIN((Sheet6!F110 - Fuzzy_Parameters!$C$27)/(Fuzzy_Parameters!$C$28 - Fuzzy_Parameters!$C$27), 1, (Fuzzy_Parameters!$C$30 - Sheet6!F110)/(Fuzzy_Parameters!$C$30 - Fuzzy_Parameters!$C$29)), 0)</f>
        <v>0</v>
      </c>
      <c r="N110" s="25">
        <f>MAX(MIN((Sheet6!F110 - Fuzzy_Parameters!$C$29)/(Fuzzy_Parameters!$C$30 - Fuzzy_Parameters!$C$29), 1), 0)</f>
        <v>0</v>
      </c>
    </row>
    <row r="111">
      <c r="A111" s="6" t="s">
        <v>13</v>
      </c>
      <c r="B111" s="26">
        <v>2021.0</v>
      </c>
      <c r="C111" s="25">
        <f>MAX(MIN(1, (Fuzzy_Parameters!$C$4 - Sheet6!C111)/(Fuzzy_Parameters!$C$4 - Fuzzy_Parameters!$C$3)), 0)</f>
        <v>0.9554077143</v>
      </c>
      <c r="D111" s="25">
        <f>MAX(MIN((Sheet6!C111 - Fuzzy_Parameters!$C$3)/(Fuzzy_Parameters!$C$4 - Fuzzy_Parameters!$C$3), 1, (Fuzzy_Parameters!$C$6 - Sheet6!C111)/(Fuzzy_Parameters!$C$6 - Fuzzy_Parameters!$C$5)), 0)</f>
        <v>0.04459228571</v>
      </c>
      <c r="E111" s="25">
        <f>MAX(MIN((Sheet6!C111 - Fuzzy_Parameters!$C$5)/(Fuzzy_Parameters!$C$6 - Fuzzy_Parameters!$C$5), 1), 0)</f>
        <v>0</v>
      </c>
      <c r="F111" s="25">
        <f>MAX(MIN(1, (Fuzzy_Parameters!$C$12 - Sheet6!D111)/(Fuzzy_Parameters!$C$12 - Fuzzy_Parameters!$C$11)), 0)</f>
        <v>0</v>
      </c>
      <c r="G111" s="25">
        <f>MAX(MIN((Sheet6!D111 - Fuzzy_Parameters!$C$11)/(Fuzzy_Parameters!$C$12 - Fuzzy_Parameters!$C$11), 1, (Fuzzy_Parameters!$C$14 - Sheet6!D111)/(Fuzzy_Parameters!$C$14 - Fuzzy_Parameters!$C$13)), 0)</f>
        <v>0</v>
      </c>
      <c r="H111" s="25">
        <f>MAX(MIN((Sheet6!D111 - Fuzzy_Parameters!$C$13)/(Fuzzy_Parameters!$C$14 - Fuzzy_Parameters!$C$13), 1), 0)</f>
        <v>1</v>
      </c>
      <c r="I111" s="25">
        <f>MAX(MIN(1, (Fuzzy_Parameters!$C$20 - Sheet6!E111)/(Fuzzy_Parameters!$C$20 - Fuzzy_Parameters!$C$19)), 0)</f>
        <v>0</v>
      </c>
      <c r="J111" s="25">
        <f>MAX(MIN((Sheet6!E111 - Fuzzy_Parameters!$C$19)/(Fuzzy_Parameters!$C$20 - Fuzzy_Parameters!$C$19), 1, (Fuzzy_Parameters!$C$22 - Sheet6!E111)/(Fuzzy_Parameters!$C$22 - Fuzzy_Parameters!$C$21)), 0)</f>
        <v>0.2186046512</v>
      </c>
      <c r="K111" s="25">
        <f>MAX(MIN((Sheet6!E111 - Fuzzy_Parameters!$C$21)/(Fuzzy_Parameters!$C$22 - Fuzzy_Parameters!$C$21), 1), 0)</f>
        <v>0.7813953488</v>
      </c>
      <c r="L111" s="25">
        <f>MAX(MIN(1, (Fuzzy_Parameters!$C$28 - Sheet6!F111)/(Fuzzy_Parameters!$C$28 - Fuzzy_Parameters!$C$27)), 0)</f>
        <v>1</v>
      </c>
      <c r="M111" s="25">
        <f>MAX(MIN((Sheet6!F111 - Fuzzy_Parameters!$C$27)/(Fuzzy_Parameters!$C$28 - Fuzzy_Parameters!$C$27), 1, (Fuzzy_Parameters!$C$30 - Sheet6!F111)/(Fuzzy_Parameters!$C$30 - Fuzzy_Parameters!$C$29)), 0)</f>
        <v>0</v>
      </c>
      <c r="N111" s="25">
        <f>MAX(MIN((Sheet6!F111 - Fuzzy_Parameters!$C$29)/(Fuzzy_Parameters!$C$30 - Fuzzy_Parameters!$C$29), 1), 0)</f>
        <v>0</v>
      </c>
    </row>
    <row r="112">
      <c r="A112" s="6" t="s">
        <v>13</v>
      </c>
      <c r="B112" s="26">
        <v>2020.0</v>
      </c>
      <c r="C112" s="25">
        <f>MAX(MIN(1, (Fuzzy_Parameters!$C$4 - Sheet6!C112)/(Fuzzy_Parameters!$C$4 - Fuzzy_Parameters!$C$3)), 0)</f>
        <v>0.7603123431</v>
      </c>
      <c r="D112" s="25">
        <f>MAX(MIN((Sheet6!C112 - Fuzzy_Parameters!$C$3)/(Fuzzy_Parameters!$C$4 - Fuzzy_Parameters!$C$3), 1, (Fuzzy_Parameters!$C$6 - Sheet6!C112)/(Fuzzy_Parameters!$C$6 - Fuzzy_Parameters!$C$5)), 0)</f>
        <v>0.2396876569</v>
      </c>
      <c r="E112" s="25">
        <f>MAX(MIN((Sheet6!C112 - Fuzzy_Parameters!$C$5)/(Fuzzy_Parameters!$C$6 - Fuzzy_Parameters!$C$5), 1), 0)</f>
        <v>0</v>
      </c>
      <c r="F112" s="25">
        <f>MAX(MIN(1, (Fuzzy_Parameters!$C$12 - Sheet6!D112)/(Fuzzy_Parameters!$C$12 - Fuzzy_Parameters!$C$11)), 0)</f>
        <v>0</v>
      </c>
      <c r="G112" s="25">
        <f>MAX(MIN((Sheet6!D112 - Fuzzy_Parameters!$C$11)/(Fuzzy_Parameters!$C$12 - Fuzzy_Parameters!$C$11), 1, (Fuzzy_Parameters!$C$14 - Sheet6!D112)/(Fuzzy_Parameters!$C$14 - Fuzzy_Parameters!$C$13)), 0)</f>
        <v>0</v>
      </c>
      <c r="H112" s="25">
        <f>MAX(MIN((Sheet6!D112 - Fuzzy_Parameters!$C$13)/(Fuzzy_Parameters!$C$14 - Fuzzy_Parameters!$C$13), 1), 0)</f>
        <v>1</v>
      </c>
      <c r="I112" s="25">
        <f>MAX(MIN(1, (Fuzzy_Parameters!$C$20 - Sheet6!E112)/(Fuzzy_Parameters!$C$20 - Fuzzy_Parameters!$C$19)), 0)</f>
        <v>0</v>
      </c>
      <c r="J112" s="25">
        <f>MAX(MIN((Sheet6!E112 - Fuzzy_Parameters!$C$19)/(Fuzzy_Parameters!$C$20 - Fuzzy_Parameters!$C$19), 1, (Fuzzy_Parameters!$C$22 - Sheet6!E112)/(Fuzzy_Parameters!$C$22 - Fuzzy_Parameters!$C$21)), 0)</f>
        <v>0.7674418605</v>
      </c>
      <c r="K112" s="25">
        <f>MAX(MIN((Sheet6!E112 - Fuzzy_Parameters!$C$21)/(Fuzzy_Parameters!$C$22 - Fuzzy_Parameters!$C$21), 1), 0)</f>
        <v>0.2325581395</v>
      </c>
      <c r="L112" s="25">
        <f>MAX(MIN(1, (Fuzzy_Parameters!$C$28 - Sheet6!F112)/(Fuzzy_Parameters!$C$28 - Fuzzy_Parameters!$C$27)), 0)</f>
        <v>1</v>
      </c>
      <c r="M112" s="25">
        <f>MAX(MIN((Sheet6!F112 - Fuzzy_Parameters!$C$27)/(Fuzzy_Parameters!$C$28 - Fuzzy_Parameters!$C$27), 1, (Fuzzy_Parameters!$C$30 - Sheet6!F112)/(Fuzzy_Parameters!$C$30 - Fuzzy_Parameters!$C$29)), 0)</f>
        <v>0</v>
      </c>
      <c r="N112" s="25">
        <f>MAX(MIN((Sheet6!F112 - Fuzzy_Parameters!$C$29)/(Fuzzy_Parameters!$C$30 - Fuzzy_Parameters!$C$29), 1), 0)</f>
        <v>0</v>
      </c>
    </row>
    <row r="113">
      <c r="A113" s="6" t="s">
        <v>13</v>
      </c>
      <c r="B113" s="26">
        <v>2019.0</v>
      </c>
      <c r="C113" s="25">
        <f>MAX(MIN(1, (Fuzzy_Parameters!$C$4 - Sheet6!C113)/(Fuzzy_Parameters!$C$4 - Fuzzy_Parameters!$C$3)), 0)</f>
        <v>1</v>
      </c>
      <c r="D113" s="25">
        <f>MAX(MIN((Sheet6!C113 - Fuzzy_Parameters!$C$3)/(Fuzzy_Parameters!$C$4 - Fuzzy_Parameters!$C$3), 1, (Fuzzy_Parameters!$C$6 - Sheet6!C113)/(Fuzzy_Parameters!$C$6 - Fuzzy_Parameters!$C$5)), 0)</f>
        <v>0</v>
      </c>
      <c r="E113" s="25">
        <f>MAX(MIN((Sheet6!C113 - Fuzzy_Parameters!$C$5)/(Fuzzy_Parameters!$C$6 - Fuzzy_Parameters!$C$5), 1), 0)</f>
        <v>0</v>
      </c>
      <c r="F113" s="25">
        <f>MAX(MIN(1, (Fuzzy_Parameters!$C$12 - Sheet6!D113)/(Fuzzy_Parameters!$C$12 - Fuzzy_Parameters!$C$11)), 0)</f>
        <v>0</v>
      </c>
      <c r="G113" s="25">
        <f>MAX(MIN((Sheet6!D113 - Fuzzy_Parameters!$C$11)/(Fuzzy_Parameters!$C$12 - Fuzzy_Parameters!$C$11), 1, (Fuzzy_Parameters!$C$14 - Sheet6!D113)/(Fuzzy_Parameters!$C$14 - Fuzzy_Parameters!$C$13)), 0)</f>
        <v>0</v>
      </c>
      <c r="H113" s="25">
        <f>MAX(MIN((Sheet6!D113 - Fuzzy_Parameters!$C$13)/(Fuzzy_Parameters!$C$14 - Fuzzy_Parameters!$C$13), 1), 0)</f>
        <v>1</v>
      </c>
      <c r="I113" s="25">
        <f>MAX(MIN(1, (Fuzzy_Parameters!$C$20 - Sheet6!E113)/(Fuzzy_Parameters!$C$20 - Fuzzy_Parameters!$C$19)), 0)</f>
        <v>0</v>
      </c>
      <c r="J113" s="25">
        <f>MAX(MIN((Sheet6!E113 - Fuzzy_Parameters!$C$19)/(Fuzzy_Parameters!$C$20 - Fuzzy_Parameters!$C$19), 1, (Fuzzy_Parameters!$C$22 - Sheet6!E113)/(Fuzzy_Parameters!$C$22 - Fuzzy_Parameters!$C$21)), 0)</f>
        <v>0</v>
      </c>
      <c r="K113" s="25">
        <f>MAX(MIN((Sheet6!E113 - Fuzzy_Parameters!$C$21)/(Fuzzy_Parameters!$C$22 - Fuzzy_Parameters!$C$21), 1), 0)</f>
        <v>1</v>
      </c>
      <c r="L113" s="25">
        <f>MAX(MIN(1, (Fuzzy_Parameters!$C$28 - Sheet6!F113)/(Fuzzy_Parameters!$C$28 - Fuzzy_Parameters!$C$27)), 0)</f>
        <v>1</v>
      </c>
      <c r="M113" s="25">
        <f>MAX(MIN((Sheet6!F113 - Fuzzy_Parameters!$C$27)/(Fuzzy_Parameters!$C$28 - Fuzzy_Parameters!$C$27), 1, (Fuzzy_Parameters!$C$30 - Sheet6!F113)/(Fuzzy_Parameters!$C$30 - Fuzzy_Parameters!$C$29)), 0)</f>
        <v>0</v>
      </c>
      <c r="N113" s="25">
        <f>MAX(MIN((Sheet6!F113 - Fuzzy_Parameters!$C$29)/(Fuzzy_Parameters!$C$30 - Fuzzy_Parameters!$C$29), 1), 0)</f>
        <v>0</v>
      </c>
    </row>
    <row r="114">
      <c r="A114" s="6" t="s">
        <v>13</v>
      </c>
      <c r="B114" s="26">
        <v>2018.0</v>
      </c>
      <c r="C114" s="25">
        <f>MAX(MIN(1, (Fuzzy_Parameters!$C$4 - Sheet6!C114)/(Fuzzy_Parameters!$C$4 - Fuzzy_Parameters!$C$3)), 0)</f>
        <v>1</v>
      </c>
      <c r="D114" s="25">
        <f>MAX(MIN((Sheet6!C114 - Fuzzy_Parameters!$C$3)/(Fuzzy_Parameters!$C$4 - Fuzzy_Parameters!$C$3), 1, (Fuzzy_Parameters!$C$6 - Sheet6!C114)/(Fuzzy_Parameters!$C$6 - Fuzzy_Parameters!$C$5)), 0)</f>
        <v>0</v>
      </c>
      <c r="E114" s="25">
        <f>MAX(MIN((Sheet6!C114 - Fuzzy_Parameters!$C$5)/(Fuzzy_Parameters!$C$6 - Fuzzy_Parameters!$C$5), 1), 0)</f>
        <v>0</v>
      </c>
      <c r="F114" s="25">
        <f>MAX(MIN(1, (Fuzzy_Parameters!$C$12 - Sheet6!D114)/(Fuzzy_Parameters!$C$12 - Fuzzy_Parameters!$C$11)), 0)</f>
        <v>0</v>
      </c>
      <c r="G114" s="25">
        <f>MAX(MIN((Sheet6!D114 - Fuzzy_Parameters!$C$11)/(Fuzzy_Parameters!$C$12 - Fuzzy_Parameters!$C$11), 1, (Fuzzy_Parameters!$C$14 - Sheet6!D114)/(Fuzzy_Parameters!$C$14 - Fuzzy_Parameters!$C$13)), 0)</f>
        <v>0</v>
      </c>
      <c r="H114" s="25">
        <f>MAX(MIN((Sheet6!D114 - Fuzzy_Parameters!$C$13)/(Fuzzy_Parameters!$C$14 - Fuzzy_Parameters!$C$13), 1), 0)</f>
        <v>1</v>
      </c>
      <c r="I114" s="25">
        <f>MAX(MIN(1, (Fuzzy_Parameters!$C$20 - Sheet6!E114)/(Fuzzy_Parameters!$C$20 - Fuzzy_Parameters!$C$19)), 0)</f>
        <v>0</v>
      </c>
      <c r="J114" s="25">
        <f>MAX(MIN((Sheet6!E114 - Fuzzy_Parameters!$C$19)/(Fuzzy_Parameters!$C$20 - Fuzzy_Parameters!$C$19), 1, (Fuzzy_Parameters!$C$22 - Sheet6!E114)/(Fuzzy_Parameters!$C$22 - Fuzzy_Parameters!$C$21)), 0)</f>
        <v>0</v>
      </c>
      <c r="K114" s="25">
        <f>MAX(MIN((Sheet6!E114 - Fuzzy_Parameters!$C$21)/(Fuzzy_Parameters!$C$22 - Fuzzy_Parameters!$C$21), 1), 0)</f>
        <v>1</v>
      </c>
      <c r="L114" s="25">
        <f>MAX(MIN(1, (Fuzzy_Parameters!$C$28 - Sheet6!F114)/(Fuzzy_Parameters!$C$28 - Fuzzy_Parameters!$C$27)), 0)</f>
        <v>1</v>
      </c>
      <c r="M114" s="25">
        <f>MAX(MIN((Sheet6!F114 - Fuzzy_Parameters!$C$27)/(Fuzzy_Parameters!$C$28 - Fuzzy_Parameters!$C$27), 1, (Fuzzy_Parameters!$C$30 - Sheet6!F114)/(Fuzzy_Parameters!$C$30 - Fuzzy_Parameters!$C$29)), 0)</f>
        <v>0</v>
      </c>
      <c r="N114" s="25">
        <f>MAX(MIN((Sheet6!F114 - Fuzzy_Parameters!$C$29)/(Fuzzy_Parameters!$C$30 - Fuzzy_Parameters!$C$29), 1), 0)</f>
        <v>0</v>
      </c>
    </row>
    <row r="115">
      <c r="A115" s="6" t="s">
        <v>13</v>
      </c>
      <c r="B115" s="26">
        <v>2017.0</v>
      </c>
      <c r="C115" s="25">
        <f>MAX(MIN(1, (Fuzzy_Parameters!$C$4 - Sheet6!C115)/(Fuzzy_Parameters!$C$4 - Fuzzy_Parameters!$C$3)), 0)</f>
        <v>1</v>
      </c>
      <c r="D115" s="25">
        <f>MAX(MIN((Sheet6!C115 - Fuzzy_Parameters!$C$3)/(Fuzzy_Parameters!$C$4 - Fuzzy_Parameters!$C$3), 1, (Fuzzy_Parameters!$C$6 - Sheet6!C115)/(Fuzzy_Parameters!$C$6 - Fuzzy_Parameters!$C$5)), 0)</f>
        <v>0</v>
      </c>
      <c r="E115" s="25">
        <f>MAX(MIN((Sheet6!C115 - Fuzzy_Parameters!$C$5)/(Fuzzy_Parameters!$C$6 - Fuzzy_Parameters!$C$5), 1), 0)</f>
        <v>0</v>
      </c>
      <c r="F115" s="25">
        <f>MAX(MIN(1, (Fuzzy_Parameters!$C$12 - Sheet6!D115)/(Fuzzy_Parameters!$C$12 - Fuzzy_Parameters!$C$11)), 0)</f>
        <v>0</v>
      </c>
      <c r="G115" s="25">
        <f>MAX(MIN((Sheet6!D115 - Fuzzy_Parameters!$C$11)/(Fuzzy_Parameters!$C$12 - Fuzzy_Parameters!$C$11), 1, (Fuzzy_Parameters!$C$14 - Sheet6!D115)/(Fuzzy_Parameters!$C$14 - Fuzzy_Parameters!$C$13)), 0)</f>
        <v>0</v>
      </c>
      <c r="H115" s="25">
        <f>MAX(MIN((Sheet6!D115 - Fuzzy_Parameters!$C$13)/(Fuzzy_Parameters!$C$14 - Fuzzy_Parameters!$C$13), 1), 0)</f>
        <v>1</v>
      </c>
      <c r="I115" s="25">
        <f>MAX(MIN(1, (Fuzzy_Parameters!$C$20 - Sheet6!E115)/(Fuzzy_Parameters!$C$20 - Fuzzy_Parameters!$C$19)), 0)</f>
        <v>0</v>
      </c>
      <c r="J115" s="25">
        <f>MAX(MIN((Sheet6!E115 - Fuzzy_Parameters!$C$19)/(Fuzzy_Parameters!$C$20 - Fuzzy_Parameters!$C$19), 1, (Fuzzy_Parameters!$C$22 - Sheet6!E115)/(Fuzzy_Parameters!$C$22 - Fuzzy_Parameters!$C$21)), 0)</f>
        <v>0</v>
      </c>
      <c r="K115" s="25">
        <f>MAX(MIN((Sheet6!E115 - Fuzzy_Parameters!$C$21)/(Fuzzy_Parameters!$C$22 - Fuzzy_Parameters!$C$21), 1), 0)</f>
        <v>1</v>
      </c>
      <c r="L115" s="25">
        <f>MAX(MIN(1, (Fuzzy_Parameters!$C$28 - Sheet6!F115)/(Fuzzy_Parameters!$C$28 - Fuzzy_Parameters!$C$27)), 0)</f>
        <v>1</v>
      </c>
      <c r="M115" s="25">
        <f>MAX(MIN((Sheet6!F115 - Fuzzy_Parameters!$C$27)/(Fuzzy_Parameters!$C$28 - Fuzzy_Parameters!$C$27), 1, (Fuzzy_Parameters!$C$30 - Sheet6!F115)/(Fuzzy_Parameters!$C$30 - Fuzzy_Parameters!$C$29)), 0)</f>
        <v>0</v>
      </c>
      <c r="N115" s="25">
        <f>MAX(MIN((Sheet6!F115 - Fuzzy_Parameters!$C$29)/(Fuzzy_Parameters!$C$30 - Fuzzy_Parameters!$C$29), 1), 0)</f>
        <v>0</v>
      </c>
    </row>
    <row r="116">
      <c r="A116" s="6" t="s">
        <v>13</v>
      </c>
      <c r="B116" s="26">
        <v>2016.0</v>
      </c>
      <c r="C116" s="25">
        <f>MAX(MIN(1, (Fuzzy_Parameters!$C$4 - Sheet6!C116)/(Fuzzy_Parameters!$C$4 - Fuzzy_Parameters!$C$3)), 0)</f>
        <v>1</v>
      </c>
      <c r="D116" s="25">
        <f>MAX(MIN((Sheet6!C116 - Fuzzy_Parameters!$C$3)/(Fuzzy_Parameters!$C$4 - Fuzzy_Parameters!$C$3), 1, (Fuzzy_Parameters!$C$6 - Sheet6!C116)/(Fuzzy_Parameters!$C$6 - Fuzzy_Parameters!$C$5)), 0)</f>
        <v>0</v>
      </c>
      <c r="E116" s="25">
        <f>MAX(MIN((Sheet6!C116 - Fuzzy_Parameters!$C$5)/(Fuzzy_Parameters!$C$6 - Fuzzy_Parameters!$C$5), 1), 0)</f>
        <v>0</v>
      </c>
      <c r="F116" s="25">
        <f>MAX(MIN(1, (Fuzzy_Parameters!$C$12 - Sheet6!D116)/(Fuzzy_Parameters!$C$12 - Fuzzy_Parameters!$C$11)), 0)</f>
        <v>0</v>
      </c>
      <c r="G116" s="25">
        <f>MAX(MIN((Sheet6!D116 - Fuzzy_Parameters!$C$11)/(Fuzzy_Parameters!$C$12 - Fuzzy_Parameters!$C$11), 1, (Fuzzy_Parameters!$C$14 - Sheet6!D116)/(Fuzzy_Parameters!$C$14 - Fuzzy_Parameters!$C$13)), 0)</f>
        <v>0</v>
      </c>
      <c r="H116" s="25">
        <f>MAX(MIN((Sheet6!D116 - Fuzzy_Parameters!$C$13)/(Fuzzy_Parameters!$C$14 - Fuzzy_Parameters!$C$13), 1), 0)</f>
        <v>1</v>
      </c>
      <c r="I116" s="25">
        <f>MAX(MIN(1, (Fuzzy_Parameters!$C$20 - Sheet6!E116)/(Fuzzy_Parameters!$C$20 - Fuzzy_Parameters!$C$19)), 0)</f>
        <v>0</v>
      </c>
      <c r="J116" s="25">
        <f>MAX(MIN((Sheet6!E116 - Fuzzy_Parameters!$C$19)/(Fuzzy_Parameters!$C$20 - Fuzzy_Parameters!$C$19), 1, (Fuzzy_Parameters!$C$22 - Sheet6!E116)/(Fuzzy_Parameters!$C$22 - Fuzzy_Parameters!$C$21)), 0)</f>
        <v>0</v>
      </c>
      <c r="K116" s="25">
        <f>MAX(MIN((Sheet6!E116 - Fuzzy_Parameters!$C$21)/(Fuzzy_Parameters!$C$22 - Fuzzy_Parameters!$C$21), 1), 0)</f>
        <v>1</v>
      </c>
      <c r="L116" s="25">
        <f>MAX(MIN(1, (Fuzzy_Parameters!$C$28 - Sheet6!F116)/(Fuzzy_Parameters!$C$28 - Fuzzy_Parameters!$C$27)), 0)</f>
        <v>0.535689405</v>
      </c>
      <c r="M116" s="25">
        <f>MAX(MIN((Sheet6!F116 - Fuzzy_Parameters!$C$27)/(Fuzzy_Parameters!$C$28 - Fuzzy_Parameters!$C$27), 1, (Fuzzy_Parameters!$C$30 - Sheet6!F116)/(Fuzzy_Parameters!$C$30 - Fuzzy_Parameters!$C$29)), 0)</f>
        <v>0.464310595</v>
      </c>
      <c r="N116" s="25">
        <f>MAX(MIN((Sheet6!F116 - Fuzzy_Parameters!$C$29)/(Fuzzy_Parameters!$C$30 - Fuzzy_Parameters!$C$29), 1), 0)</f>
        <v>0</v>
      </c>
    </row>
    <row r="117">
      <c r="A117" s="6" t="s">
        <v>13</v>
      </c>
      <c r="B117" s="26">
        <v>2015.0</v>
      </c>
      <c r="C117" s="25">
        <f>MAX(MIN(1, (Fuzzy_Parameters!$C$4 - Sheet6!C117)/(Fuzzy_Parameters!$C$4 - Fuzzy_Parameters!$C$3)), 0)</f>
        <v>0.8104799631</v>
      </c>
      <c r="D117" s="25">
        <f>MAX(MIN((Sheet6!C117 - Fuzzy_Parameters!$C$3)/(Fuzzy_Parameters!$C$4 - Fuzzy_Parameters!$C$3), 1, (Fuzzy_Parameters!$C$6 - Sheet6!C117)/(Fuzzy_Parameters!$C$6 - Fuzzy_Parameters!$C$5)), 0)</f>
        <v>0.1895200369</v>
      </c>
      <c r="E117" s="25">
        <f>MAX(MIN((Sheet6!C117 - Fuzzy_Parameters!$C$5)/(Fuzzy_Parameters!$C$6 - Fuzzy_Parameters!$C$5), 1), 0)</f>
        <v>0</v>
      </c>
      <c r="F117" s="25">
        <f>MAX(MIN(1, (Fuzzy_Parameters!$C$12 - Sheet6!D117)/(Fuzzy_Parameters!$C$12 - Fuzzy_Parameters!$C$11)), 0)</f>
        <v>0</v>
      </c>
      <c r="G117" s="25">
        <f>MAX(MIN((Sheet6!D117 - Fuzzy_Parameters!$C$11)/(Fuzzy_Parameters!$C$12 - Fuzzy_Parameters!$C$11), 1, (Fuzzy_Parameters!$C$14 - Sheet6!D117)/(Fuzzy_Parameters!$C$14 - Fuzzy_Parameters!$C$13)), 0)</f>
        <v>0</v>
      </c>
      <c r="H117" s="25">
        <f>MAX(MIN((Sheet6!D117 - Fuzzy_Parameters!$C$13)/(Fuzzy_Parameters!$C$14 - Fuzzy_Parameters!$C$13), 1), 0)</f>
        <v>1</v>
      </c>
      <c r="I117" s="25">
        <f>MAX(MIN(1, (Fuzzy_Parameters!$C$20 - Sheet6!E117)/(Fuzzy_Parameters!$C$20 - Fuzzy_Parameters!$C$19)), 0)</f>
        <v>0</v>
      </c>
      <c r="J117" s="25">
        <f>MAX(MIN((Sheet6!E117 - Fuzzy_Parameters!$C$19)/(Fuzzy_Parameters!$C$20 - Fuzzy_Parameters!$C$19), 1, (Fuzzy_Parameters!$C$22 - Sheet6!E117)/(Fuzzy_Parameters!$C$22 - Fuzzy_Parameters!$C$21)), 0)</f>
        <v>0</v>
      </c>
      <c r="K117" s="25">
        <f>MAX(MIN((Sheet6!E117 - Fuzzy_Parameters!$C$21)/(Fuzzy_Parameters!$C$22 - Fuzzy_Parameters!$C$21), 1), 0)</f>
        <v>1</v>
      </c>
      <c r="L117" s="25">
        <f>MAX(MIN(1, (Fuzzy_Parameters!$C$28 - Sheet6!F117)/(Fuzzy_Parameters!$C$28 - Fuzzy_Parameters!$C$27)), 0)</f>
        <v>0.4813673025</v>
      </c>
      <c r="M117" s="25">
        <f>MAX(MIN((Sheet6!F117 - Fuzzy_Parameters!$C$27)/(Fuzzy_Parameters!$C$28 - Fuzzy_Parameters!$C$27), 1, (Fuzzy_Parameters!$C$30 - Sheet6!F117)/(Fuzzy_Parameters!$C$30 - Fuzzy_Parameters!$C$29)), 0)</f>
        <v>0.5186326975</v>
      </c>
      <c r="N117" s="25">
        <f>MAX(MIN((Sheet6!F117 - Fuzzy_Parameters!$C$29)/(Fuzzy_Parameters!$C$30 - Fuzzy_Parameters!$C$29), 1), 0)</f>
        <v>0</v>
      </c>
    </row>
    <row r="118">
      <c r="A118" s="56" t="s">
        <v>13</v>
      </c>
      <c r="B118" s="57">
        <v>2014.0</v>
      </c>
      <c r="C118" s="25">
        <f>MAX(MIN(1, (Fuzzy_Parameters!$C$4 - Sheet6!C118)/(Fuzzy_Parameters!$C$4 - Fuzzy_Parameters!$C$3)), 0)</f>
        <v>0.911928971</v>
      </c>
      <c r="D118" s="25">
        <f>MAX(MIN((Sheet6!C118 - Fuzzy_Parameters!$C$3)/(Fuzzy_Parameters!$C$4 - Fuzzy_Parameters!$C$3), 1, (Fuzzy_Parameters!$C$6 - Sheet6!C118)/(Fuzzy_Parameters!$C$6 - Fuzzy_Parameters!$C$5)), 0)</f>
        <v>0.088071029</v>
      </c>
      <c r="E118" s="25">
        <f>MAX(MIN((Sheet6!C118 - Fuzzy_Parameters!$C$5)/(Fuzzy_Parameters!$C$6 - Fuzzy_Parameters!$C$5), 1), 0)</f>
        <v>0</v>
      </c>
      <c r="F118" s="25">
        <f>MAX(MIN(1, (Fuzzy_Parameters!$C$12 - Sheet6!D118)/(Fuzzy_Parameters!$C$12 - Fuzzy_Parameters!$C$11)), 0)</f>
        <v>0</v>
      </c>
      <c r="G118" s="25">
        <f>MAX(MIN((Sheet6!D118 - Fuzzy_Parameters!$C$11)/(Fuzzy_Parameters!$C$12 - Fuzzy_Parameters!$C$11), 1, (Fuzzy_Parameters!$C$14 - Sheet6!D118)/(Fuzzy_Parameters!$C$14 - Fuzzy_Parameters!$C$13)), 0)</f>
        <v>0</v>
      </c>
      <c r="H118" s="25">
        <f>MAX(MIN((Sheet6!D118 - Fuzzy_Parameters!$C$13)/(Fuzzy_Parameters!$C$14 - Fuzzy_Parameters!$C$13), 1), 0)</f>
        <v>1</v>
      </c>
      <c r="I118" s="25">
        <f>MAX(MIN(1, (Fuzzy_Parameters!$C$20 - Sheet6!E118)/(Fuzzy_Parameters!$C$20 - Fuzzy_Parameters!$C$19)), 0)</f>
        <v>0</v>
      </c>
      <c r="J118" s="25">
        <f>MAX(MIN((Sheet6!E118 - Fuzzy_Parameters!$C$19)/(Fuzzy_Parameters!$C$20 - Fuzzy_Parameters!$C$19), 1, (Fuzzy_Parameters!$C$22 - Sheet6!E118)/(Fuzzy_Parameters!$C$22 - Fuzzy_Parameters!$C$21)), 0)</f>
        <v>0</v>
      </c>
      <c r="K118" s="25">
        <f>MAX(MIN((Sheet6!E118 - Fuzzy_Parameters!$C$21)/(Fuzzy_Parameters!$C$22 - Fuzzy_Parameters!$C$21), 1), 0)</f>
        <v>1</v>
      </c>
      <c r="L118" s="25">
        <f>MAX(MIN(1, (Fuzzy_Parameters!$C$28 - Sheet6!F118)/(Fuzzy_Parameters!$C$28 - Fuzzy_Parameters!$C$27)), 0)</f>
        <v>0.4277952524</v>
      </c>
      <c r="M118" s="25">
        <f>MAX(MIN((Sheet6!F118 - Fuzzy_Parameters!$C$27)/(Fuzzy_Parameters!$C$28 - Fuzzy_Parameters!$C$27), 1, (Fuzzy_Parameters!$C$30 - Sheet6!F118)/(Fuzzy_Parameters!$C$30 - Fuzzy_Parameters!$C$29)), 0)</f>
        <v>0.5722047476</v>
      </c>
      <c r="N118" s="25">
        <f>MAX(MIN((Sheet6!F118 - Fuzzy_Parameters!$C$29)/(Fuzzy_Parameters!$C$30 - Fuzzy_Parameters!$C$29), 1), 0)</f>
        <v>0</v>
      </c>
    </row>
    <row r="119">
      <c r="A119" s="6" t="s">
        <v>14</v>
      </c>
      <c r="B119" s="26">
        <v>2022.0</v>
      </c>
      <c r="C119" s="25">
        <f>MAX(MIN(1, (Fuzzy_Parameters!$C$4 - Sheet6!C119)/(Fuzzy_Parameters!$C$4 - Fuzzy_Parameters!$C$3)), 0)</f>
        <v>0</v>
      </c>
      <c r="D119" s="25">
        <f>MAX(MIN((Sheet6!C119 - Fuzzy_Parameters!$C$3)/(Fuzzy_Parameters!$C$4 - Fuzzy_Parameters!$C$3), 1, (Fuzzy_Parameters!$C$6 - Sheet6!C119)/(Fuzzy_Parameters!$C$6 - Fuzzy_Parameters!$C$5)), 0)</f>
        <v>0.4076578736</v>
      </c>
      <c r="E119" s="25">
        <f>MAX(MIN((Sheet6!C119 - Fuzzy_Parameters!$C$5)/(Fuzzy_Parameters!$C$6 - Fuzzy_Parameters!$C$5), 1), 0)</f>
        <v>0.5923421264</v>
      </c>
      <c r="F119" s="25">
        <f>MAX(MIN(1, (Fuzzy_Parameters!$C$12 - Sheet6!D119)/(Fuzzy_Parameters!$C$12 - Fuzzy_Parameters!$C$11)), 0)</f>
        <v>0</v>
      </c>
      <c r="G119" s="25">
        <f>MAX(MIN((Sheet6!D119 - Fuzzy_Parameters!$C$11)/(Fuzzy_Parameters!$C$12 - Fuzzy_Parameters!$C$11), 1, (Fuzzy_Parameters!$C$14 - Sheet6!D119)/(Fuzzy_Parameters!$C$14 - Fuzzy_Parameters!$C$13)), 0)</f>
        <v>1</v>
      </c>
      <c r="H119" s="25">
        <f>MAX(MIN((Sheet6!D119 - Fuzzy_Parameters!$C$13)/(Fuzzy_Parameters!$C$14 - Fuzzy_Parameters!$C$13), 1), 0)</f>
        <v>0</v>
      </c>
      <c r="I119" s="25">
        <f>MAX(MIN(1, (Fuzzy_Parameters!$C$20 - Sheet6!E119)/(Fuzzy_Parameters!$C$20 - Fuzzy_Parameters!$C$19)), 0)</f>
        <v>0</v>
      </c>
      <c r="J119" s="25">
        <f>MAX(MIN((Sheet6!E119 - Fuzzy_Parameters!$C$19)/(Fuzzy_Parameters!$C$20 - Fuzzy_Parameters!$C$19), 1, (Fuzzy_Parameters!$C$22 - Sheet6!E119)/(Fuzzy_Parameters!$C$22 - Fuzzy_Parameters!$C$21)), 0)</f>
        <v>0</v>
      </c>
      <c r="K119" s="25">
        <f>MAX(MIN((Sheet6!E119 - Fuzzy_Parameters!$C$21)/(Fuzzy_Parameters!$C$22 - Fuzzy_Parameters!$C$21), 1), 0)</f>
        <v>1</v>
      </c>
      <c r="L119" s="25">
        <f>MAX(MIN(1, (Fuzzy_Parameters!$C$28 - Sheet6!F119)/(Fuzzy_Parameters!$C$28 - Fuzzy_Parameters!$C$27)), 0)</f>
        <v>0</v>
      </c>
      <c r="M119" s="25">
        <f>MAX(MIN((Sheet6!F119 - Fuzzy_Parameters!$C$27)/(Fuzzy_Parameters!$C$28 - Fuzzy_Parameters!$C$27), 1, (Fuzzy_Parameters!$C$30 - Sheet6!F119)/(Fuzzy_Parameters!$C$30 - Fuzzy_Parameters!$C$29)), 0)</f>
        <v>0</v>
      </c>
      <c r="N119" s="25">
        <f>MAX(MIN((Sheet6!F119 - Fuzzy_Parameters!$C$29)/(Fuzzy_Parameters!$C$30 - Fuzzy_Parameters!$C$29), 1), 0)</f>
        <v>1</v>
      </c>
    </row>
    <row r="120">
      <c r="A120" s="6" t="s">
        <v>14</v>
      </c>
      <c r="B120" s="26">
        <v>2021.0</v>
      </c>
      <c r="C120" s="25">
        <f>MAX(MIN(1, (Fuzzy_Parameters!$C$4 - Sheet6!C120)/(Fuzzy_Parameters!$C$4 - Fuzzy_Parameters!$C$3)), 0)</f>
        <v>0</v>
      </c>
      <c r="D120" s="25">
        <f>MAX(MIN((Sheet6!C120 - Fuzzy_Parameters!$C$3)/(Fuzzy_Parameters!$C$4 - Fuzzy_Parameters!$C$3), 1, (Fuzzy_Parameters!$C$6 - Sheet6!C120)/(Fuzzy_Parameters!$C$6 - Fuzzy_Parameters!$C$5)), 0)</f>
        <v>0.6959461268</v>
      </c>
      <c r="E120" s="25">
        <f>MAX(MIN((Sheet6!C120 - Fuzzy_Parameters!$C$5)/(Fuzzy_Parameters!$C$6 - Fuzzy_Parameters!$C$5), 1), 0)</f>
        <v>0.3040538732</v>
      </c>
      <c r="F120" s="25">
        <f>MAX(MIN(1, (Fuzzy_Parameters!$C$12 - Sheet6!D120)/(Fuzzy_Parameters!$C$12 - Fuzzy_Parameters!$C$11)), 0)</f>
        <v>0</v>
      </c>
      <c r="G120" s="25">
        <f>MAX(MIN((Sheet6!D120 - Fuzzy_Parameters!$C$11)/(Fuzzy_Parameters!$C$12 - Fuzzy_Parameters!$C$11), 1, (Fuzzy_Parameters!$C$14 - Sheet6!D120)/(Fuzzy_Parameters!$C$14 - Fuzzy_Parameters!$C$13)), 0)</f>
        <v>1</v>
      </c>
      <c r="H120" s="25">
        <f>MAX(MIN((Sheet6!D120 - Fuzzy_Parameters!$C$13)/(Fuzzy_Parameters!$C$14 - Fuzzy_Parameters!$C$13), 1), 0)</f>
        <v>0</v>
      </c>
      <c r="I120" s="25">
        <f>MAX(MIN(1, (Fuzzy_Parameters!$C$20 - Sheet6!E120)/(Fuzzy_Parameters!$C$20 - Fuzzy_Parameters!$C$19)), 0)</f>
        <v>0</v>
      </c>
      <c r="J120" s="25">
        <f>MAX(MIN((Sheet6!E120 - Fuzzy_Parameters!$C$19)/(Fuzzy_Parameters!$C$20 - Fuzzy_Parameters!$C$19), 1, (Fuzzy_Parameters!$C$22 - Sheet6!E120)/(Fuzzy_Parameters!$C$22 - Fuzzy_Parameters!$C$21)), 0)</f>
        <v>0</v>
      </c>
      <c r="K120" s="25">
        <f>MAX(MIN((Sheet6!E120 - Fuzzy_Parameters!$C$21)/(Fuzzy_Parameters!$C$22 - Fuzzy_Parameters!$C$21), 1), 0)</f>
        <v>1</v>
      </c>
      <c r="L120" s="25">
        <f>MAX(MIN(1, (Fuzzy_Parameters!$C$28 - Sheet6!F120)/(Fuzzy_Parameters!$C$28 - Fuzzy_Parameters!$C$27)), 0)</f>
        <v>0</v>
      </c>
      <c r="M120" s="25">
        <f>MAX(MIN((Sheet6!F120 - Fuzzy_Parameters!$C$27)/(Fuzzy_Parameters!$C$28 - Fuzzy_Parameters!$C$27), 1, (Fuzzy_Parameters!$C$30 - Sheet6!F120)/(Fuzzy_Parameters!$C$30 - Fuzzy_Parameters!$C$29)), 0)</f>
        <v>0</v>
      </c>
      <c r="N120" s="25">
        <f>MAX(MIN((Sheet6!F120 - Fuzzy_Parameters!$C$29)/(Fuzzy_Parameters!$C$30 - Fuzzy_Parameters!$C$29), 1), 0)</f>
        <v>1</v>
      </c>
    </row>
    <row r="121">
      <c r="A121" s="6" t="s">
        <v>14</v>
      </c>
      <c r="B121" s="26">
        <v>2020.0</v>
      </c>
      <c r="C121" s="25">
        <f>MAX(MIN(1, (Fuzzy_Parameters!$C$4 - Sheet6!C121)/(Fuzzy_Parameters!$C$4 - Fuzzy_Parameters!$C$3)), 0)</f>
        <v>0</v>
      </c>
      <c r="D121" s="25">
        <f>MAX(MIN((Sheet6!C121 - Fuzzy_Parameters!$C$3)/(Fuzzy_Parameters!$C$4 - Fuzzy_Parameters!$C$3), 1, (Fuzzy_Parameters!$C$6 - Sheet6!C121)/(Fuzzy_Parameters!$C$6 - Fuzzy_Parameters!$C$5)), 0)</f>
        <v>0.8595156778</v>
      </c>
      <c r="E121" s="25">
        <f>MAX(MIN((Sheet6!C121 - Fuzzy_Parameters!$C$5)/(Fuzzy_Parameters!$C$6 - Fuzzy_Parameters!$C$5), 1), 0)</f>
        <v>0.1404843222</v>
      </c>
      <c r="F121" s="25">
        <f>MAX(MIN(1, (Fuzzy_Parameters!$C$12 - Sheet6!D121)/(Fuzzy_Parameters!$C$12 - Fuzzy_Parameters!$C$11)), 0)</f>
        <v>0.05609119108</v>
      </c>
      <c r="G121" s="25">
        <f>MAX(MIN((Sheet6!D121 - Fuzzy_Parameters!$C$11)/(Fuzzy_Parameters!$C$12 - Fuzzy_Parameters!$C$11), 1, (Fuzzy_Parameters!$C$14 - Sheet6!D121)/(Fuzzy_Parameters!$C$14 - Fuzzy_Parameters!$C$13)), 0)</f>
        <v>0.9439088089</v>
      </c>
      <c r="H121" s="25">
        <f>MAX(MIN((Sheet6!D121 - Fuzzy_Parameters!$C$13)/(Fuzzy_Parameters!$C$14 - Fuzzy_Parameters!$C$13), 1), 0)</f>
        <v>0</v>
      </c>
      <c r="I121" s="25">
        <f>MAX(MIN(1, (Fuzzy_Parameters!$C$20 - Sheet6!E121)/(Fuzzy_Parameters!$C$20 - Fuzzy_Parameters!$C$19)), 0)</f>
        <v>0</v>
      </c>
      <c r="J121" s="25">
        <f>MAX(MIN((Sheet6!E121 - Fuzzy_Parameters!$C$19)/(Fuzzy_Parameters!$C$20 - Fuzzy_Parameters!$C$19), 1, (Fuzzy_Parameters!$C$22 - Sheet6!E121)/(Fuzzy_Parameters!$C$22 - Fuzzy_Parameters!$C$21)), 0)</f>
        <v>0</v>
      </c>
      <c r="K121" s="25">
        <f>MAX(MIN((Sheet6!E121 - Fuzzy_Parameters!$C$21)/(Fuzzy_Parameters!$C$22 - Fuzzy_Parameters!$C$21), 1), 0)</f>
        <v>1</v>
      </c>
      <c r="L121" s="25">
        <f>MAX(MIN(1, (Fuzzy_Parameters!$C$28 - Sheet6!F121)/(Fuzzy_Parameters!$C$28 - Fuzzy_Parameters!$C$27)), 0)</f>
        <v>0</v>
      </c>
      <c r="M121" s="25">
        <f>MAX(MIN((Sheet6!F121 - Fuzzy_Parameters!$C$27)/(Fuzzy_Parameters!$C$28 - Fuzzy_Parameters!$C$27), 1, (Fuzzy_Parameters!$C$30 - Sheet6!F121)/(Fuzzy_Parameters!$C$30 - Fuzzy_Parameters!$C$29)), 0)</f>
        <v>0</v>
      </c>
      <c r="N121" s="25">
        <f>MAX(MIN((Sheet6!F121 - Fuzzy_Parameters!$C$29)/(Fuzzy_Parameters!$C$30 - Fuzzy_Parameters!$C$29), 1), 0)</f>
        <v>1</v>
      </c>
    </row>
    <row r="122">
      <c r="A122" s="6" t="s">
        <v>14</v>
      </c>
      <c r="B122" s="26">
        <v>2019.0</v>
      </c>
      <c r="C122" s="25">
        <f>MAX(MIN(1, (Fuzzy_Parameters!$C$4 - Sheet6!C122)/(Fuzzy_Parameters!$C$4 - Fuzzy_Parameters!$C$3)), 0)</f>
        <v>0</v>
      </c>
      <c r="D122" s="25">
        <f>MAX(MIN((Sheet6!C122 - Fuzzy_Parameters!$C$3)/(Fuzzy_Parameters!$C$4 - Fuzzy_Parameters!$C$3), 1, (Fuzzy_Parameters!$C$6 - Sheet6!C122)/(Fuzzy_Parameters!$C$6 - Fuzzy_Parameters!$C$5)), 0)</f>
        <v>1</v>
      </c>
      <c r="E122" s="25">
        <f>MAX(MIN((Sheet6!C122 - Fuzzy_Parameters!$C$5)/(Fuzzy_Parameters!$C$6 - Fuzzy_Parameters!$C$5), 1), 0)</f>
        <v>0</v>
      </c>
      <c r="F122" s="25">
        <f>MAX(MIN(1, (Fuzzy_Parameters!$C$12 - Sheet6!D122)/(Fuzzy_Parameters!$C$12 - Fuzzy_Parameters!$C$11)), 0)</f>
        <v>0</v>
      </c>
      <c r="G122" s="25">
        <f>MAX(MIN((Sheet6!D122 - Fuzzy_Parameters!$C$11)/(Fuzzy_Parameters!$C$12 - Fuzzy_Parameters!$C$11), 1, (Fuzzy_Parameters!$C$14 - Sheet6!D122)/(Fuzzy_Parameters!$C$14 - Fuzzy_Parameters!$C$13)), 0)</f>
        <v>1</v>
      </c>
      <c r="H122" s="25">
        <f>MAX(MIN((Sheet6!D122 - Fuzzy_Parameters!$C$13)/(Fuzzy_Parameters!$C$14 - Fuzzy_Parameters!$C$13), 1), 0)</f>
        <v>0</v>
      </c>
      <c r="I122" s="25">
        <f>MAX(MIN(1, (Fuzzy_Parameters!$C$20 - Sheet6!E122)/(Fuzzy_Parameters!$C$20 - Fuzzy_Parameters!$C$19)), 0)</f>
        <v>0</v>
      </c>
      <c r="J122" s="25">
        <f>MAX(MIN((Sheet6!E122 - Fuzzy_Parameters!$C$19)/(Fuzzy_Parameters!$C$20 - Fuzzy_Parameters!$C$19), 1, (Fuzzy_Parameters!$C$22 - Sheet6!E122)/(Fuzzy_Parameters!$C$22 - Fuzzy_Parameters!$C$21)), 0)</f>
        <v>0</v>
      </c>
      <c r="K122" s="25">
        <f>MAX(MIN((Sheet6!E122 - Fuzzy_Parameters!$C$21)/(Fuzzy_Parameters!$C$22 - Fuzzy_Parameters!$C$21), 1), 0)</f>
        <v>1</v>
      </c>
      <c r="L122" s="25">
        <f>MAX(MIN(1, (Fuzzy_Parameters!$C$28 - Sheet6!F122)/(Fuzzy_Parameters!$C$28 - Fuzzy_Parameters!$C$27)), 0)</f>
        <v>0</v>
      </c>
      <c r="M122" s="25">
        <f>MAX(MIN((Sheet6!F122 - Fuzzy_Parameters!$C$27)/(Fuzzy_Parameters!$C$28 - Fuzzy_Parameters!$C$27), 1, (Fuzzy_Parameters!$C$30 - Sheet6!F122)/(Fuzzy_Parameters!$C$30 - Fuzzy_Parameters!$C$29)), 0)</f>
        <v>0</v>
      </c>
      <c r="N122" s="25">
        <f>MAX(MIN((Sheet6!F122 - Fuzzy_Parameters!$C$29)/(Fuzzy_Parameters!$C$30 - Fuzzy_Parameters!$C$29), 1), 0)</f>
        <v>1</v>
      </c>
    </row>
    <row r="123">
      <c r="A123" s="6" t="s">
        <v>14</v>
      </c>
      <c r="B123" s="26">
        <v>2018.0</v>
      </c>
      <c r="C123" s="25">
        <f>MAX(MIN(1, (Fuzzy_Parameters!$C$4 - Sheet6!C123)/(Fuzzy_Parameters!$C$4 - Fuzzy_Parameters!$C$3)), 0)</f>
        <v>0</v>
      </c>
      <c r="D123" s="25">
        <f>MAX(MIN((Sheet6!C123 - Fuzzy_Parameters!$C$3)/(Fuzzy_Parameters!$C$4 - Fuzzy_Parameters!$C$3), 1, (Fuzzy_Parameters!$C$6 - Sheet6!C123)/(Fuzzy_Parameters!$C$6 - Fuzzy_Parameters!$C$5)), 0)</f>
        <v>1</v>
      </c>
      <c r="E123" s="25">
        <f>MAX(MIN((Sheet6!C123 - Fuzzy_Parameters!$C$5)/(Fuzzy_Parameters!$C$6 - Fuzzy_Parameters!$C$5), 1), 0)</f>
        <v>0</v>
      </c>
      <c r="F123" s="25">
        <f>MAX(MIN(1, (Fuzzy_Parameters!$C$12 - Sheet6!D123)/(Fuzzy_Parameters!$C$12 - Fuzzy_Parameters!$C$11)), 0)</f>
        <v>0.05696791673</v>
      </c>
      <c r="G123" s="25">
        <f>MAX(MIN((Sheet6!D123 - Fuzzy_Parameters!$C$11)/(Fuzzy_Parameters!$C$12 - Fuzzy_Parameters!$C$11), 1, (Fuzzy_Parameters!$C$14 - Sheet6!D123)/(Fuzzy_Parameters!$C$14 - Fuzzy_Parameters!$C$13)), 0)</f>
        <v>0.9430320833</v>
      </c>
      <c r="H123" s="25">
        <f>MAX(MIN((Sheet6!D123 - Fuzzy_Parameters!$C$13)/(Fuzzy_Parameters!$C$14 - Fuzzy_Parameters!$C$13), 1), 0)</f>
        <v>0</v>
      </c>
      <c r="I123" s="25">
        <f>MAX(MIN(1, (Fuzzy_Parameters!$C$20 - Sheet6!E123)/(Fuzzy_Parameters!$C$20 - Fuzzy_Parameters!$C$19)), 0)</f>
        <v>0</v>
      </c>
      <c r="J123" s="25">
        <f>MAX(MIN((Sheet6!E123 - Fuzzy_Parameters!$C$19)/(Fuzzy_Parameters!$C$20 - Fuzzy_Parameters!$C$19), 1, (Fuzzy_Parameters!$C$22 - Sheet6!E123)/(Fuzzy_Parameters!$C$22 - Fuzzy_Parameters!$C$21)), 0)</f>
        <v>0</v>
      </c>
      <c r="K123" s="25">
        <f>MAX(MIN((Sheet6!E123 - Fuzzy_Parameters!$C$21)/(Fuzzy_Parameters!$C$22 - Fuzzy_Parameters!$C$21), 1), 0)</f>
        <v>1</v>
      </c>
      <c r="L123" s="25">
        <f>MAX(MIN(1, (Fuzzy_Parameters!$C$28 - Sheet6!F123)/(Fuzzy_Parameters!$C$28 - Fuzzy_Parameters!$C$27)), 0)</f>
        <v>0</v>
      </c>
      <c r="M123" s="25">
        <f>MAX(MIN((Sheet6!F123 - Fuzzy_Parameters!$C$27)/(Fuzzy_Parameters!$C$28 - Fuzzy_Parameters!$C$27), 1, (Fuzzy_Parameters!$C$30 - Sheet6!F123)/(Fuzzy_Parameters!$C$30 - Fuzzy_Parameters!$C$29)), 0)</f>
        <v>0</v>
      </c>
      <c r="N123" s="25">
        <f>MAX(MIN((Sheet6!F123 - Fuzzy_Parameters!$C$29)/(Fuzzy_Parameters!$C$30 - Fuzzy_Parameters!$C$29), 1), 0)</f>
        <v>1</v>
      </c>
    </row>
    <row r="124">
      <c r="A124" s="6" t="s">
        <v>14</v>
      </c>
      <c r="B124" s="26">
        <v>2017.0</v>
      </c>
      <c r="C124" s="25">
        <f>MAX(MIN(1, (Fuzzy_Parameters!$C$4 - Sheet6!C124)/(Fuzzy_Parameters!$C$4 - Fuzzy_Parameters!$C$3)), 0)</f>
        <v>0</v>
      </c>
      <c r="D124" s="25">
        <f>MAX(MIN((Sheet6!C124 - Fuzzy_Parameters!$C$3)/(Fuzzy_Parameters!$C$4 - Fuzzy_Parameters!$C$3), 1, (Fuzzy_Parameters!$C$6 - Sheet6!C124)/(Fuzzy_Parameters!$C$6 - Fuzzy_Parameters!$C$5)), 0)</f>
        <v>1</v>
      </c>
      <c r="E124" s="25">
        <f>MAX(MIN((Sheet6!C124 - Fuzzy_Parameters!$C$5)/(Fuzzy_Parameters!$C$6 - Fuzzy_Parameters!$C$5), 1), 0)</f>
        <v>0</v>
      </c>
      <c r="F124" s="25">
        <f>MAX(MIN(1, (Fuzzy_Parameters!$C$12 - Sheet6!D124)/(Fuzzy_Parameters!$C$12 - Fuzzy_Parameters!$C$11)), 0)</f>
        <v>0.01402301039</v>
      </c>
      <c r="G124" s="25">
        <f>MAX(MIN((Sheet6!D124 - Fuzzy_Parameters!$C$11)/(Fuzzy_Parameters!$C$12 - Fuzzy_Parameters!$C$11), 1, (Fuzzy_Parameters!$C$14 - Sheet6!D124)/(Fuzzy_Parameters!$C$14 - Fuzzy_Parameters!$C$13)), 0)</f>
        <v>0.9859769896</v>
      </c>
      <c r="H124" s="25">
        <f>MAX(MIN((Sheet6!D124 - Fuzzy_Parameters!$C$13)/(Fuzzy_Parameters!$C$14 - Fuzzy_Parameters!$C$13), 1), 0)</f>
        <v>0</v>
      </c>
      <c r="I124" s="25">
        <f>MAX(MIN(1, (Fuzzy_Parameters!$C$20 - Sheet6!E124)/(Fuzzy_Parameters!$C$20 - Fuzzy_Parameters!$C$19)), 0)</f>
        <v>0</v>
      </c>
      <c r="J124" s="25">
        <f>MAX(MIN((Sheet6!E124 - Fuzzy_Parameters!$C$19)/(Fuzzy_Parameters!$C$20 - Fuzzy_Parameters!$C$19), 1, (Fuzzy_Parameters!$C$22 - Sheet6!E124)/(Fuzzy_Parameters!$C$22 - Fuzzy_Parameters!$C$21)), 0)</f>
        <v>0</v>
      </c>
      <c r="K124" s="25">
        <f>MAX(MIN((Sheet6!E124 - Fuzzy_Parameters!$C$21)/(Fuzzy_Parameters!$C$22 - Fuzzy_Parameters!$C$21), 1), 0)</f>
        <v>1</v>
      </c>
      <c r="L124" s="25">
        <f>MAX(MIN(1, (Fuzzy_Parameters!$C$28 - Sheet6!F124)/(Fuzzy_Parameters!$C$28 - Fuzzy_Parameters!$C$27)), 0)</f>
        <v>0</v>
      </c>
      <c r="M124" s="25">
        <f>MAX(MIN((Sheet6!F124 - Fuzzy_Parameters!$C$27)/(Fuzzy_Parameters!$C$28 - Fuzzy_Parameters!$C$27), 1, (Fuzzy_Parameters!$C$30 - Sheet6!F124)/(Fuzzy_Parameters!$C$30 - Fuzzy_Parameters!$C$29)), 0)</f>
        <v>0</v>
      </c>
      <c r="N124" s="25">
        <f>MAX(MIN((Sheet6!F124 - Fuzzy_Parameters!$C$29)/(Fuzzy_Parameters!$C$30 - Fuzzy_Parameters!$C$29), 1), 0)</f>
        <v>1</v>
      </c>
    </row>
    <row r="125">
      <c r="A125" s="6" t="s">
        <v>14</v>
      </c>
      <c r="B125" s="26">
        <v>2016.0</v>
      </c>
      <c r="C125" s="25">
        <f>MAX(MIN(1, (Fuzzy_Parameters!$C$4 - Sheet6!C125)/(Fuzzy_Parameters!$C$4 - Fuzzy_Parameters!$C$3)), 0)</f>
        <v>0.04459208928</v>
      </c>
      <c r="D125" s="25">
        <f>MAX(MIN((Sheet6!C125 - Fuzzy_Parameters!$C$3)/(Fuzzy_Parameters!$C$4 - Fuzzy_Parameters!$C$3), 1, (Fuzzy_Parameters!$C$6 - Sheet6!C125)/(Fuzzy_Parameters!$C$6 - Fuzzy_Parameters!$C$5)), 0)</f>
        <v>0.9554079107</v>
      </c>
      <c r="E125" s="25">
        <f>MAX(MIN((Sheet6!C125 - Fuzzy_Parameters!$C$5)/(Fuzzy_Parameters!$C$6 - Fuzzy_Parameters!$C$5), 1), 0)</f>
        <v>0</v>
      </c>
      <c r="F125" s="25">
        <f>MAX(MIN(1, (Fuzzy_Parameters!$C$12 - Sheet6!D125)/(Fuzzy_Parameters!$C$12 - Fuzzy_Parameters!$C$11)), 0)</f>
        <v>0.02629254301</v>
      </c>
      <c r="G125" s="25">
        <f>MAX(MIN((Sheet6!D125 - Fuzzy_Parameters!$C$11)/(Fuzzy_Parameters!$C$12 - Fuzzy_Parameters!$C$11), 1, (Fuzzy_Parameters!$C$14 - Sheet6!D125)/(Fuzzy_Parameters!$C$14 - Fuzzy_Parameters!$C$13)), 0)</f>
        <v>0.973707457</v>
      </c>
      <c r="H125" s="25">
        <f>MAX(MIN((Sheet6!D125 - Fuzzy_Parameters!$C$13)/(Fuzzy_Parameters!$C$14 - Fuzzy_Parameters!$C$13), 1), 0)</f>
        <v>0</v>
      </c>
      <c r="I125" s="25">
        <f>MAX(MIN(1, (Fuzzy_Parameters!$C$20 - Sheet6!E125)/(Fuzzy_Parameters!$C$20 - Fuzzy_Parameters!$C$19)), 0)</f>
        <v>0</v>
      </c>
      <c r="J125" s="25">
        <f>MAX(MIN((Sheet6!E125 - Fuzzy_Parameters!$C$19)/(Fuzzy_Parameters!$C$20 - Fuzzy_Parameters!$C$19), 1, (Fuzzy_Parameters!$C$22 - Sheet6!E125)/(Fuzzy_Parameters!$C$22 - Fuzzy_Parameters!$C$21)), 0)</f>
        <v>0</v>
      </c>
      <c r="K125" s="25">
        <f>MAX(MIN((Sheet6!E125 - Fuzzy_Parameters!$C$21)/(Fuzzy_Parameters!$C$22 - Fuzzy_Parameters!$C$21), 1), 0)</f>
        <v>1</v>
      </c>
      <c r="L125" s="25">
        <f>MAX(MIN(1, (Fuzzy_Parameters!$C$28 - Sheet6!F125)/(Fuzzy_Parameters!$C$28 - Fuzzy_Parameters!$C$27)), 0)</f>
        <v>0</v>
      </c>
      <c r="M125" s="25">
        <f>MAX(MIN((Sheet6!F125 - Fuzzy_Parameters!$C$27)/(Fuzzy_Parameters!$C$28 - Fuzzy_Parameters!$C$27), 1, (Fuzzy_Parameters!$C$30 - Sheet6!F125)/(Fuzzy_Parameters!$C$30 - Fuzzy_Parameters!$C$29)), 0)</f>
        <v>0</v>
      </c>
      <c r="N125" s="25">
        <f>MAX(MIN((Sheet6!F125 - Fuzzy_Parameters!$C$29)/(Fuzzy_Parameters!$C$30 - Fuzzy_Parameters!$C$29), 1), 0)</f>
        <v>1</v>
      </c>
    </row>
    <row r="126">
      <c r="A126" s="6" t="s">
        <v>14</v>
      </c>
      <c r="B126" s="26">
        <v>2015.0</v>
      </c>
      <c r="C126" s="25">
        <f>MAX(MIN(1, (Fuzzy_Parameters!$C$4 - Sheet6!C126)/(Fuzzy_Parameters!$C$4 - Fuzzy_Parameters!$C$3)), 0)</f>
        <v>0</v>
      </c>
      <c r="D126" s="25">
        <f>MAX(MIN((Sheet6!C126 - Fuzzy_Parameters!$C$3)/(Fuzzy_Parameters!$C$4 - Fuzzy_Parameters!$C$3), 1, (Fuzzy_Parameters!$C$6 - Sheet6!C126)/(Fuzzy_Parameters!$C$6 - Fuzzy_Parameters!$C$5)), 0)</f>
        <v>1</v>
      </c>
      <c r="E126" s="25">
        <f>MAX(MIN((Sheet6!C126 - Fuzzy_Parameters!$C$5)/(Fuzzy_Parameters!$C$6 - Fuzzy_Parameters!$C$5), 1), 0)</f>
        <v>0</v>
      </c>
      <c r="F126" s="25">
        <f>MAX(MIN(1, (Fuzzy_Parameters!$C$12 - Sheet6!D126)/(Fuzzy_Parameters!$C$12 - Fuzzy_Parameters!$C$11)), 0)</f>
        <v>0</v>
      </c>
      <c r="G126" s="25">
        <f>MAX(MIN((Sheet6!D126 - Fuzzy_Parameters!$C$11)/(Fuzzy_Parameters!$C$12 - Fuzzy_Parameters!$C$11), 1, (Fuzzy_Parameters!$C$14 - Sheet6!D126)/(Fuzzy_Parameters!$C$14 - Fuzzy_Parameters!$C$13)), 0)</f>
        <v>1</v>
      </c>
      <c r="H126" s="25">
        <f>MAX(MIN((Sheet6!D126 - Fuzzy_Parameters!$C$13)/(Fuzzy_Parameters!$C$14 - Fuzzy_Parameters!$C$13), 1), 0)</f>
        <v>0</v>
      </c>
      <c r="I126" s="25">
        <f>MAX(MIN(1, (Fuzzy_Parameters!$C$20 - Sheet6!E126)/(Fuzzy_Parameters!$C$20 - Fuzzy_Parameters!$C$19)), 0)</f>
        <v>0</v>
      </c>
      <c r="J126" s="25">
        <f>MAX(MIN((Sheet6!E126 - Fuzzy_Parameters!$C$19)/(Fuzzy_Parameters!$C$20 - Fuzzy_Parameters!$C$19), 1, (Fuzzy_Parameters!$C$22 - Sheet6!E126)/(Fuzzy_Parameters!$C$22 - Fuzzy_Parameters!$C$21)), 0)</f>
        <v>0</v>
      </c>
      <c r="K126" s="25">
        <f>MAX(MIN((Sheet6!E126 - Fuzzy_Parameters!$C$21)/(Fuzzy_Parameters!$C$22 - Fuzzy_Parameters!$C$21), 1), 0)</f>
        <v>1</v>
      </c>
      <c r="L126" s="25">
        <f>MAX(MIN(1, (Fuzzy_Parameters!$C$28 - Sheet6!F126)/(Fuzzy_Parameters!$C$28 - Fuzzy_Parameters!$C$27)), 0)</f>
        <v>0</v>
      </c>
      <c r="M126" s="25">
        <f>MAX(MIN((Sheet6!F126 - Fuzzy_Parameters!$C$27)/(Fuzzy_Parameters!$C$28 - Fuzzy_Parameters!$C$27), 1, (Fuzzy_Parameters!$C$30 - Sheet6!F126)/(Fuzzy_Parameters!$C$30 - Fuzzy_Parameters!$C$29)), 0)</f>
        <v>0</v>
      </c>
      <c r="N126" s="25">
        <f>MAX(MIN((Sheet6!F126 - Fuzzy_Parameters!$C$29)/(Fuzzy_Parameters!$C$30 - Fuzzy_Parameters!$C$29), 1), 0)</f>
        <v>1</v>
      </c>
    </row>
    <row r="127">
      <c r="A127" s="56" t="s">
        <v>14</v>
      </c>
      <c r="B127" s="57">
        <v>2014.0</v>
      </c>
      <c r="C127" s="25">
        <f>MAX(MIN(1, (Fuzzy_Parameters!$C$4 - Sheet6!C127)/(Fuzzy_Parameters!$C$4 - Fuzzy_Parameters!$C$3)), 0)</f>
        <v>0</v>
      </c>
      <c r="D127" s="25">
        <f>MAX(MIN((Sheet6!C127 - Fuzzy_Parameters!$C$3)/(Fuzzy_Parameters!$C$4 - Fuzzy_Parameters!$C$3), 1, (Fuzzy_Parameters!$C$6 - Sheet6!C127)/(Fuzzy_Parameters!$C$6 - Fuzzy_Parameters!$C$5)), 0)</f>
        <v>1</v>
      </c>
      <c r="E127" s="25">
        <f>MAX(MIN((Sheet6!C127 - Fuzzy_Parameters!$C$5)/(Fuzzy_Parameters!$C$6 - Fuzzy_Parameters!$C$5), 1), 0)</f>
        <v>0</v>
      </c>
      <c r="F127" s="25">
        <f>MAX(MIN(1, (Fuzzy_Parameters!$C$12 - Sheet6!D127)/(Fuzzy_Parameters!$C$12 - Fuzzy_Parameters!$C$11)), 0)</f>
        <v>0</v>
      </c>
      <c r="G127" s="25">
        <f>MAX(MIN((Sheet6!D127 - Fuzzy_Parameters!$C$11)/(Fuzzy_Parameters!$C$12 - Fuzzy_Parameters!$C$11), 1, (Fuzzy_Parameters!$C$14 - Sheet6!D127)/(Fuzzy_Parameters!$C$14 - Fuzzy_Parameters!$C$13)), 0)</f>
        <v>1</v>
      </c>
      <c r="H127" s="25">
        <f>MAX(MIN((Sheet6!D127 - Fuzzy_Parameters!$C$13)/(Fuzzy_Parameters!$C$14 - Fuzzy_Parameters!$C$13), 1), 0)</f>
        <v>0</v>
      </c>
      <c r="I127" s="25">
        <f>MAX(MIN(1, (Fuzzy_Parameters!$C$20 - Sheet6!E127)/(Fuzzy_Parameters!$C$20 - Fuzzy_Parameters!$C$19)), 0)</f>
        <v>0</v>
      </c>
      <c r="J127" s="25">
        <f>MAX(MIN((Sheet6!E127 - Fuzzy_Parameters!$C$19)/(Fuzzy_Parameters!$C$20 - Fuzzy_Parameters!$C$19), 1, (Fuzzy_Parameters!$C$22 - Sheet6!E127)/(Fuzzy_Parameters!$C$22 - Fuzzy_Parameters!$C$21)), 0)</f>
        <v>0.4325581395</v>
      </c>
      <c r="K127" s="25">
        <f>MAX(MIN((Sheet6!E127 - Fuzzy_Parameters!$C$21)/(Fuzzy_Parameters!$C$22 - Fuzzy_Parameters!$C$21), 1), 0)</f>
        <v>0.5674418605</v>
      </c>
      <c r="L127" s="25">
        <f>MAX(MIN(1, (Fuzzy_Parameters!$C$28 - Sheet6!F127)/(Fuzzy_Parameters!$C$28 - Fuzzy_Parameters!$C$27)), 0)</f>
        <v>0</v>
      </c>
      <c r="M127" s="25">
        <f>MAX(MIN((Sheet6!F127 - Fuzzy_Parameters!$C$27)/(Fuzzy_Parameters!$C$28 - Fuzzy_Parameters!$C$27), 1, (Fuzzy_Parameters!$C$30 - Sheet6!F127)/(Fuzzy_Parameters!$C$30 - Fuzzy_Parameters!$C$29)), 0)</f>
        <v>0</v>
      </c>
      <c r="N127" s="25">
        <f>MAX(MIN((Sheet6!F127 - Fuzzy_Parameters!$C$29)/(Fuzzy_Parameters!$C$30 - Fuzzy_Parameters!$C$29), 1), 0)</f>
        <v>1</v>
      </c>
    </row>
    <row r="128">
      <c r="A128" s="6" t="s">
        <v>15</v>
      </c>
      <c r="B128" s="26">
        <v>2022.0</v>
      </c>
      <c r="C128" s="25">
        <f>MAX(MIN(1, (Fuzzy_Parameters!$C$4 - Sheet6!C128)/(Fuzzy_Parameters!$C$4 - Fuzzy_Parameters!$C$3)), 0)</f>
        <v>0</v>
      </c>
      <c r="D128" s="25">
        <f>MAX(MIN((Sheet6!C128 - Fuzzy_Parameters!$C$3)/(Fuzzy_Parameters!$C$4 - Fuzzy_Parameters!$C$3), 1, (Fuzzy_Parameters!$C$6 - Sheet6!C128)/(Fuzzy_Parameters!$C$6 - Fuzzy_Parameters!$C$5)), 0)</f>
        <v>0.38175678</v>
      </c>
      <c r="E128" s="25">
        <f>MAX(MIN((Sheet6!C128 - Fuzzy_Parameters!$C$5)/(Fuzzy_Parameters!$C$6 - Fuzzy_Parameters!$C$5), 1), 0)</f>
        <v>0.61824322</v>
      </c>
      <c r="F128" s="25">
        <f>MAX(MIN(1, (Fuzzy_Parameters!$C$12 - Sheet6!D128)/(Fuzzy_Parameters!$C$12 - Fuzzy_Parameters!$C$11)), 0)</f>
        <v>0</v>
      </c>
      <c r="G128" s="25">
        <f>MAX(MIN((Sheet6!D128 - Fuzzy_Parameters!$C$11)/(Fuzzy_Parameters!$C$12 - Fuzzy_Parameters!$C$11), 1, (Fuzzy_Parameters!$C$14 - Sheet6!D128)/(Fuzzy_Parameters!$C$14 - Fuzzy_Parameters!$C$13)), 0)</f>
        <v>0.7439640465</v>
      </c>
      <c r="H128" s="25">
        <f>MAX(MIN((Sheet6!D128 - Fuzzy_Parameters!$C$13)/(Fuzzy_Parameters!$C$14 - Fuzzy_Parameters!$C$13), 1), 0)</f>
        <v>0.2560359535</v>
      </c>
      <c r="I128" s="25">
        <f>MAX(MIN(1, (Fuzzy_Parameters!$C$20 - Sheet6!E128)/(Fuzzy_Parameters!$C$20 - Fuzzy_Parameters!$C$19)), 0)</f>
        <v>0.8306451613</v>
      </c>
      <c r="J128" s="25">
        <f>MAX(MIN((Sheet6!E128 - Fuzzy_Parameters!$C$19)/(Fuzzy_Parameters!$C$20 - Fuzzy_Parameters!$C$19), 1, (Fuzzy_Parameters!$C$22 - Sheet6!E128)/(Fuzzy_Parameters!$C$22 - Fuzzy_Parameters!$C$21)), 0)</f>
        <v>0.1693548387</v>
      </c>
      <c r="K128" s="25">
        <f>MAX(MIN((Sheet6!E128 - Fuzzy_Parameters!$C$21)/(Fuzzy_Parameters!$C$22 - Fuzzy_Parameters!$C$21), 1), 0)</f>
        <v>0</v>
      </c>
      <c r="L128" s="25">
        <f>MAX(MIN(1, (Fuzzy_Parameters!$C$28 - Sheet6!F128)/(Fuzzy_Parameters!$C$28 - Fuzzy_Parameters!$C$27)), 0)</f>
        <v>0</v>
      </c>
      <c r="M128" s="25">
        <f>MAX(MIN((Sheet6!F128 - Fuzzy_Parameters!$C$27)/(Fuzzy_Parameters!$C$28 - Fuzzy_Parameters!$C$27), 1, (Fuzzy_Parameters!$C$30 - Sheet6!F128)/(Fuzzy_Parameters!$C$30 - Fuzzy_Parameters!$C$29)), 0)</f>
        <v>0.9608573796</v>
      </c>
      <c r="N128" s="25">
        <f>MAX(MIN((Sheet6!F128 - Fuzzy_Parameters!$C$29)/(Fuzzy_Parameters!$C$30 - Fuzzy_Parameters!$C$29), 1), 0)</f>
        <v>0.03914262037</v>
      </c>
    </row>
    <row r="129">
      <c r="A129" s="6" t="s">
        <v>15</v>
      </c>
      <c r="B129" s="26">
        <v>2021.0</v>
      </c>
      <c r="C129" s="25">
        <f>MAX(MIN(1, (Fuzzy_Parameters!$C$4 - Sheet6!C129)/(Fuzzy_Parameters!$C$4 - Fuzzy_Parameters!$C$3)), 0)</f>
        <v>0</v>
      </c>
      <c r="D129" s="25">
        <f>MAX(MIN((Sheet6!C129 - Fuzzy_Parameters!$C$3)/(Fuzzy_Parameters!$C$4 - Fuzzy_Parameters!$C$3), 1, (Fuzzy_Parameters!$C$6 - Sheet6!C129)/(Fuzzy_Parameters!$C$6 - Fuzzy_Parameters!$C$5)), 0)</f>
        <v>0</v>
      </c>
      <c r="E129" s="25">
        <f>MAX(MIN((Sheet6!C129 - Fuzzy_Parameters!$C$5)/(Fuzzy_Parameters!$C$6 - Fuzzy_Parameters!$C$5), 1), 0)</f>
        <v>1</v>
      </c>
      <c r="F129" s="25">
        <f>MAX(MIN(1, (Fuzzy_Parameters!$C$12 - Sheet6!D129)/(Fuzzy_Parameters!$C$12 - Fuzzy_Parameters!$C$11)), 0)</f>
        <v>0</v>
      </c>
      <c r="G129" s="25">
        <f>MAX(MIN((Sheet6!D129 - Fuzzy_Parameters!$C$11)/(Fuzzy_Parameters!$C$12 - Fuzzy_Parameters!$C$11), 1, (Fuzzy_Parameters!$C$14 - Sheet6!D129)/(Fuzzy_Parameters!$C$14 - Fuzzy_Parameters!$C$13)), 0)</f>
        <v>0.6120157644</v>
      </c>
      <c r="H129" s="25">
        <f>MAX(MIN((Sheet6!D129 - Fuzzy_Parameters!$C$13)/(Fuzzy_Parameters!$C$14 - Fuzzy_Parameters!$C$13), 1), 0)</f>
        <v>0.3879842356</v>
      </c>
      <c r="I129" s="25">
        <f>MAX(MIN(1, (Fuzzy_Parameters!$C$20 - Sheet6!E129)/(Fuzzy_Parameters!$C$20 - Fuzzy_Parameters!$C$19)), 0)</f>
        <v>0.9274193548</v>
      </c>
      <c r="J129" s="25">
        <f>MAX(MIN((Sheet6!E129 - Fuzzy_Parameters!$C$19)/(Fuzzy_Parameters!$C$20 - Fuzzy_Parameters!$C$19), 1, (Fuzzy_Parameters!$C$22 - Sheet6!E129)/(Fuzzy_Parameters!$C$22 - Fuzzy_Parameters!$C$21)), 0)</f>
        <v>0.07258064516</v>
      </c>
      <c r="K129" s="25">
        <f>MAX(MIN((Sheet6!E129 - Fuzzy_Parameters!$C$21)/(Fuzzy_Parameters!$C$22 - Fuzzy_Parameters!$C$21), 1), 0)</f>
        <v>0</v>
      </c>
      <c r="L129" s="25">
        <f>MAX(MIN(1, (Fuzzy_Parameters!$C$28 - Sheet6!F129)/(Fuzzy_Parameters!$C$28 - Fuzzy_Parameters!$C$27)), 0)</f>
        <v>0</v>
      </c>
      <c r="M129" s="25">
        <f>MAX(MIN((Sheet6!F129 - Fuzzy_Parameters!$C$27)/(Fuzzy_Parameters!$C$28 - Fuzzy_Parameters!$C$27), 1, (Fuzzy_Parameters!$C$30 - Sheet6!F129)/(Fuzzy_Parameters!$C$30 - Fuzzy_Parameters!$C$29)), 0)</f>
        <v>0.8395531689</v>
      </c>
      <c r="N129" s="25">
        <f>MAX(MIN((Sheet6!F129 - Fuzzy_Parameters!$C$29)/(Fuzzy_Parameters!$C$30 - Fuzzy_Parameters!$C$29), 1), 0)</f>
        <v>0.1604468311</v>
      </c>
    </row>
    <row r="130">
      <c r="A130" s="6" t="s">
        <v>15</v>
      </c>
      <c r="B130" s="26">
        <v>2020.0</v>
      </c>
      <c r="C130" s="25">
        <f>MAX(MIN(1, (Fuzzy_Parameters!$C$4 - Sheet6!C130)/(Fuzzy_Parameters!$C$4 - Fuzzy_Parameters!$C$3)), 0)</f>
        <v>0</v>
      </c>
      <c r="D130" s="25">
        <f>MAX(MIN((Sheet6!C130 - Fuzzy_Parameters!$C$3)/(Fuzzy_Parameters!$C$4 - Fuzzy_Parameters!$C$3), 1, (Fuzzy_Parameters!$C$6 - Sheet6!C130)/(Fuzzy_Parameters!$C$6 - Fuzzy_Parameters!$C$5)), 0)</f>
        <v>0.2043920986</v>
      </c>
      <c r="E130" s="25">
        <f>MAX(MIN((Sheet6!C130 - Fuzzy_Parameters!$C$5)/(Fuzzy_Parameters!$C$6 - Fuzzy_Parameters!$C$5), 1), 0)</f>
        <v>0.7956079014</v>
      </c>
      <c r="F130" s="25">
        <f>MAX(MIN(1, (Fuzzy_Parameters!$C$12 - Sheet6!D130)/(Fuzzy_Parameters!$C$12 - Fuzzy_Parameters!$C$11)), 0)</f>
        <v>0</v>
      </c>
      <c r="G130" s="25">
        <f>MAX(MIN((Sheet6!D130 - Fuzzy_Parameters!$C$11)/(Fuzzy_Parameters!$C$12 - Fuzzy_Parameters!$C$11), 1, (Fuzzy_Parameters!$C$14 - Sheet6!D130)/(Fuzzy_Parameters!$C$14 - Fuzzy_Parameters!$C$13)), 0)</f>
        <v>0.07074687127</v>
      </c>
      <c r="H130" s="25">
        <f>MAX(MIN((Sheet6!D130 - Fuzzy_Parameters!$C$13)/(Fuzzy_Parameters!$C$14 - Fuzzy_Parameters!$C$13), 1), 0)</f>
        <v>0.9292531287</v>
      </c>
      <c r="I130" s="25">
        <f>MAX(MIN(1, (Fuzzy_Parameters!$C$20 - Sheet6!E130)/(Fuzzy_Parameters!$C$20 - Fuzzy_Parameters!$C$19)), 0)</f>
        <v>1</v>
      </c>
      <c r="J130" s="25">
        <f>MAX(MIN((Sheet6!E130 - Fuzzy_Parameters!$C$19)/(Fuzzy_Parameters!$C$20 - Fuzzy_Parameters!$C$19), 1, (Fuzzy_Parameters!$C$22 - Sheet6!E130)/(Fuzzy_Parameters!$C$22 - Fuzzy_Parameters!$C$21)), 0)</f>
        <v>0</v>
      </c>
      <c r="K130" s="25">
        <f>MAX(MIN((Sheet6!E130 - Fuzzy_Parameters!$C$21)/(Fuzzy_Parameters!$C$22 - Fuzzy_Parameters!$C$21), 1), 0)</f>
        <v>0</v>
      </c>
      <c r="L130" s="25">
        <f>MAX(MIN(1, (Fuzzy_Parameters!$C$28 - Sheet6!F130)/(Fuzzy_Parameters!$C$28 - Fuzzy_Parameters!$C$27)), 0)</f>
        <v>0</v>
      </c>
      <c r="M130" s="25">
        <f>MAX(MIN((Sheet6!F130 - Fuzzy_Parameters!$C$27)/(Fuzzy_Parameters!$C$28 - Fuzzy_Parameters!$C$27), 1, (Fuzzy_Parameters!$C$30 - Sheet6!F130)/(Fuzzy_Parameters!$C$30 - Fuzzy_Parameters!$C$29)), 0)</f>
        <v>0.6688257867</v>
      </c>
      <c r="N130" s="25">
        <f>MAX(MIN((Sheet6!F130 - Fuzzy_Parameters!$C$29)/(Fuzzy_Parameters!$C$30 - Fuzzy_Parameters!$C$29), 1), 0)</f>
        <v>0.3311742133</v>
      </c>
    </row>
    <row r="131">
      <c r="A131" s="6" t="s">
        <v>15</v>
      </c>
      <c r="B131" s="26">
        <v>2019.0</v>
      </c>
      <c r="C131" s="25">
        <f>MAX(MIN(1, (Fuzzy_Parameters!$C$4 - Sheet6!C131)/(Fuzzy_Parameters!$C$4 - Fuzzy_Parameters!$C$3)), 0)</f>
        <v>0</v>
      </c>
      <c r="D131" s="25">
        <f>MAX(MIN((Sheet6!C131 - Fuzzy_Parameters!$C$3)/(Fuzzy_Parameters!$C$4 - Fuzzy_Parameters!$C$3), 1, (Fuzzy_Parameters!$C$6 - Sheet6!C131)/(Fuzzy_Parameters!$C$6 - Fuzzy_Parameters!$C$5)), 0)</f>
        <v>0.3324886078</v>
      </c>
      <c r="E131" s="25">
        <f>MAX(MIN((Sheet6!C131 - Fuzzy_Parameters!$C$5)/(Fuzzy_Parameters!$C$6 - Fuzzy_Parameters!$C$5), 1), 0)</f>
        <v>0.6675113922</v>
      </c>
      <c r="F131" s="25">
        <f>MAX(MIN(1, (Fuzzy_Parameters!$C$12 - Sheet6!D131)/(Fuzzy_Parameters!$C$12 - Fuzzy_Parameters!$C$11)), 0)</f>
        <v>1</v>
      </c>
      <c r="G131" s="25">
        <f>MAX(MIN((Sheet6!D131 - Fuzzy_Parameters!$C$11)/(Fuzzy_Parameters!$C$12 - Fuzzy_Parameters!$C$11), 1, (Fuzzy_Parameters!$C$14 - Sheet6!D131)/(Fuzzy_Parameters!$C$14 - Fuzzy_Parameters!$C$13)), 0)</f>
        <v>0</v>
      </c>
      <c r="H131" s="25">
        <f>MAX(MIN((Sheet6!D131 - Fuzzy_Parameters!$C$13)/(Fuzzy_Parameters!$C$14 - Fuzzy_Parameters!$C$13), 1), 0)</f>
        <v>0</v>
      </c>
      <c r="I131" s="25">
        <f>MAX(MIN(1, (Fuzzy_Parameters!$C$20 - Sheet6!E131)/(Fuzzy_Parameters!$C$20 - Fuzzy_Parameters!$C$19)), 0)</f>
        <v>0.9516129032</v>
      </c>
      <c r="J131" s="25">
        <f>MAX(MIN((Sheet6!E131 - Fuzzy_Parameters!$C$19)/(Fuzzy_Parameters!$C$20 - Fuzzy_Parameters!$C$19), 1, (Fuzzy_Parameters!$C$22 - Sheet6!E131)/(Fuzzy_Parameters!$C$22 - Fuzzy_Parameters!$C$21)), 0)</f>
        <v>0.04838709677</v>
      </c>
      <c r="K131" s="25">
        <f>MAX(MIN((Sheet6!E131 - Fuzzy_Parameters!$C$21)/(Fuzzy_Parameters!$C$22 - Fuzzy_Parameters!$C$21), 1), 0)</f>
        <v>0</v>
      </c>
      <c r="L131" s="25">
        <f>MAX(MIN(1, (Fuzzy_Parameters!$C$28 - Sheet6!F131)/(Fuzzy_Parameters!$C$28 - Fuzzy_Parameters!$C$27)), 0)</f>
        <v>0</v>
      </c>
      <c r="M131" s="25">
        <f>MAX(MIN((Sheet6!F131 - Fuzzy_Parameters!$C$27)/(Fuzzy_Parameters!$C$28 - Fuzzy_Parameters!$C$27), 1, (Fuzzy_Parameters!$C$30 - Sheet6!F131)/(Fuzzy_Parameters!$C$30 - Fuzzy_Parameters!$C$29)), 0)</f>
        <v>0.7004080099</v>
      </c>
      <c r="N131" s="25">
        <f>MAX(MIN((Sheet6!F131 - Fuzzy_Parameters!$C$29)/(Fuzzy_Parameters!$C$30 - Fuzzy_Parameters!$C$29), 1), 0)</f>
        <v>0.2995919901</v>
      </c>
    </row>
    <row r="132">
      <c r="A132" s="6" t="s">
        <v>15</v>
      </c>
      <c r="B132" s="26">
        <v>2018.0</v>
      </c>
      <c r="C132" s="25">
        <f>MAX(MIN(1, (Fuzzy_Parameters!$C$4 - Sheet6!C132)/(Fuzzy_Parameters!$C$4 - Fuzzy_Parameters!$C$3)), 0)</f>
        <v>0</v>
      </c>
      <c r="D132" s="25">
        <f>MAX(MIN((Sheet6!C132 - Fuzzy_Parameters!$C$3)/(Fuzzy_Parameters!$C$4 - Fuzzy_Parameters!$C$3), 1, (Fuzzy_Parameters!$C$6 - Sheet6!C132)/(Fuzzy_Parameters!$C$6 - Fuzzy_Parameters!$C$5)), 0)</f>
        <v>0.6396394934</v>
      </c>
      <c r="E132" s="25">
        <f>MAX(MIN((Sheet6!C132 - Fuzzy_Parameters!$C$5)/(Fuzzy_Parameters!$C$6 - Fuzzy_Parameters!$C$5), 1), 0)</f>
        <v>0.3603605066</v>
      </c>
      <c r="F132" s="25">
        <f>MAX(MIN(1, (Fuzzy_Parameters!$C$12 - Sheet6!D132)/(Fuzzy_Parameters!$C$12 - Fuzzy_Parameters!$C$11)), 0)</f>
        <v>1</v>
      </c>
      <c r="G132" s="25">
        <f>MAX(MIN((Sheet6!D132 - Fuzzy_Parameters!$C$11)/(Fuzzy_Parameters!$C$12 - Fuzzy_Parameters!$C$11), 1, (Fuzzy_Parameters!$C$14 - Sheet6!D132)/(Fuzzy_Parameters!$C$14 - Fuzzy_Parameters!$C$13)), 0)</f>
        <v>0</v>
      </c>
      <c r="H132" s="25">
        <f>MAX(MIN((Sheet6!D132 - Fuzzy_Parameters!$C$13)/(Fuzzy_Parameters!$C$14 - Fuzzy_Parameters!$C$13), 1), 0)</f>
        <v>0</v>
      </c>
      <c r="I132" s="25">
        <f>MAX(MIN(1, (Fuzzy_Parameters!$C$20 - Sheet6!E132)/(Fuzzy_Parameters!$C$20 - Fuzzy_Parameters!$C$19)), 0)</f>
        <v>0.8709677419</v>
      </c>
      <c r="J132" s="25">
        <f>MAX(MIN((Sheet6!E132 - Fuzzy_Parameters!$C$19)/(Fuzzy_Parameters!$C$20 - Fuzzy_Parameters!$C$19), 1, (Fuzzy_Parameters!$C$22 - Sheet6!E132)/(Fuzzy_Parameters!$C$22 - Fuzzy_Parameters!$C$21)), 0)</f>
        <v>0.1290322581</v>
      </c>
      <c r="K132" s="25">
        <f>MAX(MIN((Sheet6!E132 - Fuzzy_Parameters!$C$21)/(Fuzzy_Parameters!$C$22 - Fuzzy_Parameters!$C$21), 1), 0)</f>
        <v>0</v>
      </c>
      <c r="L132" s="25">
        <f>MAX(MIN(1, (Fuzzy_Parameters!$C$28 - Sheet6!F132)/(Fuzzy_Parameters!$C$28 - Fuzzy_Parameters!$C$27)), 0)</f>
        <v>0</v>
      </c>
      <c r="M132" s="25">
        <f>MAX(MIN((Sheet6!F132 - Fuzzy_Parameters!$C$27)/(Fuzzy_Parameters!$C$28 - Fuzzy_Parameters!$C$27), 1, (Fuzzy_Parameters!$C$30 - Sheet6!F132)/(Fuzzy_Parameters!$C$30 - Fuzzy_Parameters!$C$29)), 0)</f>
        <v>0.8753549953</v>
      </c>
      <c r="N132" s="25">
        <f>MAX(MIN((Sheet6!F132 - Fuzzy_Parameters!$C$29)/(Fuzzy_Parameters!$C$30 - Fuzzy_Parameters!$C$29), 1), 0)</f>
        <v>0.1246450047</v>
      </c>
    </row>
    <row r="133">
      <c r="A133" s="6" t="s">
        <v>15</v>
      </c>
      <c r="B133" s="26">
        <v>2017.0</v>
      </c>
      <c r="C133" s="25">
        <f>MAX(MIN(1, (Fuzzy_Parameters!$C$4 - Sheet6!C133)/(Fuzzy_Parameters!$C$4 - Fuzzy_Parameters!$C$3)), 0)</f>
        <v>0</v>
      </c>
      <c r="D133" s="25">
        <f>MAX(MIN((Sheet6!C133 - Fuzzy_Parameters!$C$3)/(Fuzzy_Parameters!$C$4 - Fuzzy_Parameters!$C$3), 1, (Fuzzy_Parameters!$C$6 - Sheet6!C133)/(Fuzzy_Parameters!$C$6 - Fuzzy_Parameters!$C$5)), 0)</f>
        <v>0.9054055154</v>
      </c>
      <c r="E133" s="25">
        <f>MAX(MIN((Sheet6!C133 - Fuzzy_Parameters!$C$5)/(Fuzzy_Parameters!$C$6 - Fuzzy_Parameters!$C$5), 1), 0)</f>
        <v>0.09459448461</v>
      </c>
      <c r="F133" s="25">
        <f>MAX(MIN(1, (Fuzzy_Parameters!$C$12 - Sheet6!D133)/(Fuzzy_Parameters!$C$12 - Fuzzy_Parameters!$C$11)), 0)</f>
        <v>1</v>
      </c>
      <c r="G133" s="25">
        <f>MAX(MIN((Sheet6!D133 - Fuzzy_Parameters!$C$11)/(Fuzzy_Parameters!$C$12 - Fuzzy_Parameters!$C$11), 1, (Fuzzy_Parameters!$C$14 - Sheet6!D133)/(Fuzzy_Parameters!$C$14 - Fuzzy_Parameters!$C$13)), 0)</f>
        <v>0</v>
      </c>
      <c r="H133" s="25">
        <f>MAX(MIN((Sheet6!D133 - Fuzzy_Parameters!$C$13)/(Fuzzy_Parameters!$C$14 - Fuzzy_Parameters!$C$13), 1), 0)</f>
        <v>0</v>
      </c>
      <c r="I133" s="25">
        <f>MAX(MIN(1, (Fuzzy_Parameters!$C$20 - Sheet6!E133)/(Fuzzy_Parameters!$C$20 - Fuzzy_Parameters!$C$19)), 0)</f>
        <v>1</v>
      </c>
      <c r="J133" s="25">
        <f>MAX(MIN((Sheet6!E133 - Fuzzy_Parameters!$C$19)/(Fuzzy_Parameters!$C$20 - Fuzzy_Parameters!$C$19), 1, (Fuzzy_Parameters!$C$22 - Sheet6!E133)/(Fuzzy_Parameters!$C$22 - Fuzzy_Parameters!$C$21)), 0)</f>
        <v>0</v>
      </c>
      <c r="K133" s="25">
        <f>MAX(MIN((Sheet6!E133 - Fuzzy_Parameters!$C$21)/(Fuzzy_Parameters!$C$22 - Fuzzy_Parameters!$C$21), 1), 0)</f>
        <v>0</v>
      </c>
      <c r="L133" s="25">
        <f>MAX(MIN(1, (Fuzzy_Parameters!$C$28 - Sheet6!F133)/(Fuzzy_Parameters!$C$28 - Fuzzy_Parameters!$C$27)), 0)</f>
        <v>0</v>
      </c>
      <c r="M133" s="25">
        <f>MAX(MIN((Sheet6!F133 - Fuzzy_Parameters!$C$27)/(Fuzzy_Parameters!$C$28 - Fuzzy_Parameters!$C$27), 1, (Fuzzy_Parameters!$C$30 - Sheet6!F133)/(Fuzzy_Parameters!$C$30 - Fuzzy_Parameters!$C$29)), 0)</f>
        <v>0.8650305659</v>
      </c>
      <c r="N133" s="25">
        <f>MAX(MIN((Sheet6!F133 - Fuzzy_Parameters!$C$29)/(Fuzzy_Parameters!$C$30 - Fuzzy_Parameters!$C$29), 1), 0)</f>
        <v>0.1349694341</v>
      </c>
    </row>
    <row r="134">
      <c r="A134" s="6" t="s">
        <v>15</v>
      </c>
      <c r="B134" s="26">
        <v>2016.0</v>
      </c>
      <c r="C134" s="25">
        <f>MAX(MIN(1, (Fuzzy_Parameters!$C$4 - Sheet6!C134)/(Fuzzy_Parameters!$C$4 - Fuzzy_Parameters!$C$3)), 0)</f>
        <v>0</v>
      </c>
      <c r="D134" s="25">
        <f>MAX(MIN((Sheet6!C134 - Fuzzy_Parameters!$C$3)/(Fuzzy_Parameters!$C$4 - Fuzzy_Parameters!$C$3), 1, (Fuzzy_Parameters!$C$6 - Sheet6!C134)/(Fuzzy_Parameters!$C$6 - Fuzzy_Parameters!$C$5)), 0)</f>
        <v>0.8429052684</v>
      </c>
      <c r="E134" s="25">
        <f>MAX(MIN((Sheet6!C134 - Fuzzy_Parameters!$C$5)/(Fuzzy_Parameters!$C$6 - Fuzzy_Parameters!$C$5), 1), 0)</f>
        <v>0.1570947316</v>
      </c>
      <c r="F134" s="25">
        <f>MAX(MIN(1, (Fuzzy_Parameters!$C$12 - Sheet6!D134)/(Fuzzy_Parameters!$C$12 - Fuzzy_Parameters!$C$11)), 0)</f>
        <v>1</v>
      </c>
      <c r="G134" s="25">
        <f>MAX(MIN((Sheet6!D134 - Fuzzy_Parameters!$C$11)/(Fuzzy_Parameters!$C$12 - Fuzzy_Parameters!$C$11), 1, (Fuzzy_Parameters!$C$14 - Sheet6!D134)/(Fuzzy_Parameters!$C$14 - Fuzzy_Parameters!$C$13)), 0)</f>
        <v>0</v>
      </c>
      <c r="H134" s="25">
        <f>MAX(MIN((Sheet6!D134 - Fuzzy_Parameters!$C$13)/(Fuzzy_Parameters!$C$14 - Fuzzy_Parameters!$C$13), 1), 0)</f>
        <v>0</v>
      </c>
      <c r="I134" s="25">
        <f>MAX(MIN(1, (Fuzzy_Parameters!$C$20 - Sheet6!E134)/(Fuzzy_Parameters!$C$20 - Fuzzy_Parameters!$C$19)), 0)</f>
        <v>1</v>
      </c>
      <c r="J134" s="25">
        <f>MAX(MIN((Sheet6!E134 - Fuzzy_Parameters!$C$19)/(Fuzzy_Parameters!$C$20 - Fuzzy_Parameters!$C$19), 1, (Fuzzy_Parameters!$C$22 - Sheet6!E134)/(Fuzzy_Parameters!$C$22 - Fuzzy_Parameters!$C$21)), 0)</f>
        <v>0</v>
      </c>
      <c r="K134" s="25">
        <f>MAX(MIN((Sheet6!E134 - Fuzzy_Parameters!$C$21)/(Fuzzy_Parameters!$C$22 - Fuzzy_Parameters!$C$21), 1), 0)</f>
        <v>0</v>
      </c>
      <c r="L134" s="25">
        <f>MAX(MIN(1, (Fuzzy_Parameters!$C$28 - Sheet6!F134)/(Fuzzy_Parameters!$C$28 - Fuzzy_Parameters!$C$27)), 0)</f>
        <v>0</v>
      </c>
      <c r="M134" s="25">
        <f>MAX(MIN((Sheet6!F134 - Fuzzy_Parameters!$C$27)/(Fuzzy_Parameters!$C$28 - Fuzzy_Parameters!$C$27), 1, (Fuzzy_Parameters!$C$30 - Sheet6!F134)/(Fuzzy_Parameters!$C$30 - Fuzzy_Parameters!$C$29)), 0)</f>
        <v>0.7141682416</v>
      </c>
      <c r="N134" s="25">
        <f>MAX(MIN((Sheet6!F134 - Fuzzy_Parameters!$C$29)/(Fuzzy_Parameters!$C$30 - Fuzzy_Parameters!$C$29), 1), 0)</f>
        <v>0.2858317584</v>
      </c>
    </row>
    <row r="135">
      <c r="A135" s="6" t="s">
        <v>15</v>
      </c>
      <c r="B135" s="26">
        <v>2015.0</v>
      </c>
      <c r="C135" s="25">
        <f>MAX(MIN(1, (Fuzzy_Parameters!$C$4 - Sheet6!C135)/(Fuzzy_Parameters!$C$4 - Fuzzy_Parameters!$C$3)), 0)</f>
        <v>0</v>
      </c>
      <c r="D135" s="25">
        <f>MAX(MIN((Sheet6!C135 - Fuzzy_Parameters!$C$3)/(Fuzzy_Parameters!$C$4 - Fuzzy_Parameters!$C$3), 1, (Fuzzy_Parameters!$C$6 - Sheet6!C135)/(Fuzzy_Parameters!$C$6 - Fuzzy_Parameters!$C$5)), 0)</f>
        <v>0.6821509963</v>
      </c>
      <c r="E135" s="25">
        <f>MAX(MIN((Sheet6!C135 - Fuzzy_Parameters!$C$5)/(Fuzzy_Parameters!$C$6 - Fuzzy_Parameters!$C$5), 1), 0)</f>
        <v>0.3178490037</v>
      </c>
      <c r="F135" s="25">
        <f>MAX(MIN(1, (Fuzzy_Parameters!$C$12 - Sheet6!D135)/(Fuzzy_Parameters!$C$12 - Fuzzy_Parameters!$C$11)), 0)</f>
        <v>0</v>
      </c>
      <c r="G135" s="25">
        <f>MAX(MIN((Sheet6!D135 - Fuzzy_Parameters!$C$11)/(Fuzzy_Parameters!$C$12 - Fuzzy_Parameters!$C$11), 1, (Fuzzy_Parameters!$C$14 - Sheet6!D135)/(Fuzzy_Parameters!$C$14 - Fuzzy_Parameters!$C$13)), 0)</f>
        <v>0.6013473889</v>
      </c>
      <c r="H135" s="25">
        <f>MAX(MIN((Sheet6!D135 - Fuzzy_Parameters!$C$13)/(Fuzzy_Parameters!$C$14 - Fuzzy_Parameters!$C$13), 1), 0)</f>
        <v>0.3986526111</v>
      </c>
      <c r="I135" s="25">
        <f>MAX(MIN(1, (Fuzzy_Parameters!$C$20 - Sheet6!E135)/(Fuzzy_Parameters!$C$20 - Fuzzy_Parameters!$C$19)), 0)</f>
        <v>0.7096774194</v>
      </c>
      <c r="J135" s="25">
        <f>MAX(MIN((Sheet6!E135 - Fuzzy_Parameters!$C$19)/(Fuzzy_Parameters!$C$20 - Fuzzy_Parameters!$C$19), 1, (Fuzzy_Parameters!$C$22 - Sheet6!E135)/(Fuzzy_Parameters!$C$22 - Fuzzy_Parameters!$C$21)), 0)</f>
        <v>0.2903225806</v>
      </c>
      <c r="K135" s="25">
        <f>MAX(MIN((Sheet6!E135 - Fuzzy_Parameters!$C$21)/(Fuzzy_Parameters!$C$22 - Fuzzy_Parameters!$C$21), 1), 0)</f>
        <v>0</v>
      </c>
      <c r="L135" s="25">
        <f>MAX(MIN(1, (Fuzzy_Parameters!$C$28 - Sheet6!F135)/(Fuzzy_Parameters!$C$28 - Fuzzy_Parameters!$C$27)), 0)</f>
        <v>0</v>
      </c>
      <c r="M135" s="25">
        <f>MAX(MIN((Sheet6!F135 - Fuzzy_Parameters!$C$27)/(Fuzzy_Parameters!$C$28 - Fuzzy_Parameters!$C$27), 1, (Fuzzy_Parameters!$C$30 - Sheet6!F135)/(Fuzzy_Parameters!$C$30 - Fuzzy_Parameters!$C$29)), 0)</f>
        <v>0.704979279</v>
      </c>
      <c r="N135" s="25">
        <f>MAX(MIN((Sheet6!F135 - Fuzzy_Parameters!$C$29)/(Fuzzy_Parameters!$C$30 - Fuzzy_Parameters!$C$29), 1), 0)</f>
        <v>0.295020721</v>
      </c>
    </row>
    <row r="136">
      <c r="A136" s="56" t="s">
        <v>15</v>
      </c>
      <c r="B136" s="57">
        <v>2014.0</v>
      </c>
      <c r="C136" s="25">
        <f>MAX(MIN(1, (Fuzzy_Parameters!$C$4 - Sheet6!C136)/(Fuzzy_Parameters!$C$4 - Fuzzy_Parameters!$C$3)), 0)</f>
        <v>0</v>
      </c>
      <c r="D136" s="25">
        <f>MAX(MIN((Sheet6!C136 - Fuzzy_Parameters!$C$3)/(Fuzzy_Parameters!$C$4 - Fuzzy_Parameters!$C$3), 1, (Fuzzy_Parameters!$C$6 - Sheet6!C136)/(Fuzzy_Parameters!$C$6 - Fuzzy_Parameters!$C$5)), 0)</f>
        <v>0.6351350472</v>
      </c>
      <c r="E136" s="25">
        <f>MAX(MIN((Sheet6!C136 - Fuzzy_Parameters!$C$5)/(Fuzzy_Parameters!$C$6 - Fuzzy_Parameters!$C$5), 1), 0)</f>
        <v>0.3648649528</v>
      </c>
      <c r="F136" s="25">
        <f>MAX(MIN(1, (Fuzzy_Parameters!$C$12 - Sheet6!D136)/(Fuzzy_Parameters!$C$12 - Fuzzy_Parameters!$C$11)), 0)</f>
        <v>0</v>
      </c>
      <c r="G136" s="25">
        <f>MAX(MIN((Sheet6!D136 - Fuzzy_Parameters!$C$11)/(Fuzzy_Parameters!$C$12 - Fuzzy_Parameters!$C$11), 1, (Fuzzy_Parameters!$C$14 - Sheet6!D136)/(Fuzzy_Parameters!$C$14 - Fuzzy_Parameters!$C$13)), 0)</f>
        <v>0.8686130178</v>
      </c>
      <c r="H136" s="25">
        <f>MAX(MIN((Sheet6!D136 - Fuzzy_Parameters!$C$13)/(Fuzzy_Parameters!$C$14 - Fuzzy_Parameters!$C$13), 1), 0)</f>
        <v>0.1313869822</v>
      </c>
      <c r="I136" s="25">
        <f>MAX(MIN(1, (Fuzzy_Parameters!$C$20 - Sheet6!E136)/(Fuzzy_Parameters!$C$20 - Fuzzy_Parameters!$C$19)), 0)</f>
        <v>0.9919354839</v>
      </c>
      <c r="J136" s="25">
        <f>MAX(MIN((Sheet6!E136 - Fuzzy_Parameters!$C$19)/(Fuzzy_Parameters!$C$20 - Fuzzy_Parameters!$C$19), 1, (Fuzzy_Parameters!$C$22 - Sheet6!E136)/(Fuzzy_Parameters!$C$22 - Fuzzy_Parameters!$C$21)), 0)</f>
        <v>0.008064516129</v>
      </c>
      <c r="K136" s="25">
        <f>MAX(MIN((Sheet6!E136 - Fuzzy_Parameters!$C$21)/(Fuzzy_Parameters!$C$22 - Fuzzy_Parameters!$C$21), 1), 0)</f>
        <v>0</v>
      </c>
      <c r="L136" s="25">
        <f>MAX(MIN(1, (Fuzzy_Parameters!$C$28 - Sheet6!F136)/(Fuzzy_Parameters!$C$28 - Fuzzy_Parameters!$C$27)), 0)</f>
        <v>0</v>
      </c>
      <c r="M136" s="25">
        <f>MAX(MIN((Sheet6!F136 - Fuzzy_Parameters!$C$27)/(Fuzzy_Parameters!$C$28 - Fuzzy_Parameters!$C$27), 1, (Fuzzy_Parameters!$C$30 - Sheet6!F136)/(Fuzzy_Parameters!$C$30 - Fuzzy_Parameters!$C$29)), 0)</f>
        <v>0.6537571569</v>
      </c>
      <c r="N136" s="25">
        <f>MAX(MIN((Sheet6!F136 - Fuzzy_Parameters!$C$29)/(Fuzzy_Parameters!$C$30 - Fuzzy_Parameters!$C$29), 1), 0)</f>
        <v>0.3462428431</v>
      </c>
    </row>
    <row r="137">
      <c r="A137" s="6" t="s">
        <v>16</v>
      </c>
      <c r="B137" s="26">
        <v>2022.0</v>
      </c>
      <c r="C137" s="25">
        <f>MAX(MIN(1, (Fuzzy_Parameters!$C$4 - Sheet6!C137)/(Fuzzy_Parameters!$C$4 - Fuzzy_Parameters!$C$3)), 0)</f>
        <v>0</v>
      </c>
      <c r="D137" s="25">
        <f>MAX(MIN((Sheet6!C137 - Fuzzy_Parameters!$C$3)/(Fuzzy_Parameters!$C$4 - Fuzzy_Parameters!$C$3), 1, (Fuzzy_Parameters!$C$6 - Sheet6!C137)/(Fuzzy_Parameters!$C$6 - Fuzzy_Parameters!$C$5)), 0)</f>
        <v>0.4611487004</v>
      </c>
      <c r="E137" s="25">
        <f>MAX(MIN((Sheet6!C137 - Fuzzy_Parameters!$C$5)/(Fuzzy_Parameters!$C$6 - Fuzzy_Parameters!$C$5), 1), 0)</f>
        <v>0.5388512996</v>
      </c>
      <c r="F137" s="25">
        <f>MAX(MIN(1, (Fuzzy_Parameters!$C$12 - Sheet6!D137)/(Fuzzy_Parameters!$C$12 - Fuzzy_Parameters!$C$11)), 0)</f>
        <v>0</v>
      </c>
      <c r="G137" s="25">
        <f>MAX(MIN((Sheet6!D137 - Fuzzy_Parameters!$C$11)/(Fuzzy_Parameters!$C$12 - Fuzzy_Parameters!$C$11), 1, (Fuzzy_Parameters!$C$14 - Sheet6!D137)/(Fuzzy_Parameters!$C$14 - Fuzzy_Parameters!$C$13)), 0)</f>
        <v>1</v>
      </c>
      <c r="H137" s="25">
        <f>MAX(MIN((Sheet6!D137 - Fuzzy_Parameters!$C$13)/(Fuzzy_Parameters!$C$14 - Fuzzy_Parameters!$C$13), 1), 0)</f>
        <v>0</v>
      </c>
      <c r="I137" s="25">
        <f>MAX(MIN(1, (Fuzzy_Parameters!$C$20 - Sheet6!E137)/(Fuzzy_Parameters!$C$20 - Fuzzy_Parameters!$C$19)), 0)</f>
        <v>1</v>
      </c>
      <c r="J137" s="25">
        <f>MAX(MIN((Sheet6!E137 - Fuzzy_Parameters!$C$19)/(Fuzzy_Parameters!$C$20 - Fuzzy_Parameters!$C$19), 1, (Fuzzy_Parameters!$C$22 - Sheet6!E137)/(Fuzzy_Parameters!$C$22 - Fuzzy_Parameters!$C$21)), 0)</f>
        <v>0</v>
      </c>
      <c r="K137" s="25">
        <f>MAX(MIN((Sheet6!E137 - Fuzzy_Parameters!$C$21)/(Fuzzy_Parameters!$C$22 - Fuzzy_Parameters!$C$21), 1), 0)</f>
        <v>0</v>
      </c>
      <c r="L137" s="25">
        <f>MAX(MIN(1, (Fuzzy_Parameters!$C$28 - Sheet6!F137)/(Fuzzy_Parameters!$C$28 - Fuzzy_Parameters!$C$27)), 0)</f>
        <v>0</v>
      </c>
      <c r="M137" s="25">
        <f>MAX(MIN((Sheet6!F137 - Fuzzy_Parameters!$C$27)/(Fuzzy_Parameters!$C$28 - Fuzzy_Parameters!$C$27), 1, (Fuzzy_Parameters!$C$30 - Sheet6!F137)/(Fuzzy_Parameters!$C$30 - Fuzzy_Parameters!$C$29)), 0)</f>
        <v>0.9174430904</v>
      </c>
      <c r="N137" s="25">
        <f>MAX(MIN((Sheet6!F137 - Fuzzy_Parameters!$C$29)/(Fuzzy_Parameters!$C$30 - Fuzzy_Parameters!$C$29), 1), 0)</f>
        <v>0.08255690963</v>
      </c>
    </row>
    <row r="138">
      <c r="A138" s="6" t="s">
        <v>16</v>
      </c>
      <c r="B138" s="26">
        <v>2021.0</v>
      </c>
      <c r="C138" s="25">
        <f>MAX(MIN(1, (Fuzzy_Parameters!$C$4 - Sheet6!C138)/(Fuzzy_Parameters!$C$4 - Fuzzy_Parameters!$C$3)), 0)</f>
        <v>0.3478253451</v>
      </c>
      <c r="D138" s="25">
        <f>MAX(MIN((Sheet6!C138 - Fuzzy_Parameters!$C$3)/(Fuzzy_Parameters!$C$4 - Fuzzy_Parameters!$C$3), 1, (Fuzzy_Parameters!$C$6 - Sheet6!C138)/(Fuzzy_Parameters!$C$6 - Fuzzy_Parameters!$C$5)), 0)</f>
        <v>0.6521746549</v>
      </c>
      <c r="E138" s="25">
        <f>MAX(MIN((Sheet6!C138 - Fuzzy_Parameters!$C$5)/(Fuzzy_Parameters!$C$6 - Fuzzy_Parameters!$C$5), 1), 0)</f>
        <v>0</v>
      </c>
      <c r="F138" s="25">
        <f>MAX(MIN(1, (Fuzzy_Parameters!$C$12 - Sheet6!D138)/(Fuzzy_Parameters!$C$12 - Fuzzy_Parameters!$C$11)), 0)</f>
        <v>0.03505671519</v>
      </c>
      <c r="G138" s="25">
        <f>MAX(MIN((Sheet6!D138 - Fuzzy_Parameters!$C$11)/(Fuzzy_Parameters!$C$12 - Fuzzy_Parameters!$C$11), 1, (Fuzzy_Parameters!$C$14 - Sheet6!D138)/(Fuzzy_Parameters!$C$14 - Fuzzy_Parameters!$C$13)), 0)</f>
        <v>0.9649432848</v>
      </c>
      <c r="H138" s="25">
        <f>MAX(MIN((Sheet6!D138 - Fuzzy_Parameters!$C$13)/(Fuzzy_Parameters!$C$14 - Fuzzy_Parameters!$C$13), 1), 0)</f>
        <v>0</v>
      </c>
      <c r="I138" s="25">
        <f>MAX(MIN(1, (Fuzzy_Parameters!$C$20 - Sheet6!E138)/(Fuzzy_Parameters!$C$20 - Fuzzy_Parameters!$C$19)), 0)</f>
        <v>1</v>
      </c>
      <c r="J138" s="25">
        <f>MAX(MIN((Sheet6!E138 - Fuzzy_Parameters!$C$19)/(Fuzzy_Parameters!$C$20 - Fuzzy_Parameters!$C$19), 1, (Fuzzy_Parameters!$C$22 - Sheet6!E138)/(Fuzzy_Parameters!$C$22 - Fuzzy_Parameters!$C$21)), 0)</f>
        <v>0</v>
      </c>
      <c r="K138" s="25">
        <f>MAX(MIN((Sheet6!E138 - Fuzzy_Parameters!$C$21)/(Fuzzy_Parameters!$C$22 - Fuzzy_Parameters!$C$21), 1), 0)</f>
        <v>0</v>
      </c>
      <c r="L138" s="25">
        <f>MAX(MIN(1, (Fuzzy_Parameters!$C$28 - Sheet6!F138)/(Fuzzy_Parameters!$C$28 - Fuzzy_Parameters!$C$27)), 0)</f>
        <v>0</v>
      </c>
      <c r="M138" s="25">
        <f>MAX(MIN((Sheet6!F138 - Fuzzy_Parameters!$C$27)/(Fuzzy_Parameters!$C$28 - Fuzzy_Parameters!$C$27), 1, (Fuzzy_Parameters!$C$30 - Sheet6!F138)/(Fuzzy_Parameters!$C$30 - Fuzzy_Parameters!$C$29)), 0)</f>
        <v>0.9999998381</v>
      </c>
      <c r="N138" s="25">
        <f>MAX(MIN((Sheet6!F138 - Fuzzy_Parameters!$C$29)/(Fuzzy_Parameters!$C$30 - Fuzzy_Parameters!$C$29), 1), 0)</f>
        <v>0.0000001619143645</v>
      </c>
    </row>
    <row r="139">
      <c r="A139" s="6" t="s">
        <v>16</v>
      </c>
      <c r="B139" s="26">
        <v>2020.0</v>
      </c>
      <c r="C139" s="25">
        <f>MAX(MIN(1, (Fuzzy_Parameters!$C$4 - Sheet6!C139)/(Fuzzy_Parameters!$C$4 - Fuzzy_Parameters!$C$3)), 0)</f>
        <v>1</v>
      </c>
      <c r="D139" s="25">
        <f>MAX(MIN((Sheet6!C139 - Fuzzy_Parameters!$C$3)/(Fuzzy_Parameters!$C$4 - Fuzzy_Parameters!$C$3), 1, (Fuzzy_Parameters!$C$6 - Sheet6!C139)/(Fuzzy_Parameters!$C$6 - Fuzzy_Parameters!$C$5)), 0)</f>
        <v>0</v>
      </c>
      <c r="E139" s="25">
        <f>MAX(MIN((Sheet6!C139 - Fuzzy_Parameters!$C$5)/(Fuzzy_Parameters!$C$6 - Fuzzy_Parameters!$C$5), 1), 0)</f>
        <v>0</v>
      </c>
      <c r="F139" s="25">
        <f>MAX(MIN(1, (Fuzzy_Parameters!$C$12 - Sheet6!D139)/(Fuzzy_Parameters!$C$12 - Fuzzy_Parameters!$C$11)), 0)</f>
        <v>0</v>
      </c>
      <c r="G139" s="25">
        <f>MAX(MIN((Sheet6!D139 - Fuzzy_Parameters!$C$11)/(Fuzzy_Parameters!$C$12 - Fuzzy_Parameters!$C$11), 1, (Fuzzy_Parameters!$C$14 - Sheet6!D139)/(Fuzzy_Parameters!$C$14 - Fuzzy_Parameters!$C$13)), 0)</f>
        <v>0</v>
      </c>
      <c r="H139" s="25">
        <f>MAX(MIN((Sheet6!D139 - Fuzzy_Parameters!$C$13)/(Fuzzy_Parameters!$C$14 - Fuzzy_Parameters!$C$13), 1), 0)</f>
        <v>1</v>
      </c>
      <c r="I139" s="25">
        <f>MAX(MIN(1, (Fuzzy_Parameters!$C$20 - Sheet6!E139)/(Fuzzy_Parameters!$C$20 - Fuzzy_Parameters!$C$19)), 0)</f>
        <v>1</v>
      </c>
      <c r="J139" s="25">
        <f>MAX(MIN((Sheet6!E139 - Fuzzy_Parameters!$C$19)/(Fuzzy_Parameters!$C$20 - Fuzzy_Parameters!$C$19), 1, (Fuzzy_Parameters!$C$22 - Sheet6!E139)/(Fuzzy_Parameters!$C$22 - Fuzzy_Parameters!$C$21)), 0)</f>
        <v>0</v>
      </c>
      <c r="K139" s="25">
        <f>MAX(MIN((Sheet6!E139 - Fuzzy_Parameters!$C$21)/(Fuzzy_Parameters!$C$22 - Fuzzy_Parameters!$C$21), 1), 0)</f>
        <v>0</v>
      </c>
      <c r="L139" s="25">
        <f>MAX(MIN(1, (Fuzzy_Parameters!$C$28 - Sheet6!F139)/(Fuzzy_Parameters!$C$28 - Fuzzy_Parameters!$C$27)), 0)</f>
        <v>0</v>
      </c>
      <c r="M139" s="25">
        <f>MAX(MIN((Sheet6!F139 - Fuzzy_Parameters!$C$27)/(Fuzzy_Parameters!$C$28 - Fuzzy_Parameters!$C$27), 1, (Fuzzy_Parameters!$C$30 - Sheet6!F139)/(Fuzzy_Parameters!$C$30 - Fuzzy_Parameters!$C$29)), 0)</f>
        <v>0.9281690919</v>
      </c>
      <c r="N139" s="25">
        <f>MAX(MIN((Sheet6!F139 - Fuzzy_Parameters!$C$29)/(Fuzzy_Parameters!$C$30 - Fuzzy_Parameters!$C$29), 1), 0)</f>
        <v>0.07183090807</v>
      </c>
    </row>
    <row r="140">
      <c r="A140" s="6" t="s">
        <v>16</v>
      </c>
      <c r="B140" s="26">
        <v>2019.0</v>
      </c>
      <c r="C140" s="25">
        <f>MAX(MIN(1, (Fuzzy_Parameters!$C$4 - Sheet6!C140)/(Fuzzy_Parameters!$C$4 - Fuzzy_Parameters!$C$3)), 0)</f>
        <v>0</v>
      </c>
      <c r="D140" s="25">
        <f>MAX(MIN((Sheet6!C140 - Fuzzy_Parameters!$C$3)/(Fuzzy_Parameters!$C$4 - Fuzzy_Parameters!$C$3), 1, (Fuzzy_Parameters!$C$6 - Sheet6!C140)/(Fuzzy_Parameters!$C$6 - Fuzzy_Parameters!$C$5)), 0)</f>
        <v>0.7463398829</v>
      </c>
      <c r="E140" s="25">
        <f>MAX(MIN((Sheet6!C140 - Fuzzy_Parameters!$C$5)/(Fuzzy_Parameters!$C$6 - Fuzzy_Parameters!$C$5), 1), 0)</f>
        <v>0.2536601171</v>
      </c>
      <c r="F140" s="25">
        <f>MAX(MIN(1, (Fuzzy_Parameters!$C$12 - Sheet6!D140)/(Fuzzy_Parameters!$C$12 - Fuzzy_Parameters!$C$11)), 0)</f>
        <v>0</v>
      </c>
      <c r="G140" s="25">
        <f>MAX(MIN((Sheet6!D140 - Fuzzy_Parameters!$C$11)/(Fuzzy_Parameters!$C$12 - Fuzzy_Parameters!$C$11), 1, (Fuzzy_Parameters!$C$14 - Sheet6!D140)/(Fuzzy_Parameters!$C$14 - Fuzzy_Parameters!$C$13)), 0)</f>
        <v>1</v>
      </c>
      <c r="H140" s="25">
        <f>MAX(MIN((Sheet6!D140 - Fuzzy_Parameters!$C$13)/(Fuzzy_Parameters!$C$14 - Fuzzy_Parameters!$C$13), 1), 0)</f>
        <v>0</v>
      </c>
      <c r="I140" s="25">
        <f>MAX(MIN(1, (Fuzzy_Parameters!$C$20 - Sheet6!E140)/(Fuzzy_Parameters!$C$20 - Fuzzy_Parameters!$C$19)), 0)</f>
        <v>1</v>
      </c>
      <c r="J140" s="25">
        <f>MAX(MIN((Sheet6!E140 - Fuzzy_Parameters!$C$19)/(Fuzzy_Parameters!$C$20 - Fuzzy_Parameters!$C$19), 1, (Fuzzy_Parameters!$C$22 - Sheet6!E140)/(Fuzzy_Parameters!$C$22 - Fuzzy_Parameters!$C$21)), 0)</f>
        <v>0</v>
      </c>
      <c r="K140" s="25">
        <f>MAX(MIN((Sheet6!E140 - Fuzzy_Parameters!$C$21)/(Fuzzy_Parameters!$C$22 - Fuzzy_Parameters!$C$21), 1), 0)</f>
        <v>0</v>
      </c>
      <c r="L140" s="25">
        <f>MAX(MIN(1, (Fuzzy_Parameters!$C$28 - Sheet6!F140)/(Fuzzy_Parameters!$C$28 - Fuzzy_Parameters!$C$27)), 0)</f>
        <v>0</v>
      </c>
      <c r="M140" s="25">
        <f>MAX(MIN((Sheet6!F140 - Fuzzy_Parameters!$C$27)/(Fuzzy_Parameters!$C$28 - Fuzzy_Parameters!$C$27), 1, (Fuzzy_Parameters!$C$30 - Sheet6!F140)/(Fuzzy_Parameters!$C$30 - Fuzzy_Parameters!$C$29)), 0)</f>
        <v>1</v>
      </c>
      <c r="N140" s="25">
        <f>MAX(MIN((Sheet6!F140 - Fuzzy_Parameters!$C$29)/(Fuzzy_Parameters!$C$30 - Fuzzy_Parameters!$C$29), 1), 0)</f>
        <v>0</v>
      </c>
    </row>
    <row r="141">
      <c r="A141" s="6" t="s">
        <v>16</v>
      </c>
      <c r="B141" s="26">
        <v>2018.0</v>
      </c>
      <c r="C141" s="25">
        <f>MAX(MIN(1, (Fuzzy_Parameters!$C$4 - Sheet6!C141)/(Fuzzy_Parameters!$C$4 - Fuzzy_Parameters!$C$3)), 0)</f>
        <v>0</v>
      </c>
      <c r="D141" s="25">
        <f>MAX(MIN((Sheet6!C141 - Fuzzy_Parameters!$C$3)/(Fuzzy_Parameters!$C$4 - Fuzzy_Parameters!$C$3), 1, (Fuzzy_Parameters!$C$6 - Sheet6!C141)/(Fuzzy_Parameters!$C$6 - Fuzzy_Parameters!$C$5)), 0)</f>
        <v>0.1787722691</v>
      </c>
      <c r="E141" s="25">
        <f>MAX(MIN((Sheet6!C141 - Fuzzy_Parameters!$C$5)/(Fuzzy_Parameters!$C$6 - Fuzzy_Parameters!$C$5), 1), 0)</f>
        <v>0.8212277309</v>
      </c>
      <c r="F141" s="25">
        <f>MAX(MIN(1, (Fuzzy_Parameters!$C$12 - Sheet6!D141)/(Fuzzy_Parameters!$C$12 - Fuzzy_Parameters!$C$11)), 0)</f>
        <v>0.3128831324</v>
      </c>
      <c r="G141" s="25">
        <f>MAX(MIN((Sheet6!D141 - Fuzzy_Parameters!$C$11)/(Fuzzy_Parameters!$C$12 - Fuzzy_Parameters!$C$11), 1, (Fuzzy_Parameters!$C$14 - Sheet6!D141)/(Fuzzy_Parameters!$C$14 - Fuzzy_Parameters!$C$13)), 0)</f>
        <v>0.6871168676</v>
      </c>
      <c r="H141" s="25">
        <f>MAX(MIN((Sheet6!D141 - Fuzzy_Parameters!$C$13)/(Fuzzy_Parameters!$C$14 - Fuzzy_Parameters!$C$13), 1), 0)</f>
        <v>0</v>
      </c>
      <c r="I141" s="25">
        <f>MAX(MIN(1, (Fuzzy_Parameters!$C$20 - Sheet6!E141)/(Fuzzy_Parameters!$C$20 - Fuzzy_Parameters!$C$19)), 0)</f>
        <v>1</v>
      </c>
      <c r="J141" s="25">
        <f>MAX(MIN((Sheet6!E141 - Fuzzy_Parameters!$C$19)/(Fuzzy_Parameters!$C$20 - Fuzzy_Parameters!$C$19), 1, (Fuzzy_Parameters!$C$22 - Sheet6!E141)/(Fuzzy_Parameters!$C$22 - Fuzzy_Parameters!$C$21)), 0)</f>
        <v>0</v>
      </c>
      <c r="K141" s="25">
        <f>MAX(MIN((Sheet6!E141 - Fuzzy_Parameters!$C$21)/(Fuzzy_Parameters!$C$22 - Fuzzy_Parameters!$C$21), 1), 0)</f>
        <v>0</v>
      </c>
      <c r="L141" s="25">
        <f>MAX(MIN(1, (Fuzzy_Parameters!$C$28 - Sheet6!F141)/(Fuzzy_Parameters!$C$28 - Fuzzy_Parameters!$C$27)), 0)</f>
        <v>0</v>
      </c>
      <c r="M141" s="25">
        <f>MAX(MIN((Sheet6!F141 - Fuzzy_Parameters!$C$27)/(Fuzzy_Parameters!$C$28 - Fuzzy_Parameters!$C$27), 1, (Fuzzy_Parameters!$C$30 - Sheet6!F141)/(Fuzzy_Parameters!$C$30 - Fuzzy_Parameters!$C$29)), 0)</f>
        <v>1</v>
      </c>
      <c r="N141" s="25">
        <f>MAX(MIN((Sheet6!F141 - Fuzzy_Parameters!$C$29)/(Fuzzy_Parameters!$C$30 - Fuzzy_Parameters!$C$29), 1), 0)</f>
        <v>0</v>
      </c>
    </row>
    <row r="142">
      <c r="A142" s="6" t="s">
        <v>16</v>
      </c>
      <c r="B142" s="26">
        <v>2017.0</v>
      </c>
      <c r="C142" s="25">
        <f>MAX(MIN(1, (Fuzzy_Parameters!$C$4 - Sheet6!C142)/(Fuzzy_Parameters!$C$4 - Fuzzy_Parameters!$C$3)), 0)</f>
        <v>0</v>
      </c>
      <c r="D142" s="25">
        <f>MAX(MIN((Sheet6!C142 - Fuzzy_Parameters!$C$3)/(Fuzzy_Parameters!$C$4 - Fuzzy_Parameters!$C$3), 1, (Fuzzy_Parameters!$C$6 - Sheet6!C142)/(Fuzzy_Parameters!$C$6 - Fuzzy_Parameters!$C$5)), 0)</f>
        <v>1</v>
      </c>
      <c r="E142" s="25">
        <f>MAX(MIN((Sheet6!C142 - Fuzzy_Parameters!$C$5)/(Fuzzy_Parameters!$C$6 - Fuzzy_Parameters!$C$5), 1), 0)</f>
        <v>0</v>
      </c>
      <c r="F142" s="25">
        <f>MAX(MIN(1, (Fuzzy_Parameters!$C$12 - Sheet6!D142)/(Fuzzy_Parameters!$C$12 - Fuzzy_Parameters!$C$11)), 0)</f>
        <v>0</v>
      </c>
      <c r="G142" s="25">
        <f>MAX(MIN((Sheet6!D142 - Fuzzy_Parameters!$C$11)/(Fuzzy_Parameters!$C$12 - Fuzzy_Parameters!$C$11), 1, (Fuzzy_Parameters!$C$14 - Sheet6!D142)/(Fuzzy_Parameters!$C$14 - Fuzzy_Parameters!$C$13)), 0)</f>
        <v>1</v>
      </c>
      <c r="H142" s="25">
        <f>MAX(MIN((Sheet6!D142 - Fuzzy_Parameters!$C$13)/(Fuzzy_Parameters!$C$14 - Fuzzy_Parameters!$C$13), 1), 0)</f>
        <v>0</v>
      </c>
      <c r="I142" s="25">
        <f>MAX(MIN(1, (Fuzzy_Parameters!$C$20 - Sheet6!E142)/(Fuzzy_Parameters!$C$20 - Fuzzy_Parameters!$C$19)), 0)</f>
        <v>1</v>
      </c>
      <c r="J142" s="25">
        <f>MAX(MIN((Sheet6!E142 - Fuzzy_Parameters!$C$19)/(Fuzzy_Parameters!$C$20 - Fuzzy_Parameters!$C$19), 1, (Fuzzy_Parameters!$C$22 - Sheet6!E142)/(Fuzzy_Parameters!$C$22 - Fuzzy_Parameters!$C$21)), 0)</f>
        <v>0</v>
      </c>
      <c r="K142" s="25">
        <f>MAX(MIN((Sheet6!E142 - Fuzzy_Parameters!$C$21)/(Fuzzy_Parameters!$C$22 - Fuzzy_Parameters!$C$21), 1), 0)</f>
        <v>0</v>
      </c>
      <c r="L142" s="25">
        <f>MAX(MIN(1, (Fuzzy_Parameters!$C$28 - Sheet6!F142)/(Fuzzy_Parameters!$C$28 - Fuzzy_Parameters!$C$27)), 0)</f>
        <v>0</v>
      </c>
      <c r="M142" s="25">
        <f>MAX(MIN((Sheet6!F142 - Fuzzy_Parameters!$C$27)/(Fuzzy_Parameters!$C$28 - Fuzzy_Parameters!$C$27), 1, (Fuzzy_Parameters!$C$30 - Sheet6!F142)/(Fuzzy_Parameters!$C$30 - Fuzzy_Parameters!$C$29)), 0)</f>
        <v>1</v>
      </c>
      <c r="N142" s="25">
        <f>MAX(MIN((Sheet6!F142 - Fuzzy_Parameters!$C$29)/(Fuzzy_Parameters!$C$30 - Fuzzy_Parameters!$C$29), 1), 0)</f>
        <v>0</v>
      </c>
    </row>
    <row r="143">
      <c r="A143" s="6" t="s">
        <v>16</v>
      </c>
      <c r="B143" s="26">
        <v>2016.0</v>
      </c>
      <c r="C143" s="25">
        <f>MAX(MIN(1, (Fuzzy_Parameters!$C$4 - Sheet6!C143)/(Fuzzy_Parameters!$C$4 - Fuzzy_Parameters!$C$3)), 0)</f>
        <v>0</v>
      </c>
      <c r="D143" s="25">
        <f>MAX(MIN((Sheet6!C143 - Fuzzy_Parameters!$C$3)/(Fuzzy_Parameters!$C$4 - Fuzzy_Parameters!$C$3), 1, (Fuzzy_Parameters!$C$6 - Sheet6!C143)/(Fuzzy_Parameters!$C$6 - Fuzzy_Parameters!$C$5)), 0)</f>
        <v>0.527027282</v>
      </c>
      <c r="E143" s="25">
        <f>MAX(MIN((Sheet6!C143 - Fuzzy_Parameters!$C$5)/(Fuzzy_Parameters!$C$6 - Fuzzy_Parameters!$C$5), 1), 0)</f>
        <v>0.472972718</v>
      </c>
      <c r="F143" s="25">
        <f>MAX(MIN(1, (Fuzzy_Parameters!$C$12 - Sheet6!D143)/(Fuzzy_Parameters!$C$12 - Fuzzy_Parameters!$C$11)), 0)</f>
        <v>0</v>
      </c>
      <c r="G143" s="25">
        <f>MAX(MIN((Sheet6!D143 - Fuzzy_Parameters!$C$11)/(Fuzzy_Parameters!$C$12 - Fuzzy_Parameters!$C$11), 1, (Fuzzy_Parameters!$C$14 - Sheet6!D143)/(Fuzzy_Parameters!$C$14 - Fuzzy_Parameters!$C$13)), 0)</f>
        <v>1</v>
      </c>
      <c r="H143" s="25">
        <f>MAX(MIN((Sheet6!D143 - Fuzzy_Parameters!$C$13)/(Fuzzy_Parameters!$C$14 - Fuzzy_Parameters!$C$13), 1), 0)</f>
        <v>0</v>
      </c>
      <c r="I143" s="25">
        <f>MAX(MIN(1, (Fuzzy_Parameters!$C$20 - Sheet6!E143)/(Fuzzy_Parameters!$C$20 - Fuzzy_Parameters!$C$19)), 0)</f>
        <v>1</v>
      </c>
      <c r="J143" s="25">
        <f>MAX(MIN((Sheet6!E143 - Fuzzy_Parameters!$C$19)/(Fuzzy_Parameters!$C$20 - Fuzzy_Parameters!$C$19), 1, (Fuzzy_Parameters!$C$22 - Sheet6!E143)/(Fuzzy_Parameters!$C$22 - Fuzzy_Parameters!$C$21)), 0)</f>
        <v>0</v>
      </c>
      <c r="K143" s="25">
        <f>MAX(MIN((Sheet6!E143 - Fuzzy_Parameters!$C$21)/(Fuzzy_Parameters!$C$22 - Fuzzy_Parameters!$C$21), 1), 0)</f>
        <v>0</v>
      </c>
      <c r="L143" s="25">
        <f>MAX(MIN(1, (Fuzzy_Parameters!$C$28 - Sheet6!F143)/(Fuzzy_Parameters!$C$28 - Fuzzy_Parameters!$C$27)), 0)</f>
        <v>0</v>
      </c>
      <c r="M143" s="25">
        <f>MAX(MIN((Sheet6!F143 - Fuzzy_Parameters!$C$27)/(Fuzzy_Parameters!$C$28 - Fuzzy_Parameters!$C$27), 1, (Fuzzy_Parameters!$C$30 - Sheet6!F143)/(Fuzzy_Parameters!$C$30 - Fuzzy_Parameters!$C$29)), 0)</f>
        <v>1</v>
      </c>
      <c r="N143" s="25">
        <f>MAX(MIN((Sheet6!F143 - Fuzzy_Parameters!$C$29)/(Fuzzy_Parameters!$C$30 - Fuzzy_Parameters!$C$29), 1), 0)</f>
        <v>0</v>
      </c>
    </row>
    <row r="144">
      <c r="A144" s="6" t="s">
        <v>16</v>
      </c>
      <c r="B144" s="26">
        <v>2015.0</v>
      </c>
      <c r="C144" s="25">
        <f>MAX(MIN(1, (Fuzzy_Parameters!$C$4 - Sheet6!C144)/(Fuzzy_Parameters!$C$4 - Fuzzy_Parameters!$C$3)), 0)</f>
        <v>0</v>
      </c>
      <c r="D144" s="25">
        <f>MAX(MIN((Sheet6!C144 - Fuzzy_Parameters!$C$3)/(Fuzzy_Parameters!$C$4 - Fuzzy_Parameters!$C$3), 1, (Fuzzy_Parameters!$C$6 - Sheet6!C144)/(Fuzzy_Parameters!$C$6 - Fuzzy_Parameters!$C$5)), 0)</f>
        <v>0.690315569</v>
      </c>
      <c r="E144" s="25">
        <f>MAX(MIN((Sheet6!C144 - Fuzzy_Parameters!$C$5)/(Fuzzy_Parameters!$C$6 - Fuzzy_Parameters!$C$5), 1), 0)</f>
        <v>0.309684431</v>
      </c>
      <c r="F144" s="25">
        <f>MAX(MIN(1, (Fuzzy_Parameters!$C$12 - Sheet6!D144)/(Fuzzy_Parameters!$C$12 - Fuzzy_Parameters!$C$11)), 0)</f>
        <v>0</v>
      </c>
      <c r="G144" s="25">
        <f>MAX(MIN((Sheet6!D144 - Fuzzy_Parameters!$C$11)/(Fuzzy_Parameters!$C$12 - Fuzzy_Parameters!$C$11), 1, (Fuzzy_Parameters!$C$14 - Sheet6!D144)/(Fuzzy_Parameters!$C$14 - Fuzzy_Parameters!$C$13)), 0)</f>
        <v>1</v>
      </c>
      <c r="H144" s="25">
        <f>MAX(MIN((Sheet6!D144 - Fuzzy_Parameters!$C$13)/(Fuzzy_Parameters!$C$14 - Fuzzy_Parameters!$C$13), 1), 0)</f>
        <v>0</v>
      </c>
      <c r="I144" s="25">
        <f>MAX(MIN(1, (Fuzzy_Parameters!$C$20 - Sheet6!E144)/(Fuzzy_Parameters!$C$20 - Fuzzy_Parameters!$C$19)), 0)</f>
        <v>1</v>
      </c>
      <c r="J144" s="25">
        <f>MAX(MIN((Sheet6!E144 - Fuzzy_Parameters!$C$19)/(Fuzzy_Parameters!$C$20 - Fuzzy_Parameters!$C$19), 1, (Fuzzy_Parameters!$C$22 - Sheet6!E144)/(Fuzzy_Parameters!$C$22 - Fuzzy_Parameters!$C$21)), 0)</f>
        <v>0</v>
      </c>
      <c r="K144" s="25">
        <f>MAX(MIN((Sheet6!E144 - Fuzzy_Parameters!$C$21)/(Fuzzy_Parameters!$C$22 - Fuzzy_Parameters!$C$21), 1), 0)</f>
        <v>0</v>
      </c>
      <c r="L144" s="25">
        <f>MAX(MIN(1, (Fuzzy_Parameters!$C$28 - Sheet6!F144)/(Fuzzy_Parameters!$C$28 - Fuzzy_Parameters!$C$27)), 0)</f>
        <v>0</v>
      </c>
      <c r="M144" s="25">
        <f>MAX(MIN((Sheet6!F144 - Fuzzy_Parameters!$C$27)/(Fuzzy_Parameters!$C$28 - Fuzzy_Parameters!$C$27), 1, (Fuzzy_Parameters!$C$30 - Sheet6!F144)/(Fuzzy_Parameters!$C$30 - Fuzzy_Parameters!$C$29)), 0)</f>
        <v>1</v>
      </c>
      <c r="N144" s="25">
        <f>MAX(MIN((Sheet6!F144 - Fuzzy_Parameters!$C$29)/(Fuzzy_Parameters!$C$30 - Fuzzy_Parameters!$C$29), 1), 0)</f>
        <v>0</v>
      </c>
    </row>
    <row r="145">
      <c r="A145" s="56" t="s">
        <v>16</v>
      </c>
      <c r="B145" s="57">
        <v>2014.0</v>
      </c>
      <c r="C145" s="25">
        <f>MAX(MIN(1, (Fuzzy_Parameters!$C$4 - Sheet6!C145)/(Fuzzy_Parameters!$C$4 - Fuzzy_Parameters!$C$3)), 0)</f>
        <v>0</v>
      </c>
      <c r="D145" s="25">
        <f>MAX(MIN((Sheet6!C145 - Fuzzy_Parameters!$C$3)/(Fuzzy_Parameters!$C$4 - Fuzzy_Parameters!$C$3), 1, (Fuzzy_Parameters!$C$6 - Sheet6!C145)/(Fuzzy_Parameters!$C$6 - Fuzzy_Parameters!$C$5)), 0)</f>
        <v>0</v>
      </c>
      <c r="E145" s="25">
        <f>MAX(MIN((Sheet6!C145 - Fuzzy_Parameters!$C$5)/(Fuzzy_Parameters!$C$6 - Fuzzy_Parameters!$C$5), 1), 0)</f>
        <v>1</v>
      </c>
      <c r="F145" s="25">
        <f>MAX(MIN(1, (Fuzzy_Parameters!$C$12 - Sheet6!D145)/(Fuzzy_Parameters!$C$12 - Fuzzy_Parameters!$C$11)), 0)</f>
        <v>0</v>
      </c>
      <c r="G145" s="25">
        <f>MAX(MIN((Sheet6!D145 - Fuzzy_Parameters!$C$11)/(Fuzzy_Parameters!$C$12 - Fuzzy_Parameters!$C$11), 1, (Fuzzy_Parameters!$C$14 - Sheet6!D145)/(Fuzzy_Parameters!$C$14 - Fuzzy_Parameters!$C$13)), 0)</f>
        <v>1</v>
      </c>
      <c r="H145" s="25">
        <f>MAX(MIN((Sheet6!D145 - Fuzzy_Parameters!$C$13)/(Fuzzy_Parameters!$C$14 - Fuzzy_Parameters!$C$13), 1), 0)</f>
        <v>0</v>
      </c>
      <c r="I145" s="25">
        <f>MAX(MIN(1, (Fuzzy_Parameters!$C$20 - Sheet6!E145)/(Fuzzy_Parameters!$C$20 - Fuzzy_Parameters!$C$19)), 0)</f>
        <v>1</v>
      </c>
      <c r="J145" s="25">
        <f>MAX(MIN((Sheet6!E145 - Fuzzy_Parameters!$C$19)/(Fuzzy_Parameters!$C$20 - Fuzzy_Parameters!$C$19), 1, (Fuzzy_Parameters!$C$22 - Sheet6!E145)/(Fuzzy_Parameters!$C$22 - Fuzzy_Parameters!$C$21)), 0)</f>
        <v>0</v>
      </c>
      <c r="K145" s="25">
        <f>MAX(MIN((Sheet6!E145 - Fuzzy_Parameters!$C$21)/(Fuzzy_Parameters!$C$22 - Fuzzy_Parameters!$C$21), 1), 0)</f>
        <v>0</v>
      </c>
      <c r="L145" s="25">
        <f>MAX(MIN(1, (Fuzzy_Parameters!$C$28 - Sheet6!F145)/(Fuzzy_Parameters!$C$28 - Fuzzy_Parameters!$C$27)), 0)</f>
        <v>0</v>
      </c>
      <c r="M145" s="25">
        <f>MAX(MIN((Sheet6!F145 - Fuzzy_Parameters!$C$27)/(Fuzzy_Parameters!$C$28 - Fuzzy_Parameters!$C$27), 1, (Fuzzy_Parameters!$C$30 - Sheet6!F145)/(Fuzzy_Parameters!$C$30 - Fuzzy_Parameters!$C$29)), 0)</f>
        <v>1</v>
      </c>
      <c r="N145" s="25">
        <f>MAX(MIN((Sheet6!F145 - Fuzzy_Parameters!$C$29)/(Fuzzy_Parameters!$C$30 - Fuzzy_Parameters!$C$29), 1), 0)</f>
        <v>0</v>
      </c>
    </row>
    <row r="146">
      <c r="A146" s="6" t="s">
        <v>17</v>
      </c>
      <c r="B146" s="26">
        <v>2022.0</v>
      </c>
      <c r="C146" s="25">
        <f>MAX(MIN(1, (Fuzzy_Parameters!$C$4 - Sheet6!C146)/(Fuzzy_Parameters!$C$4 - Fuzzy_Parameters!$C$3)), 0)</f>
        <v>0</v>
      </c>
      <c r="D146" s="25">
        <f>MAX(MIN((Sheet6!C146 - Fuzzy_Parameters!$C$3)/(Fuzzy_Parameters!$C$4 - Fuzzy_Parameters!$C$3), 1, (Fuzzy_Parameters!$C$6 - Sheet6!C146)/(Fuzzy_Parameters!$C$6 - Fuzzy_Parameters!$C$5)), 0)</f>
        <v>0</v>
      </c>
      <c r="E146" s="25">
        <f>MAX(MIN((Sheet6!C146 - Fuzzy_Parameters!$C$5)/(Fuzzy_Parameters!$C$6 - Fuzzy_Parameters!$C$5), 1), 0)</f>
        <v>1</v>
      </c>
      <c r="F146" s="25">
        <f>MAX(MIN(1, (Fuzzy_Parameters!$C$12 - Sheet6!D146)/(Fuzzy_Parameters!$C$12 - Fuzzy_Parameters!$C$11)), 0)</f>
        <v>0</v>
      </c>
      <c r="G146" s="25">
        <f>MAX(MIN((Sheet6!D146 - Fuzzy_Parameters!$C$11)/(Fuzzy_Parameters!$C$12 - Fuzzy_Parameters!$C$11), 1, (Fuzzy_Parameters!$C$14 - Sheet6!D146)/(Fuzzy_Parameters!$C$14 - Fuzzy_Parameters!$C$13)), 0)</f>
        <v>0.4138125035</v>
      </c>
      <c r="H146" s="25">
        <f>MAX(MIN((Sheet6!D146 - Fuzzy_Parameters!$C$13)/(Fuzzy_Parameters!$C$14 - Fuzzy_Parameters!$C$13), 1), 0)</f>
        <v>0.5861874965</v>
      </c>
      <c r="I146" s="25">
        <f>MAX(MIN(1, (Fuzzy_Parameters!$C$20 - Sheet6!E146)/(Fuzzy_Parameters!$C$20 - Fuzzy_Parameters!$C$19)), 0)</f>
        <v>0.03225806452</v>
      </c>
      <c r="J146" s="25">
        <f>MAX(MIN((Sheet6!E146 - Fuzzy_Parameters!$C$19)/(Fuzzy_Parameters!$C$20 - Fuzzy_Parameters!$C$19), 1, (Fuzzy_Parameters!$C$22 - Sheet6!E146)/(Fuzzy_Parameters!$C$22 - Fuzzy_Parameters!$C$21)), 0)</f>
        <v>0.9677419355</v>
      </c>
      <c r="K146" s="25">
        <f>MAX(MIN((Sheet6!E146 - Fuzzy_Parameters!$C$21)/(Fuzzy_Parameters!$C$22 - Fuzzy_Parameters!$C$21), 1), 0)</f>
        <v>0</v>
      </c>
      <c r="L146" s="25">
        <f>MAX(MIN(1, (Fuzzy_Parameters!$C$28 - Sheet6!F146)/(Fuzzy_Parameters!$C$28 - Fuzzy_Parameters!$C$27)), 0)</f>
        <v>0.7609111442</v>
      </c>
      <c r="M146" s="25">
        <f>MAX(MIN((Sheet6!F146 - Fuzzy_Parameters!$C$27)/(Fuzzy_Parameters!$C$28 - Fuzzy_Parameters!$C$27), 1, (Fuzzy_Parameters!$C$30 - Sheet6!F146)/(Fuzzy_Parameters!$C$30 - Fuzzy_Parameters!$C$29)), 0)</f>
        <v>0.2390888558</v>
      </c>
      <c r="N146" s="25">
        <f>MAX(MIN((Sheet6!F146 - Fuzzy_Parameters!$C$29)/(Fuzzy_Parameters!$C$30 - Fuzzy_Parameters!$C$29), 1), 0)</f>
        <v>0</v>
      </c>
    </row>
    <row r="147">
      <c r="A147" s="6" t="s">
        <v>17</v>
      </c>
      <c r="B147" s="26">
        <v>2021.0</v>
      </c>
      <c r="C147" s="25">
        <f>MAX(MIN(1, (Fuzzy_Parameters!$C$4 - Sheet6!C147)/(Fuzzy_Parameters!$C$4 - Fuzzy_Parameters!$C$3)), 0)</f>
        <v>0</v>
      </c>
      <c r="D147" s="25">
        <f>MAX(MIN((Sheet6!C147 - Fuzzy_Parameters!$C$3)/(Fuzzy_Parameters!$C$4 - Fuzzy_Parameters!$C$3), 1, (Fuzzy_Parameters!$C$6 - Sheet6!C147)/(Fuzzy_Parameters!$C$6 - Fuzzy_Parameters!$C$5)), 0)</f>
        <v>0</v>
      </c>
      <c r="E147" s="25">
        <f>MAX(MIN((Sheet6!C147 - Fuzzy_Parameters!$C$5)/(Fuzzy_Parameters!$C$6 - Fuzzy_Parameters!$C$5), 1), 0)</f>
        <v>1</v>
      </c>
      <c r="F147" s="25">
        <f>MAX(MIN(1, (Fuzzy_Parameters!$C$12 - Sheet6!D147)/(Fuzzy_Parameters!$C$12 - Fuzzy_Parameters!$C$11)), 0)</f>
        <v>0</v>
      </c>
      <c r="G147" s="25">
        <f>MAX(MIN((Sheet6!D147 - Fuzzy_Parameters!$C$11)/(Fuzzy_Parameters!$C$12 - Fuzzy_Parameters!$C$11), 1, (Fuzzy_Parameters!$C$14 - Sheet6!D147)/(Fuzzy_Parameters!$C$14 - Fuzzy_Parameters!$C$13)), 0)</f>
        <v>0.06288588501</v>
      </c>
      <c r="H147" s="25">
        <f>MAX(MIN((Sheet6!D147 - Fuzzy_Parameters!$C$13)/(Fuzzy_Parameters!$C$14 - Fuzzy_Parameters!$C$13), 1), 0)</f>
        <v>0.937114115</v>
      </c>
      <c r="I147" s="25">
        <f>MAX(MIN(1, (Fuzzy_Parameters!$C$20 - Sheet6!E147)/(Fuzzy_Parameters!$C$20 - Fuzzy_Parameters!$C$19)), 0)</f>
        <v>0</v>
      </c>
      <c r="J147" s="25">
        <f>MAX(MIN((Sheet6!E147 - Fuzzy_Parameters!$C$19)/(Fuzzy_Parameters!$C$20 - Fuzzy_Parameters!$C$19), 1, (Fuzzy_Parameters!$C$22 - Sheet6!E147)/(Fuzzy_Parameters!$C$22 - Fuzzy_Parameters!$C$21)), 0)</f>
        <v>1</v>
      </c>
      <c r="K147" s="25">
        <f>MAX(MIN((Sheet6!E147 - Fuzzy_Parameters!$C$21)/(Fuzzy_Parameters!$C$22 - Fuzzy_Parameters!$C$21), 1), 0)</f>
        <v>0</v>
      </c>
      <c r="L147" s="25">
        <f>MAX(MIN(1, (Fuzzy_Parameters!$C$28 - Sheet6!F147)/(Fuzzy_Parameters!$C$28 - Fuzzy_Parameters!$C$27)), 0)</f>
        <v>0.7900040162</v>
      </c>
      <c r="M147" s="25">
        <f>MAX(MIN((Sheet6!F147 - Fuzzy_Parameters!$C$27)/(Fuzzy_Parameters!$C$28 - Fuzzy_Parameters!$C$27), 1, (Fuzzy_Parameters!$C$30 - Sheet6!F147)/(Fuzzy_Parameters!$C$30 - Fuzzy_Parameters!$C$29)), 0)</f>
        <v>0.2099959838</v>
      </c>
      <c r="N147" s="25">
        <f>MAX(MIN((Sheet6!F147 - Fuzzy_Parameters!$C$29)/(Fuzzy_Parameters!$C$30 - Fuzzy_Parameters!$C$29), 1), 0)</f>
        <v>0</v>
      </c>
    </row>
    <row r="148">
      <c r="A148" s="6" t="s">
        <v>17</v>
      </c>
      <c r="B148" s="26">
        <v>2020.0</v>
      </c>
      <c r="C148" s="25">
        <f>MAX(MIN(1, (Fuzzy_Parameters!$C$4 - Sheet6!C148)/(Fuzzy_Parameters!$C$4 - Fuzzy_Parameters!$C$3)), 0)</f>
        <v>0</v>
      </c>
      <c r="D148" s="25">
        <f>MAX(MIN((Sheet6!C148 - Fuzzy_Parameters!$C$3)/(Fuzzy_Parameters!$C$4 - Fuzzy_Parameters!$C$3), 1, (Fuzzy_Parameters!$C$6 - Sheet6!C148)/(Fuzzy_Parameters!$C$6 - Fuzzy_Parameters!$C$5)), 0)</f>
        <v>0</v>
      </c>
      <c r="E148" s="25">
        <f>MAX(MIN((Sheet6!C148 - Fuzzy_Parameters!$C$5)/(Fuzzy_Parameters!$C$6 - Fuzzy_Parameters!$C$5), 1), 0)</f>
        <v>1</v>
      </c>
      <c r="F148" s="25">
        <f>MAX(MIN(1, (Fuzzy_Parameters!$C$12 - Sheet6!D148)/(Fuzzy_Parameters!$C$12 - Fuzzy_Parameters!$C$11)), 0)</f>
        <v>0</v>
      </c>
      <c r="G148" s="25">
        <f>MAX(MIN((Sheet6!D148 - Fuzzy_Parameters!$C$11)/(Fuzzy_Parameters!$C$12 - Fuzzy_Parameters!$C$11), 1, (Fuzzy_Parameters!$C$14 - Sheet6!D148)/(Fuzzy_Parameters!$C$14 - Fuzzy_Parameters!$C$13)), 0)</f>
        <v>0</v>
      </c>
      <c r="H148" s="25">
        <f>MAX(MIN((Sheet6!D148 - Fuzzy_Parameters!$C$13)/(Fuzzy_Parameters!$C$14 - Fuzzy_Parameters!$C$13), 1), 0)</f>
        <v>1</v>
      </c>
      <c r="I148" s="25">
        <f>MAX(MIN(1, (Fuzzy_Parameters!$C$20 - Sheet6!E148)/(Fuzzy_Parameters!$C$20 - Fuzzy_Parameters!$C$19)), 0)</f>
        <v>0.7338709677</v>
      </c>
      <c r="J148" s="25">
        <f>MAX(MIN((Sheet6!E148 - Fuzzy_Parameters!$C$19)/(Fuzzy_Parameters!$C$20 - Fuzzy_Parameters!$C$19), 1, (Fuzzy_Parameters!$C$22 - Sheet6!E148)/(Fuzzy_Parameters!$C$22 - Fuzzy_Parameters!$C$21)), 0)</f>
        <v>0.2661290323</v>
      </c>
      <c r="K148" s="25">
        <f>MAX(MIN((Sheet6!E148 - Fuzzy_Parameters!$C$21)/(Fuzzy_Parameters!$C$22 - Fuzzy_Parameters!$C$21), 1), 0)</f>
        <v>0</v>
      </c>
      <c r="L148" s="25">
        <f>MAX(MIN(1, (Fuzzy_Parameters!$C$28 - Sheet6!F148)/(Fuzzy_Parameters!$C$28 - Fuzzy_Parameters!$C$27)), 0)</f>
        <v>0.9692959534</v>
      </c>
      <c r="M148" s="25">
        <f>MAX(MIN((Sheet6!F148 - Fuzzy_Parameters!$C$27)/(Fuzzy_Parameters!$C$28 - Fuzzy_Parameters!$C$27), 1, (Fuzzy_Parameters!$C$30 - Sheet6!F148)/(Fuzzy_Parameters!$C$30 - Fuzzy_Parameters!$C$29)), 0)</f>
        <v>0.03070404658</v>
      </c>
      <c r="N148" s="25">
        <f>MAX(MIN((Sheet6!F148 - Fuzzy_Parameters!$C$29)/(Fuzzy_Parameters!$C$30 - Fuzzy_Parameters!$C$29), 1), 0)</f>
        <v>0</v>
      </c>
    </row>
    <row r="149">
      <c r="A149" s="6" t="s">
        <v>17</v>
      </c>
      <c r="B149" s="26">
        <v>2019.0</v>
      </c>
      <c r="C149" s="25">
        <f>MAX(MIN(1, (Fuzzy_Parameters!$C$4 - Sheet6!C149)/(Fuzzy_Parameters!$C$4 - Fuzzy_Parameters!$C$3)), 0)</f>
        <v>0</v>
      </c>
      <c r="D149" s="25">
        <f>MAX(MIN((Sheet6!C149 - Fuzzy_Parameters!$C$3)/(Fuzzy_Parameters!$C$4 - Fuzzy_Parameters!$C$3), 1, (Fuzzy_Parameters!$C$6 - Sheet6!C149)/(Fuzzy_Parameters!$C$6 - Fuzzy_Parameters!$C$5)), 0)</f>
        <v>0</v>
      </c>
      <c r="E149" s="25">
        <f>MAX(MIN((Sheet6!C149 - Fuzzy_Parameters!$C$5)/(Fuzzy_Parameters!$C$6 - Fuzzy_Parameters!$C$5), 1), 0)</f>
        <v>1</v>
      </c>
      <c r="F149" s="25">
        <f>MAX(MIN(1, (Fuzzy_Parameters!$C$12 - Sheet6!D149)/(Fuzzy_Parameters!$C$12 - Fuzzy_Parameters!$C$11)), 0)</f>
        <v>0</v>
      </c>
      <c r="G149" s="25">
        <f>MAX(MIN((Sheet6!D149 - Fuzzy_Parameters!$C$11)/(Fuzzy_Parameters!$C$12 - Fuzzy_Parameters!$C$11), 1, (Fuzzy_Parameters!$C$14 - Sheet6!D149)/(Fuzzy_Parameters!$C$14 - Fuzzy_Parameters!$C$13)), 0)</f>
        <v>0.6075238429</v>
      </c>
      <c r="H149" s="25">
        <f>MAX(MIN((Sheet6!D149 - Fuzzy_Parameters!$C$13)/(Fuzzy_Parameters!$C$14 - Fuzzy_Parameters!$C$13), 1), 0)</f>
        <v>0.3924761571</v>
      </c>
      <c r="I149" s="25">
        <f>MAX(MIN(1, (Fuzzy_Parameters!$C$20 - Sheet6!E149)/(Fuzzy_Parameters!$C$20 - Fuzzy_Parameters!$C$19)), 0)</f>
        <v>0.2258064516</v>
      </c>
      <c r="J149" s="25">
        <f>MAX(MIN((Sheet6!E149 - Fuzzy_Parameters!$C$19)/(Fuzzy_Parameters!$C$20 - Fuzzy_Parameters!$C$19), 1, (Fuzzy_Parameters!$C$22 - Sheet6!E149)/(Fuzzy_Parameters!$C$22 - Fuzzy_Parameters!$C$21)), 0)</f>
        <v>0.7741935484</v>
      </c>
      <c r="K149" s="25">
        <f>MAX(MIN((Sheet6!E149 - Fuzzy_Parameters!$C$21)/(Fuzzy_Parameters!$C$22 - Fuzzy_Parameters!$C$21), 1), 0)</f>
        <v>0</v>
      </c>
      <c r="L149" s="25">
        <f>MAX(MIN(1, (Fuzzy_Parameters!$C$28 - Sheet6!F149)/(Fuzzy_Parameters!$C$28 - Fuzzy_Parameters!$C$27)), 0)</f>
        <v>0.8488536873</v>
      </c>
      <c r="M149" s="25">
        <f>MAX(MIN((Sheet6!F149 - Fuzzy_Parameters!$C$27)/(Fuzzy_Parameters!$C$28 - Fuzzy_Parameters!$C$27), 1, (Fuzzy_Parameters!$C$30 - Sheet6!F149)/(Fuzzy_Parameters!$C$30 - Fuzzy_Parameters!$C$29)), 0)</f>
        <v>0.1511463127</v>
      </c>
      <c r="N149" s="25">
        <f>MAX(MIN((Sheet6!F149 - Fuzzy_Parameters!$C$29)/(Fuzzy_Parameters!$C$30 - Fuzzy_Parameters!$C$29), 1), 0)</f>
        <v>0</v>
      </c>
    </row>
    <row r="150">
      <c r="A150" s="6" t="s">
        <v>17</v>
      </c>
      <c r="B150" s="26">
        <v>2018.0</v>
      </c>
      <c r="C150" s="25">
        <f>MAX(MIN(1, (Fuzzy_Parameters!$C$4 - Sheet6!C150)/(Fuzzy_Parameters!$C$4 - Fuzzy_Parameters!$C$3)), 0)</f>
        <v>0</v>
      </c>
      <c r="D150" s="25">
        <f>MAX(MIN((Sheet6!C150 - Fuzzy_Parameters!$C$3)/(Fuzzy_Parameters!$C$4 - Fuzzy_Parameters!$C$3), 1, (Fuzzy_Parameters!$C$6 - Sheet6!C150)/(Fuzzy_Parameters!$C$6 - Fuzzy_Parameters!$C$5)), 0)</f>
        <v>0</v>
      </c>
      <c r="E150" s="25">
        <f>MAX(MIN((Sheet6!C150 - Fuzzy_Parameters!$C$5)/(Fuzzy_Parameters!$C$6 - Fuzzy_Parameters!$C$5), 1), 0)</f>
        <v>1</v>
      </c>
      <c r="F150" s="25">
        <f>MAX(MIN(1, (Fuzzy_Parameters!$C$12 - Sheet6!D150)/(Fuzzy_Parameters!$C$12 - Fuzzy_Parameters!$C$11)), 0)</f>
        <v>0</v>
      </c>
      <c r="G150" s="25">
        <f>MAX(MIN((Sheet6!D150 - Fuzzy_Parameters!$C$11)/(Fuzzy_Parameters!$C$12 - Fuzzy_Parameters!$C$11), 1, (Fuzzy_Parameters!$C$14 - Sheet6!D150)/(Fuzzy_Parameters!$C$14 - Fuzzy_Parameters!$C$13)), 0)</f>
        <v>0.7669848359</v>
      </c>
      <c r="H150" s="25">
        <f>MAX(MIN((Sheet6!D150 - Fuzzy_Parameters!$C$13)/(Fuzzy_Parameters!$C$14 - Fuzzy_Parameters!$C$13), 1), 0)</f>
        <v>0.2330151641</v>
      </c>
      <c r="I150" s="25">
        <f>MAX(MIN(1, (Fuzzy_Parameters!$C$20 - Sheet6!E150)/(Fuzzy_Parameters!$C$20 - Fuzzy_Parameters!$C$19)), 0)</f>
        <v>0</v>
      </c>
      <c r="J150" s="25">
        <f>MAX(MIN((Sheet6!E150 - Fuzzy_Parameters!$C$19)/(Fuzzy_Parameters!$C$20 - Fuzzy_Parameters!$C$19), 1, (Fuzzy_Parameters!$C$22 - Sheet6!E150)/(Fuzzy_Parameters!$C$22 - Fuzzy_Parameters!$C$21)), 0)</f>
        <v>1</v>
      </c>
      <c r="K150" s="25">
        <f>MAX(MIN((Sheet6!E150 - Fuzzy_Parameters!$C$21)/(Fuzzy_Parameters!$C$22 - Fuzzy_Parameters!$C$21), 1), 0)</f>
        <v>0</v>
      </c>
      <c r="L150" s="25">
        <f>MAX(MIN(1, (Fuzzy_Parameters!$C$28 - Sheet6!F150)/(Fuzzy_Parameters!$C$28 - Fuzzy_Parameters!$C$27)), 0)</f>
        <v>0.7609111442</v>
      </c>
      <c r="M150" s="25">
        <f>MAX(MIN((Sheet6!F150 - Fuzzy_Parameters!$C$27)/(Fuzzy_Parameters!$C$28 - Fuzzy_Parameters!$C$27), 1, (Fuzzy_Parameters!$C$30 - Sheet6!F150)/(Fuzzy_Parameters!$C$30 - Fuzzy_Parameters!$C$29)), 0)</f>
        <v>0.2390888558</v>
      </c>
      <c r="N150" s="25">
        <f>MAX(MIN((Sheet6!F150 - Fuzzy_Parameters!$C$29)/(Fuzzy_Parameters!$C$30 - Fuzzy_Parameters!$C$29), 1), 0)</f>
        <v>0</v>
      </c>
    </row>
    <row r="151">
      <c r="A151" s="6" t="s">
        <v>17</v>
      </c>
      <c r="B151" s="26">
        <v>2017.0</v>
      </c>
      <c r="C151" s="25">
        <f>MAX(MIN(1, (Fuzzy_Parameters!$C$4 - Sheet6!C151)/(Fuzzy_Parameters!$C$4 - Fuzzy_Parameters!$C$3)), 0)</f>
        <v>0</v>
      </c>
      <c r="D151" s="25">
        <f>MAX(MIN((Sheet6!C151 - Fuzzy_Parameters!$C$3)/(Fuzzy_Parameters!$C$4 - Fuzzy_Parameters!$C$3), 1, (Fuzzy_Parameters!$C$6 - Sheet6!C151)/(Fuzzy_Parameters!$C$6 - Fuzzy_Parameters!$C$5)), 0)</f>
        <v>0</v>
      </c>
      <c r="E151" s="25">
        <f>MAX(MIN((Sheet6!C151 - Fuzzy_Parameters!$C$5)/(Fuzzy_Parameters!$C$6 - Fuzzy_Parameters!$C$5), 1), 0)</f>
        <v>1</v>
      </c>
      <c r="F151" s="25">
        <f>MAX(MIN(1, (Fuzzy_Parameters!$C$12 - Sheet6!D151)/(Fuzzy_Parameters!$C$12 - Fuzzy_Parameters!$C$11)), 0)</f>
        <v>0.06923744935</v>
      </c>
      <c r="G151" s="25">
        <f>MAX(MIN((Sheet6!D151 - Fuzzy_Parameters!$C$11)/(Fuzzy_Parameters!$C$12 - Fuzzy_Parameters!$C$11), 1, (Fuzzy_Parameters!$C$14 - Sheet6!D151)/(Fuzzy_Parameters!$C$14 - Fuzzy_Parameters!$C$13)), 0)</f>
        <v>0.9307625506</v>
      </c>
      <c r="H151" s="25">
        <f>MAX(MIN((Sheet6!D151 - Fuzzy_Parameters!$C$13)/(Fuzzy_Parameters!$C$14 - Fuzzy_Parameters!$C$13), 1), 0)</f>
        <v>0</v>
      </c>
      <c r="I151" s="25">
        <f>MAX(MIN(1, (Fuzzy_Parameters!$C$20 - Sheet6!E151)/(Fuzzy_Parameters!$C$20 - Fuzzy_Parameters!$C$19)), 0)</f>
        <v>0</v>
      </c>
      <c r="J151" s="25">
        <f>MAX(MIN((Sheet6!E151 - Fuzzy_Parameters!$C$19)/(Fuzzy_Parameters!$C$20 - Fuzzy_Parameters!$C$19), 1, (Fuzzy_Parameters!$C$22 - Sheet6!E151)/(Fuzzy_Parameters!$C$22 - Fuzzy_Parameters!$C$21)), 0)</f>
        <v>1</v>
      </c>
      <c r="K151" s="25">
        <f>MAX(MIN((Sheet6!E151 - Fuzzy_Parameters!$C$21)/(Fuzzy_Parameters!$C$22 - Fuzzy_Parameters!$C$21), 1), 0)</f>
        <v>0</v>
      </c>
      <c r="L151" s="25">
        <f>MAX(MIN(1, (Fuzzy_Parameters!$C$28 - Sheet6!F151)/(Fuzzy_Parameters!$C$28 - Fuzzy_Parameters!$C$27)), 0)</f>
        <v>0.7320330401</v>
      </c>
      <c r="M151" s="25">
        <f>MAX(MIN((Sheet6!F151 - Fuzzy_Parameters!$C$27)/(Fuzzy_Parameters!$C$28 - Fuzzy_Parameters!$C$27), 1, (Fuzzy_Parameters!$C$30 - Sheet6!F151)/(Fuzzy_Parameters!$C$30 - Fuzzy_Parameters!$C$29)), 0)</f>
        <v>0.2679669599</v>
      </c>
      <c r="N151" s="25">
        <f>MAX(MIN((Sheet6!F151 - Fuzzy_Parameters!$C$29)/(Fuzzy_Parameters!$C$30 - Fuzzy_Parameters!$C$29), 1), 0)</f>
        <v>0</v>
      </c>
    </row>
    <row r="152">
      <c r="A152" s="6" t="s">
        <v>17</v>
      </c>
      <c r="B152" s="26">
        <v>2016.0</v>
      </c>
      <c r="C152" s="25">
        <f>MAX(MIN(1, (Fuzzy_Parameters!$C$4 - Sheet6!C152)/(Fuzzy_Parameters!$C$4 - Fuzzy_Parameters!$C$3)), 0)</f>
        <v>0</v>
      </c>
      <c r="D152" s="25">
        <f>MAX(MIN((Sheet6!C152 - Fuzzy_Parameters!$C$3)/(Fuzzy_Parameters!$C$4 - Fuzzy_Parameters!$C$3), 1, (Fuzzy_Parameters!$C$6 - Sheet6!C152)/(Fuzzy_Parameters!$C$6 - Fuzzy_Parameters!$C$5)), 0)</f>
        <v>0</v>
      </c>
      <c r="E152" s="25">
        <f>MAX(MIN((Sheet6!C152 - Fuzzy_Parameters!$C$5)/(Fuzzy_Parameters!$C$6 - Fuzzy_Parameters!$C$5), 1), 0)</f>
        <v>1</v>
      </c>
      <c r="F152" s="25">
        <f>MAX(MIN(1, (Fuzzy_Parameters!$C$12 - Sheet6!D152)/(Fuzzy_Parameters!$C$12 - Fuzzy_Parameters!$C$11)), 0)</f>
        <v>0.09815937177</v>
      </c>
      <c r="G152" s="25">
        <f>MAX(MIN((Sheet6!D152 - Fuzzy_Parameters!$C$11)/(Fuzzy_Parameters!$C$12 - Fuzzy_Parameters!$C$11), 1, (Fuzzy_Parameters!$C$14 - Sheet6!D152)/(Fuzzy_Parameters!$C$14 - Fuzzy_Parameters!$C$13)), 0)</f>
        <v>0.9018406282</v>
      </c>
      <c r="H152" s="25">
        <f>MAX(MIN((Sheet6!D152 - Fuzzy_Parameters!$C$13)/(Fuzzy_Parameters!$C$14 - Fuzzy_Parameters!$C$13), 1), 0)</f>
        <v>0</v>
      </c>
      <c r="I152" s="25">
        <f>MAX(MIN(1, (Fuzzy_Parameters!$C$20 - Sheet6!E152)/(Fuzzy_Parameters!$C$20 - Fuzzy_Parameters!$C$19)), 0)</f>
        <v>0.5403225806</v>
      </c>
      <c r="J152" s="25">
        <f>MAX(MIN((Sheet6!E152 - Fuzzy_Parameters!$C$19)/(Fuzzy_Parameters!$C$20 - Fuzzy_Parameters!$C$19), 1, (Fuzzy_Parameters!$C$22 - Sheet6!E152)/(Fuzzy_Parameters!$C$22 - Fuzzy_Parameters!$C$21)), 0)</f>
        <v>0.4596774194</v>
      </c>
      <c r="K152" s="25">
        <f>MAX(MIN((Sheet6!E152 - Fuzzy_Parameters!$C$21)/(Fuzzy_Parameters!$C$22 - Fuzzy_Parameters!$C$21), 1), 0)</f>
        <v>0</v>
      </c>
      <c r="L152" s="25">
        <f>MAX(MIN(1, (Fuzzy_Parameters!$C$28 - Sheet6!F152)/(Fuzzy_Parameters!$C$28 - Fuzzy_Parameters!$C$27)), 0)</f>
        <v>0.5631382669</v>
      </c>
      <c r="M152" s="25">
        <f>MAX(MIN((Sheet6!F152 - Fuzzy_Parameters!$C$27)/(Fuzzy_Parameters!$C$28 - Fuzzy_Parameters!$C$27), 1, (Fuzzy_Parameters!$C$30 - Sheet6!F152)/(Fuzzy_Parameters!$C$30 - Fuzzy_Parameters!$C$29)), 0)</f>
        <v>0.4368617331</v>
      </c>
      <c r="N152" s="25">
        <f>MAX(MIN((Sheet6!F152 - Fuzzy_Parameters!$C$29)/(Fuzzy_Parameters!$C$30 - Fuzzy_Parameters!$C$29), 1), 0)</f>
        <v>0</v>
      </c>
    </row>
    <row r="153">
      <c r="A153" s="6" t="s">
        <v>17</v>
      </c>
      <c r="B153" s="26">
        <v>2015.0</v>
      </c>
      <c r="C153" s="25">
        <f>MAX(MIN(1, (Fuzzy_Parameters!$C$4 - Sheet6!C153)/(Fuzzy_Parameters!$C$4 - Fuzzy_Parameters!$C$3)), 0)</f>
        <v>0</v>
      </c>
      <c r="D153" s="25">
        <f>MAX(MIN((Sheet6!C153 - Fuzzy_Parameters!$C$3)/(Fuzzy_Parameters!$C$4 - Fuzzy_Parameters!$C$3), 1, (Fuzzy_Parameters!$C$6 - Sheet6!C153)/(Fuzzy_Parameters!$C$6 - Fuzzy_Parameters!$C$5)), 0)</f>
        <v>0</v>
      </c>
      <c r="E153" s="25">
        <f>MAX(MIN((Sheet6!C153 - Fuzzy_Parameters!$C$5)/(Fuzzy_Parameters!$C$6 - Fuzzy_Parameters!$C$5), 1), 0)</f>
        <v>1</v>
      </c>
      <c r="F153" s="25">
        <f>MAX(MIN(1, (Fuzzy_Parameters!$C$12 - Sheet6!D153)/(Fuzzy_Parameters!$C$12 - Fuzzy_Parameters!$C$11)), 0)</f>
        <v>0</v>
      </c>
      <c r="G153" s="25">
        <f>MAX(MIN((Sheet6!D153 - Fuzzy_Parameters!$C$11)/(Fuzzy_Parameters!$C$12 - Fuzzy_Parameters!$C$11), 1, (Fuzzy_Parameters!$C$14 - Sheet6!D153)/(Fuzzy_Parameters!$C$14 - Fuzzy_Parameters!$C$13)), 0)</f>
        <v>1</v>
      </c>
      <c r="H153" s="25">
        <f>MAX(MIN((Sheet6!D153 - Fuzzy_Parameters!$C$13)/(Fuzzy_Parameters!$C$14 - Fuzzy_Parameters!$C$13), 1), 0)</f>
        <v>0</v>
      </c>
      <c r="I153" s="25">
        <f>MAX(MIN(1, (Fuzzy_Parameters!$C$20 - Sheet6!E153)/(Fuzzy_Parameters!$C$20 - Fuzzy_Parameters!$C$19)), 0)</f>
        <v>0.3387096774</v>
      </c>
      <c r="J153" s="25">
        <f>MAX(MIN((Sheet6!E153 - Fuzzy_Parameters!$C$19)/(Fuzzy_Parameters!$C$20 - Fuzzy_Parameters!$C$19), 1, (Fuzzy_Parameters!$C$22 - Sheet6!E153)/(Fuzzy_Parameters!$C$22 - Fuzzy_Parameters!$C$21)), 0)</f>
        <v>0.6612903226</v>
      </c>
      <c r="K153" s="25">
        <f>MAX(MIN((Sheet6!E153 - Fuzzy_Parameters!$C$21)/(Fuzzy_Parameters!$C$22 - Fuzzy_Parameters!$C$21), 1), 0)</f>
        <v>0</v>
      </c>
      <c r="L153" s="25">
        <f>MAX(MIN(1, (Fuzzy_Parameters!$C$28 - Sheet6!F153)/(Fuzzy_Parameters!$C$28 - Fuzzy_Parameters!$C$27)), 0)</f>
        <v>0.220599843</v>
      </c>
      <c r="M153" s="25">
        <f>MAX(MIN((Sheet6!F153 - Fuzzy_Parameters!$C$27)/(Fuzzy_Parameters!$C$28 - Fuzzy_Parameters!$C$27), 1, (Fuzzy_Parameters!$C$30 - Sheet6!F153)/(Fuzzy_Parameters!$C$30 - Fuzzy_Parameters!$C$29)), 0)</f>
        <v>0.779400157</v>
      </c>
      <c r="N153" s="25">
        <f>MAX(MIN((Sheet6!F153 - Fuzzy_Parameters!$C$29)/(Fuzzy_Parameters!$C$30 - Fuzzy_Parameters!$C$29), 1), 0)</f>
        <v>0</v>
      </c>
    </row>
    <row r="154">
      <c r="A154" s="56" t="s">
        <v>17</v>
      </c>
      <c r="B154" s="57">
        <v>2014.0</v>
      </c>
      <c r="C154" s="25">
        <f>MAX(MIN(1, (Fuzzy_Parameters!$C$4 - Sheet6!C154)/(Fuzzy_Parameters!$C$4 - Fuzzy_Parameters!$C$3)), 0)</f>
        <v>0</v>
      </c>
      <c r="D154" s="25">
        <f>MAX(MIN((Sheet6!C154 - Fuzzy_Parameters!$C$3)/(Fuzzy_Parameters!$C$4 - Fuzzy_Parameters!$C$3), 1, (Fuzzy_Parameters!$C$6 - Sheet6!C154)/(Fuzzy_Parameters!$C$6 - Fuzzy_Parameters!$C$5)), 0)</f>
        <v>0</v>
      </c>
      <c r="E154" s="25">
        <f>MAX(MIN((Sheet6!C154 - Fuzzy_Parameters!$C$5)/(Fuzzy_Parameters!$C$6 - Fuzzy_Parameters!$C$5), 1), 0)</f>
        <v>1</v>
      </c>
      <c r="F154" s="25">
        <f>MAX(MIN(1, (Fuzzy_Parameters!$C$12 - Sheet6!D154)/(Fuzzy_Parameters!$C$12 - Fuzzy_Parameters!$C$11)), 0)</f>
        <v>0.1893079962</v>
      </c>
      <c r="G154" s="25">
        <f>MAX(MIN((Sheet6!D154 - Fuzzy_Parameters!$C$11)/(Fuzzy_Parameters!$C$12 - Fuzzy_Parameters!$C$11), 1, (Fuzzy_Parameters!$C$14 - Sheet6!D154)/(Fuzzy_Parameters!$C$14 - Fuzzy_Parameters!$C$13)), 0)</f>
        <v>0.8106920038</v>
      </c>
      <c r="H154" s="25">
        <f>MAX(MIN((Sheet6!D154 - Fuzzy_Parameters!$C$13)/(Fuzzy_Parameters!$C$14 - Fuzzy_Parameters!$C$13), 1), 0)</f>
        <v>0</v>
      </c>
      <c r="I154" s="25">
        <f>MAX(MIN(1, (Fuzzy_Parameters!$C$20 - Sheet6!E154)/(Fuzzy_Parameters!$C$20 - Fuzzy_Parameters!$C$19)), 0)</f>
        <v>1</v>
      </c>
      <c r="J154" s="25">
        <f>MAX(MIN((Sheet6!E154 - Fuzzy_Parameters!$C$19)/(Fuzzy_Parameters!$C$20 - Fuzzy_Parameters!$C$19), 1, (Fuzzy_Parameters!$C$22 - Sheet6!E154)/(Fuzzy_Parameters!$C$22 - Fuzzy_Parameters!$C$21)), 0)</f>
        <v>0</v>
      </c>
      <c r="K154" s="25">
        <f>MAX(MIN((Sheet6!E154 - Fuzzy_Parameters!$C$21)/(Fuzzy_Parameters!$C$22 - Fuzzy_Parameters!$C$21), 1), 0)</f>
        <v>0</v>
      </c>
      <c r="L154" s="25">
        <f>MAX(MIN(1, (Fuzzy_Parameters!$C$28 - Sheet6!F154)/(Fuzzy_Parameters!$C$28 - Fuzzy_Parameters!$C$27)), 0)</f>
        <v>0.02390189531</v>
      </c>
      <c r="M154" s="25">
        <f>MAX(MIN((Sheet6!F154 - Fuzzy_Parameters!$C$27)/(Fuzzy_Parameters!$C$28 - Fuzzy_Parameters!$C$27), 1, (Fuzzy_Parameters!$C$30 - Sheet6!F154)/(Fuzzy_Parameters!$C$30 - Fuzzy_Parameters!$C$29)), 0)</f>
        <v>0.9760981047</v>
      </c>
      <c r="N154" s="25">
        <f>MAX(MIN((Sheet6!F154 - Fuzzy_Parameters!$C$29)/(Fuzzy_Parameters!$C$30 - Fuzzy_Parameters!$C$29), 1), 0)</f>
        <v>0</v>
      </c>
    </row>
    <row r="155">
      <c r="A155" s="6" t="s">
        <v>18</v>
      </c>
      <c r="B155" s="26">
        <v>2022.0</v>
      </c>
      <c r="C155" s="25">
        <f>MAX(MIN(1, (Fuzzy_Parameters!$C$4 - Sheet6!C155)/(Fuzzy_Parameters!$C$4 - Fuzzy_Parameters!$C$3)), 0)</f>
        <v>0.4024522162</v>
      </c>
      <c r="D155" s="25">
        <f>MAX(MIN((Sheet6!C155 - Fuzzy_Parameters!$C$3)/(Fuzzy_Parameters!$C$4 - Fuzzy_Parameters!$C$3), 1, (Fuzzy_Parameters!$C$6 - Sheet6!C155)/(Fuzzy_Parameters!$C$6 - Fuzzy_Parameters!$C$5)), 0)</f>
        <v>0.5975477838</v>
      </c>
      <c r="E155" s="25">
        <f>MAX(MIN((Sheet6!C155 - Fuzzy_Parameters!$C$5)/(Fuzzy_Parameters!$C$6 - Fuzzy_Parameters!$C$5), 1), 0)</f>
        <v>0</v>
      </c>
      <c r="F155" s="25">
        <f>MAX(MIN(1, (Fuzzy_Parameters!$C$12 - Sheet6!D155)/(Fuzzy_Parameters!$C$12 - Fuzzy_Parameters!$C$11)), 0)</f>
        <v>0</v>
      </c>
      <c r="G155" s="25">
        <f>MAX(MIN((Sheet6!D155 - Fuzzy_Parameters!$C$11)/(Fuzzy_Parameters!$C$12 - Fuzzy_Parameters!$C$11), 1, (Fuzzy_Parameters!$C$14 - Sheet6!D155)/(Fuzzy_Parameters!$C$14 - Fuzzy_Parameters!$C$13)), 0)</f>
        <v>1</v>
      </c>
      <c r="H155" s="25">
        <f>MAX(MIN((Sheet6!D155 - Fuzzy_Parameters!$C$13)/(Fuzzy_Parameters!$C$14 - Fuzzy_Parameters!$C$13), 1), 0)</f>
        <v>0</v>
      </c>
      <c r="I155" s="25">
        <f>MAX(MIN(1, (Fuzzy_Parameters!$C$20 - Sheet6!E155)/(Fuzzy_Parameters!$C$20 - Fuzzy_Parameters!$C$19)), 0)</f>
        <v>1</v>
      </c>
      <c r="J155" s="25">
        <f>MAX(MIN((Sheet6!E155 - Fuzzy_Parameters!$C$19)/(Fuzzy_Parameters!$C$20 - Fuzzy_Parameters!$C$19), 1, (Fuzzy_Parameters!$C$22 - Sheet6!E155)/(Fuzzy_Parameters!$C$22 - Fuzzy_Parameters!$C$21)), 0)</f>
        <v>0</v>
      </c>
      <c r="K155" s="25">
        <f>MAX(MIN((Sheet6!E155 - Fuzzy_Parameters!$C$21)/(Fuzzy_Parameters!$C$22 - Fuzzy_Parameters!$C$21), 1), 0)</f>
        <v>0</v>
      </c>
      <c r="L155" s="25">
        <f>MAX(MIN(1, (Fuzzy_Parameters!$C$28 - Sheet6!F155)/(Fuzzy_Parameters!$C$28 - Fuzzy_Parameters!$C$27)), 0)</f>
        <v>0</v>
      </c>
      <c r="M155" s="25">
        <f>MAX(MIN((Sheet6!F155 - Fuzzy_Parameters!$C$27)/(Fuzzy_Parameters!$C$28 - Fuzzy_Parameters!$C$27), 1, (Fuzzy_Parameters!$C$30 - Sheet6!F155)/(Fuzzy_Parameters!$C$30 - Fuzzy_Parameters!$C$29)), 0)</f>
        <v>1</v>
      </c>
      <c r="N155" s="25">
        <f>MAX(MIN((Sheet6!F155 - Fuzzy_Parameters!$C$29)/(Fuzzy_Parameters!$C$30 - Fuzzy_Parameters!$C$29), 1), 0)</f>
        <v>0</v>
      </c>
    </row>
    <row r="156">
      <c r="A156" s="6" t="s">
        <v>18</v>
      </c>
      <c r="B156" s="26">
        <v>2021.0</v>
      </c>
      <c r="C156" s="25">
        <f>MAX(MIN(1, (Fuzzy_Parameters!$C$4 - Sheet6!C156)/(Fuzzy_Parameters!$C$4 - Fuzzy_Parameters!$C$3)), 0)</f>
        <v>0.4905234707</v>
      </c>
      <c r="D156" s="25">
        <f>MAX(MIN((Sheet6!C156 - Fuzzy_Parameters!$C$3)/(Fuzzy_Parameters!$C$4 - Fuzzy_Parameters!$C$3), 1, (Fuzzy_Parameters!$C$6 - Sheet6!C156)/(Fuzzy_Parameters!$C$6 - Fuzzy_Parameters!$C$5)), 0)</f>
        <v>0.5094765293</v>
      </c>
      <c r="E156" s="25">
        <f>MAX(MIN((Sheet6!C156 - Fuzzy_Parameters!$C$5)/(Fuzzy_Parameters!$C$6 - Fuzzy_Parameters!$C$5), 1), 0)</f>
        <v>0</v>
      </c>
      <c r="F156" s="25">
        <f>MAX(MIN(1, (Fuzzy_Parameters!$C$12 - Sheet6!D156)/(Fuzzy_Parameters!$C$12 - Fuzzy_Parameters!$C$11)), 0)</f>
        <v>0</v>
      </c>
      <c r="G156" s="25">
        <f>MAX(MIN((Sheet6!D156 - Fuzzy_Parameters!$C$11)/(Fuzzy_Parameters!$C$12 - Fuzzy_Parameters!$C$11), 1, (Fuzzy_Parameters!$C$14 - Sheet6!D156)/(Fuzzy_Parameters!$C$14 - Fuzzy_Parameters!$C$13)), 0)</f>
        <v>0.2594046136</v>
      </c>
      <c r="H156" s="25">
        <f>MAX(MIN((Sheet6!D156 - Fuzzy_Parameters!$C$13)/(Fuzzy_Parameters!$C$14 - Fuzzy_Parameters!$C$13), 1), 0)</f>
        <v>0.7405953864</v>
      </c>
      <c r="I156" s="25">
        <f>MAX(MIN(1, (Fuzzy_Parameters!$C$20 - Sheet6!E156)/(Fuzzy_Parameters!$C$20 - Fuzzy_Parameters!$C$19)), 0)</f>
        <v>1</v>
      </c>
      <c r="J156" s="25">
        <f>MAX(MIN((Sheet6!E156 - Fuzzy_Parameters!$C$19)/(Fuzzy_Parameters!$C$20 - Fuzzy_Parameters!$C$19), 1, (Fuzzy_Parameters!$C$22 - Sheet6!E156)/(Fuzzy_Parameters!$C$22 - Fuzzy_Parameters!$C$21)), 0)</f>
        <v>0</v>
      </c>
      <c r="K156" s="25">
        <f>MAX(MIN((Sheet6!E156 - Fuzzy_Parameters!$C$21)/(Fuzzy_Parameters!$C$22 - Fuzzy_Parameters!$C$21), 1), 0)</f>
        <v>0</v>
      </c>
      <c r="L156" s="25">
        <f>MAX(MIN(1, (Fuzzy_Parameters!$C$28 - Sheet6!F156)/(Fuzzy_Parameters!$C$28 - Fuzzy_Parameters!$C$27)), 0)</f>
        <v>0</v>
      </c>
      <c r="M156" s="25">
        <f>MAX(MIN((Sheet6!F156 - Fuzzy_Parameters!$C$27)/(Fuzzy_Parameters!$C$28 - Fuzzy_Parameters!$C$27), 1, (Fuzzy_Parameters!$C$30 - Sheet6!F156)/(Fuzzy_Parameters!$C$30 - Fuzzy_Parameters!$C$29)), 0)</f>
        <v>1</v>
      </c>
      <c r="N156" s="25">
        <f>MAX(MIN((Sheet6!F156 - Fuzzy_Parameters!$C$29)/(Fuzzy_Parameters!$C$30 - Fuzzy_Parameters!$C$29), 1), 0)</f>
        <v>0</v>
      </c>
    </row>
    <row r="157">
      <c r="A157" s="6" t="s">
        <v>18</v>
      </c>
      <c r="B157" s="26">
        <v>2020.0</v>
      </c>
      <c r="C157" s="25">
        <f>MAX(MIN(1, (Fuzzy_Parameters!$C$4 - Sheet6!C157)/(Fuzzy_Parameters!$C$4 - Fuzzy_Parameters!$C$3)), 0)</f>
        <v>0.841694721</v>
      </c>
      <c r="D157" s="25">
        <f>MAX(MIN((Sheet6!C157 - Fuzzy_Parameters!$C$3)/(Fuzzy_Parameters!$C$4 - Fuzzy_Parameters!$C$3), 1, (Fuzzy_Parameters!$C$6 - Sheet6!C157)/(Fuzzy_Parameters!$C$6 - Fuzzy_Parameters!$C$5)), 0)</f>
        <v>0.158305279</v>
      </c>
      <c r="E157" s="25">
        <f>MAX(MIN((Sheet6!C157 - Fuzzy_Parameters!$C$5)/(Fuzzy_Parameters!$C$6 - Fuzzy_Parameters!$C$5), 1), 0)</f>
        <v>0</v>
      </c>
      <c r="F157" s="25">
        <f>MAX(MIN(1, (Fuzzy_Parameters!$C$12 - Sheet6!D157)/(Fuzzy_Parameters!$C$12 - Fuzzy_Parameters!$C$11)), 0)</f>
        <v>0.9290099887</v>
      </c>
      <c r="G157" s="25">
        <f>MAX(MIN((Sheet6!D157 - Fuzzy_Parameters!$C$11)/(Fuzzy_Parameters!$C$12 - Fuzzy_Parameters!$C$11), 1, (Fuzzy_Parameters!$C$14 - Sheet6!D157)/(Fuzzy_Parameters!$C$14 - Fuzzy_Parameters!$C$13)), 0)</f>
        <v>0.07099001135</v>
      </c>
      <c r="H157" s="25">
        <f>MAX(MIN((Sheet6!D157 - Fuzzy_Parameters!$C$13)/(Fuzzy_Parameters!$C$14 - Fuzzy_Parameters!$C$13), 1), 0)</f>
        <v>0</v>
      </c>
      <c r="I157" s="25">
        <f>MAX(MIN(1, (Fuzzy_Parameters!$C$20 - Sheet6!E157)/(Fuzzy_Parameters!$C$20 - Fuzzy_Parameters!$C$19)), 0)</f>
        <v>1</v>
      </c>
      <c r="J157" s="25">
        <f>MAX(MIN((Sheet6!E157 - Fuzzy_Parameters!$C$19)/(Fuzzy_Parameters!$C$20 - Fuzzy_Parameters!$C$19), 1, (Fuzzy_Parameters!$C$22 - Sheet6!E157)/(Fuzzy_Parameters!$C$22 - Fuzzy_Parameters!$C$21)), 0)</f>
        <v>0</v>
      </c>
      <c r="K157" s="25">
        <f>MAX(MIN((Sheet6!E157 - Fuzzy_Parameters!$C$21)/(Fuzzy_Parameters!$C$22 - Fuzzy_Parameters!$C$21), 1), 0)</f>
        <v>0</v>
      </c>
      <c r="L157" s="25">
        <f>MAX(MIN(1, (Fuzzy_Parameters!$C$28 - Sheet6!F157)/(Fuzzy_Parameters!$C$28 - Fuzzy_Parameters!$C$27)), 0)</f>
        <v>0</v>
      </c>
      <c r="M157" s="25">
        <f>MAX(MIN((Sheet6!F157 - Fuzzy_Parameters!$C$27)/(Fuzzy_Parameters!$C$28 - Fuzzy_Parameters!$C$27), 1, (Fuzzy_Parameters!$C$30 - Sheet6!F157)/(Fuzzy_Parameters!$C$30 - Fuzzy_Parameters!$C$29)), 0)</f>
        <v>1</v>
      </c>
      <c r="N157" s="25">
        <f>MAX(MIN((Sheet6!F157 - Fuzzy_Parameters!$C$29)/(Fuzzy_Parameters!$C$30 - Fuzzy_Parameters!$C$29), 1), 0)</f>
        <v>0</v>
      </c>
    </row>
    <row r="158">
      <c r="A158" s="6" t="s">
        <v>18</v>
      </c>
      <c r="B158" s="26">
        <v>2019.0</v>
      </c>
      <c r="C158" s="25">
        <f>MAX(MIN(1, (Fuzzy_Parameters!$C$4 - Sheet6!C158)/(Fuzzy_Parameters!$C$4 - Fuzzy_Parameters!$C$3)), 0)</f>
        <v>0.6008909809</v>
      </c>
      <c r="D158" s="25">
        <f>MAX(MIN((Sheet6!C158 - Fuzzy_Parameters!$C$3)/(Fuzzy_Parameters!$C$4 - Fuzzy_Parameters!$C$3), 1, (Fuzzy_Parameters!$C$6 - Sheet6!C158)/(Fuzzy_Parameters!$C$6 - Fuzzy_Parameters!$C$5)), 0)</f>
        <v>0.3991090191</v>
      </c>
      <c r="E158" s="25">
        <f>MAX(MIN((Sheet6!C158 - Fuzzy_Parameters!$C$5)/(Fuzzy_Parameters!$C$6 - Fuzzy_Parameters!$C$5), 1), 0)</f>
        <v>0</v>
      </c>
      <c r="F158" s="25">
        <f>MAX(MIN(1, (Fuzzy_Parameters!$C$12 - Sheet6!D158)/(Fuzzy_Parameters!$C$12 - Fuzzy_Parameters!$C$11)), 0)</f>
        <v>0</v>
      </c>
      <c r="G158" s="25">
        <f>MAX(MIN((Sheet6!D158 - Fuzzy_Parameters!$C$11)/(Fuzzy_Parameters!$C$12 - Fuzzy_Parameters!$C$11), 1, (Fuzzy_Parameters!$C$14 - Sheet6!D158)/(Fuzzy_Parameters!$C$14 - Fuzzy_Parameters!$C$13)), 0)</f>
        <v>1</v>
      </c>
      <c r="H158" s="25">
        <f>MAX(MIN((Sheet6!D158 - Fuzzy_Parameters!$C$13)/(Fuzzy_Parameters!$C$14 - Fuzzy_Parameters!$C$13), 1), 0)</f>
        <v>0</v>
      </c>
      <c r="I158" s="25">
        <f>MAX(MIN(1, (Fuzzy_Parameters!$C$20 - Sheet6!E158)/(Fuzzy_Parameters!$C$20 - Fuzzy_Parameters!$C$19)), 0)</f>
        <v>1</v>
      </c>
      <c r="J158" s="25">
        <f>MAX(MIN((Sheet6!E158 - Fuzzy_Parameters!$C$19)/(Fuzzy_Parameters!$C$20 - Fuzzy_Parameters!$C$19), 1, (Fuzzy_Parameters!$C$22 - Sheet6!E158)/(Fuzzy_Parameters!$C$22 - Fuzzy_Parameters!$C$21)), 0)</f>
        <v>0</v>
      </c>
      <c r="K158" s="25">
        <f>MAX(MIN((Sheet6!E158 - Fuzzy_Parameters!$C$21)/(Fuzzy_Parameters!$C$22 - Fuzzy_Parameters!$C$21), 1), 0)</f>
        <v>0</v>
      </c>
      <c r="L158" s="25">
        <f>MAX(MIN(1, (Fuzzy_Parameters!$C$28 - Sheet6!F158)/(Fuzzy_Parameters!$C$28 - Fuzzy_Parameters!$C$27)), 0)</f>
        <v>0</v>
      </c>
      <c r="M158" s="25">
        <f>MAX(MIN((Sheet6!F158 - Fuzzy_Parameters!$C$27)/(Fuzzy_Parameters!$C$28 - Fuzzy_Parameters!$C$27), 1, (Fuzzy_Parameters!$C$30 - Sheet6!F158)/(Fuzzy_Parameters!$C$30 - Fuzzy_Parameters!$C$29)), 0)</f>
        <v>1</v>
      </c>
      <c r="N158" s="25">
        <f>MAX(MIN((Sheet6!F158 - Fuzzy_Parameters!$C$29)/(Fuzzy_Parameters!$C$30 - Fuzzy_Parameters!$C$29), 1), 0)</f>
        <v>0</v>
      </c>
    </row>
    <row r="159">
      <c r="A159" s="6" t="s">
        <v>18</v>
      </c>
      <c r="B159" s="26">
        <v>2018.0</v>
      </c>
      <c r="C159" s="25">
        <f>MAX(MIN(1, (Fuzzy_Parameters!$C$4 - Sheet6!C159)/(Fuzzy_Parameters!$C$4 - Fuzzy_Parameters!$C$3)), 0)</f>
        <v>0.9598669654</v>
      </c>
      <c r="D159" s="25">
        <f>MAX(MIN((Sheet6!C159 - Fuzzy_Parameters!$C$3)/(Fuzzy_Parameters!$C$4 - Fuzzy_Parameters!$C$3), 1, (Fuzzy_Parameters!$C$6 - Sheet6!C159)/(Fuzzy_Parameters!$C$6 - Fuzzy_Parameters!$C$5)), 0)</f>
        <v>0.04013303458</v>
      </c>
      <c r="E159" s="25">
        <f>MAX(MIN((Sheet6!C159 - Fuzzy_Parameters!$C$5)/(Fuzzy_Parameters!$C$6 - Fuzzy_Parameters!$C$5), 1), 0)</f>
        <v>0</v>
      </c>
      <c r="F159" s="25">
        <f>MAX(MIN(1, (Fuzzy_Parameters!$C$12 - Sheet6!D159)/(Fuzzy_Parameters!$C$12 - Fuzzy_Parameters!$C$11)), 0)</f>
        <v>0</v>
      </c>
      <c r="G159" s="25">
        <f>MAX(MIN((Sheet6!D159 - Fuzzy_Parameters!$C$11)/(Fuzzy_Parameters!$C$12 - Fuzzy_Parameters!$C$11), 1, (Fuzzy_Parameters!$C$14 - Sheet6!D159)/(Fuzzy_Parameters!$C$14 - Fuzzy_Parameters!$C$13)), 0)</f>
        <v>0.2302078643</v>
      </c>
      <c r="H159" s="25">
        <f>MAX(MIN((Sheet6!D159 - Fuzzy_Parameters!$C$13)/(Fuzzy_Parameters!$C$14 - Fuzzy_Parameters!$C$13), 1), 0)</f>
        <v>0.7697921357</v>
      </c>
      <c r="I159" s="25">
        <f>MAX(MIN(1, (Fuzzy_Parameters!$C$20 - Sheet6!E159)/(Fuzzy_Parameters!$C$20 - Fuzzy_Parameters!$C$19)), 0)</f>
        <v>0.8306451613</v>
      </c>
      <c r="J159" s="25">
        <f>MAX(MIN((Sheet6!E159 - Fuzzy_Parameters!$C$19)/(Fuzzy_Parameters!$C$20 - Fuzzy_Parameters!$C$19), 1, (Fuzzy_Parameters!$C$22 - Sheet6!E159)/(Fuzzy_Parameters!$C$22 - Fuzzy_Parameters!$C$21)), 0)</f>
        <v>0.1693548387</v>
      </c>
      <c r="K159" s="25">
        <f>MAX(MIN((Sheet6!E159 - Fuzzy_Parameters!$C$21)/(Fuzzy_Parameters!$C$22 - Fuzzy_Parameters!$C$21), 1), 0)</f>
        <v>0</v>
      </c>
      <c r="L159" s="25">
        <f>MAX(MIN(1, (Fuzzy_Parameters!$C$28 - Sheet6!F159)/(Fuzzy_Parameters!$C$28 - Fuzzy_Parameters!$C$27)), 0)</f>
        <v>0</v>
      </c>
      <c r="M159" s="25">
        <f>MAX(MIN((Sheet6!F159 - Fuzzy_Parameters!$C$27)/(Fuzzy_Parameters!$C$28 - Fuzzy_Parameters!$C$27), 1, (Fuzzy_Parameters!$C$30 - Sheet6!F159)/(Fuzzy_Parameters!$C$30 - Fuzzy_Parameters!$C$29)), 0)</f>
        <v>1</v>
      </c>
      <c r="N159" s="25">
        <f>MAX(MIN((Sheet6!F159 - Fuzzy_Parameters!$C$29)/(Fuzzy_Parameters!$C$30 - Fuzzy_Parameters!$C$29), 1), 0)</f>
        <v>0</v>
      </c>
    </row>
    <row r="160">
      <c r="A160" s="6" t="s">
        <v>18</v>
      </c>
      <c r="B160" s="26">
        <v>2017.0</v>
      </c>
      <c r="C160" s="25">
        <f>MAX(MIN(1, (Fuzzy_Parameters!$C$4 - Sheet6!C160)/(Fuzzy_Parameters!$C$4 - Fuzzy_Parameters!$C$3)), 0)</f>
        <v>0.6989965953</v>
      </c>
      <c r="D160" s="25">
        <f>MAX(MIN((Sheet6!C160 - Fuzzy_Parameters!$C$3)/(Fuzzy_Parameters!$C$4 - Fuzzy_Parameters!$C$3), 1, (Fuzzy_Parameters!$C$6 - Sheet6!C160)/(Fuzzy_Parameters!$C$6 - Fuzzy_Parameters!$C$5)), 0)</f>
        <v>0.3010034047</v>
      </c>
      <c r="E160" s="25">
        <f>MAX(MIN((Sheet6!C160 - Fuzzy_Parameters!$C$5)/(Fuzzy_Parameters!$C$6 - Fuzzy_Parameters!$C$5), 1), 0)</f>
        <v>0</v>
      </c>
      <c r="F160" s="25">
        <f>MAX(MIN(1, (Fuzzy_Parameters!$C$12 - Sheet6!D160)/(Fuzzy_Parameters!$C$12 - Fuzzy_Parameters!$C$11)), 0)</f>
        <v>0</v>
      </c>
      <c r="G160" s="25">
        <f>MAX(MIN((Sheet6!D160 - Fuzzy_Parameters!$C$11)/(Fuzzy_Parameters!$C$12 - Fuzzy_Parameters!$C$11), 1, (Fuzzy_Parameters!$C$14 - Sheet6!D160)/(Fuzzy_Parameters!$C$14 - Fuzzy_Parameters!$C$13)), 0)</f>
        <v>0.4985963501</v>
      </c>
      <c r="H160" s="25">
        <f>MAX(MIN((Sheet6!D160 - Fuzzy_Parameters!$C$13)/(Fuzzy_Parameters!$C$14 - Fuzzy_Parameters!$C$13), 1), 0)</f>
        <v>0.5014036499</v>
      </c>
      <c r="I160" s="25">
        <f>MAX(MIN(1, (Fuzzy_Parameters!$C$20 - Sheet6!E160)/(Fuzzy_Parameters!$C$20 - Fuzzy_Parameters!$C$19)), 0)</f>
        <v>0.7661290323</v>
      </c>
      <c r="J160" s="25">
        <f>MAX(MIN((Sheet6!E160 - Fuzzy_Parameters!$C$19)/(Fuzzy_Parameters!$C$20 - Fuzzy_Parameters!$C$19), 1, (Fuzzy_Parameters!$C$22 - Sheet6!E160)/(Fuzzy_Parameters!$C$22 - Fuzzy_Parameters!$C$21)), 0)</f>
        <v>0.2338709677</v>
      </c>
      <c r="K160" s="25">
        <f>MAX(MIN((Sheet6!E160 - Fuzzy_Parameters!$C$21)/(Fuzzy_Parameters!$C$22 - Fuzzy_Parameters!$C$21), 1), 0)</f>
        <v>0</v>
      </c>
      <c r="L160" s="25">
        <f>MAX(MIN(1, (Fuzzy_Parameters!$C$28 - Sheet6!F160)/(Fuzzy_Parameters!$C$28 - Fuzzy_Parameters!$C$27)), 0)</f>
        <v>0</v>
      </c>
      <c r="M160" s="25">
        <f>MAX(MIN((Sheet6!F160 - Fuzzy_Parameters!$C$27)/(Fuzzy_Parameters!$C$28 - Fuzzy_Parameters!$C$27), 1, (Fuzzy_Parameters!$C$30 - Sheet6!F160)/(Fuzzy_Parameters!$C$30 - Fuzzy_Parameters!$C$29)), 0)</f>
        <v>1</v>
      </c>
      <c r="N160" s="25">
        <f>MAX(MIN((Sheet6!F160 - Fuzzy_Parameters!$C$29)/(Fuzzy_Parameters!$C$30 - Fuzzy_Parameters!$C$29), 1), 0)</f>
        <v>0</v>
      </c>
    </row>
    <row r="161">
      <c r="A161" s="6" t="s">
        <v>18</v>
      </c>
      <c r="B161" s="26">
        <v>2016.0</v>
      </c>
      <c r="C161" s="25">
        <f>MAX(MIN(1, (Fuzzy_Parameters!$C$4 - Sheet6!C161)/(Fuzzy_Parameters!$C$4 - Fuzzy_Parameters!$C$3)), 0)</f>
        <v>0.6878484675</v>
      </c>
      <c r="D161" s="25">
        <f>MAX(MIN((Sheet6!C161 - Fuzzy_Parameters!$C$3)/(Fuzzy_Parameters!$C$4 - Fuzzy_Parameters!$C$3), 1, (Fuzzy_Parameters!$C$6 - Sheet6!C161)/(Fuzzy_Parameters!$C$6 - Fuzzy_Parameters!$C$5)), 0)</f>
        <v>0.3121515325</v>
      </c>
      <c r="E161" s="25">
        <f>MAX(MIN((Sheet6!C161 - Fuzzy_Parameters!$C$5)/(Fuzzy_Parameters!$C$6 - Fuzzy_Parameters!$C$5), 1), 0)</f>
        <v>0</v>
      </c>
      <c r="F161" s="25">
        <f>MAX(MIN(1, (Fuzzy_Parameters!$C$12 - Sheet6!D161)/(Fuzzy_Parameters!$C$12 - Fuzzy_Parameters!$C$11)), 0)</f>
        <v>0</v>
      </c>
      <c r="G161" s="25">
        <f>MAX(MIN((Sheet6!D161 - Fuzzy_Parameters!$C$11)/(Fuzzy_Parameters!$C$12 - Fuzzy_Parameters!$C$11), 1, (Fuzzy_Parameters!$C$14 - Sheet6!D161)/(Fuzzy_Parameters!$C$14 - Fuzzy_Parameters!$C$13)), 0)</f>
        <v>0.9455363721</v>
      </c>
      <c r="H161" s="25">
        <f>MAX(MIN((Sheet6!D161 - Fuzzy_Parameters!$C$13)/(Fuzzy_Parameters!$C$14 - Fuzzy_Parameters!$C$13), 1), 0)</f>
        <v>0.0544636279</v>
      </c>
      <c r="I161" s="25">
        <f>MAX(MIN(1, (Fuzzy_Parameters!$C$20 - Sheet6!E161)/(Fuzzy_Parameters!$C$20 - Fuzzy_Parameters!$C$19)), 0)</f>
        <v>0.9435483871</v>
      </c>
      <c r="J161" s="25">
        <f>MAX(MIN((Sheet6!E161 - Fuzzy_Parameters!$C$19)/(Fuzzy_Parameters!$C$20 - Fuzzy_Parameters!$C$19), 1, (Fuzzy_Parameters!$C$22 - Sheet6!E161)/(Fuzzy_Parameters!$C$22 - Fuzzy_Parameters!$C$21)), 0)</f>
        <v>0.0564516129</v>
      </c>
      <c r="K161" s="25">
        <f>MAX(MIN((Sheet6!E161 - Fuzzy_Parameters!$C$21)/(Fuzzy_Parameters!$C$22 - Fuzzy_Parameters!$C$21), 1), 0)</f>
        <v>0</v>
      </c>
      <c r="L161" s="25">
        <f>MAX(MIN(1, (Fuzzy_Parameters!$C$28 - Sheet6!F161)/(Fuzzy_Parameters!$C$28 - Fuzzy_Parameters!$C$27)), 0)</f>
        <v>0</v>
      </c>
      <c r="M161" s="25">
        <f>MAX(MIN((Sheet6!F161 - Fuzzy_Parameters!$C$27)/(Fuzzy_Parameters!$C$28 - Fuzzy_Parameters!$C$27), 1, (Fuzzy_Parameters!$C$30 - Sheet6!F161)/(Fuzzy_Parameters!$C$30 - Fuzzy_Parameters!$C$29)), 0)</f>
        <v>1</v>
      </c>
      <c r="N161" s="25">
        <f>MAX(MIN((Sheet6!F161 - Fuzzy_Parameters!$C$29)/(Fuzzy_Parameters!$C$30 - Fuzzy_Parameters!$C$29), 1), 0)</f>
        <v>0</v>
      </c>
    </row>
    <row r="162">
      <c r="A162" s="6" t="s">
        <v>18</v>
      </c>
      <c r="B162" s="26">
        <v>2015.0</v>
      </c>
      <c r="C162" s="25">
        <f>MAX(MIN(1, (Fuzzy_Parameters!$C$4 - Sheet6!C162)/(Fuzzy_Parameters!$C$4 - Fuzzy_Parameters!$C$3)), 0)</f>
        <v>0.7982159777</v>
      </c>
      <c r="D162" s="25">
        <f>MAX(MIN((Sheet6!C162 - Fuzzy_Parameters!$C$3)/(Fuzzy_Parameters!$C$4 - Fuzzy_Parameters!$C$3), 1, (Fuzzy_Parameters!$C$6 - Sheet6!C162)/(Fuzzy_Parameters!$C$6 - Fuzzy_Parameters!$C$5)), 0)</f>
        <v>0.2017840223</v>
      </c>
      <c r="E162" s="25">
        <f>MAX(MIN((Sheet6!C162 - Fuzzy_Parameters!$C$5)/(Fuzzy_Parameters!$C$6 - Fuzzy_Parameters!$C$5), 1), 0)</f>
        <v>0</v>
      </c>
      <c r="F162" s="25">
        <f>MAX(MIN(1, (Fuzzy_Parameters!$C$12 - Sheet6!D162)/(Fuzzy_Parameters!$C$12 - Fuzzy_Parameters!$C$11)), 0)</f>
        <v>0</v>
      </c>
      <c r="G162" s="25">
        <f>MAX(MIN((Sheet6!D162 - Fuzzy_Parameters!$C$11)/(Fuzzy_Parameters!$C$12 - Fuzzy_Parameters!$C$11), 1, (Fuzzy_Parameters!$C$14 - Sheet6!D162)/(Fuzzy_Parameters!$C$14 - Fuzzy_Parameters!$C$13)), 0)</f>
        <v>1</v>
      </c>
      <c r="H162" s="25">
        <f>MAX(MIN((Sheet6!D162 - Fuzzy_Parameters!$C$13)/(Fuzzy_Parameters!$C$14 - Fuzzy_Parameters!$C$13), 1), 0)</f>
        <v>0</v>
      </c>
      <c r="I162" s="25">
        <f>MAX(MIN(1, (Fuzzy_Parameters!$C$20 - Sheet6!E162)/(Fuzzy_Parameters!$C$20 - Fuzzy_Parameters!$C$19)), 0)</f>
        <v>0.8951612903</v>
      </c>
      <c r="J162" s="25">
        <f>MAX(MIN((Sheet6!E162 - Fuzzy_Parameters!$C$19)/(Fuzzy_Parameters!$C$20 - Fuzzy_Parameters!$C$19), 1, (Fuzzy_Parameters!$C$22 - Sheet6!E162)/(Fuzzy_Parameters!$C$22 - Fuzzy_Parameters!$C$21)), 0)</f>
        <v>0.1048387097</v>
      </c>
      <c r="K162" s="25">
        <f>MAX(MIN((Sheet6!E162 - Fuzzy_Parameters!$C$21)/(Fuzzy_Parameters!$C$22 - Fuzzy_Parameters!$C$21), 1), 0)</f>
        <v>0</v>
      </c>
      <c r="L162" s="25">
        <f>MAX(MIN(1, (Fuzzy_Parameters!$C$28 - Sheet6!F162)/(Fuzzy_Parameters!$C$28 - Fuzzy_Parameters!$C$27)), 0)</f>
        <v>0</v>
      </c>
      <c r="M162" s="25">
        <f>MAX(MIN((Sheet6!F162 - Fuzzy_Parameters!$C$27)/(Fuzzy_Parameters!$C$28 - Fuzzy_Parameters!$C$27), 1, (Fuzzy_Parameters!$C$30 - Sheet6!F162)/(Fuzzy_Parameters!$C$30 - Fuzzy_Parameters!$C$29)), 0)</f>
        <v>1</v>
      </c>
      <c r="N162" s="25">
        <f>MAX(MIN((Sheet6!F162 - Fuzzy_Parameters!$C$29)/(Fuzzy_Parameters!$C$30 - Fuzzy_Parameters!$C$29), 1), 0)</f>
        <v>0</v>
      </c>
    </row>
    <row r="163">
      <c r="A163" s="56" t="s">
        <v>18</v>
      </c>
      <c r="B163" s="57">
        <v>2014.0</v>
      </c>
      <c r="C163" s="25">
        <f>MAX(MIN(1, (Fuzzy_Parameters!$C$4 - Sheet6!C163)/(Fuzzy_Parameters!$C$4 - Fuzzy_Parameters!$C$3)), 0)</f>
        <v>0.6064660896</v>
      </c>
      <c r="D163" s="25">
        <f>MAX(MIN((Sheet6!C163 - Fuzzy_Parameters!$C$3)/(Fuzzy_Parameters!$C$4 - Fuzzy_Parameters!$C$3), 1, (Fuzzy_Parameters!$C$6 - Sheet6!C163)/(Fuzzy_Parameters!$C$6 - Fuzzy_Parameters!$C$5)), 0)</f>
        <v>0.3935339104</v>
      </c>
      <c r="E163" s="25">
        <f>MAX(MIN((Sheet6!C163 - Fuzzy_Parameters!$C$5)/(Fuzzy_Parameters!$C$6 - Fuzzy_Parameters!$C$5), 1), 0)</f>
        <v>0</v>
      </c>
      <c r="F163" s="25">
        <f>MAX(MIN(1, (Fuzzy_Parameters!$C$12 - Sheet6!D163)/(Fuzzy_Parameters!$C$12 - Fuzzy_Parameters!$C$11)), 0)</f>
        <v>0</v>
      </c>
      <c r="G163" s="25">
        <f>MAX(MIN((Sheet6!D163 - Fuzzy_Parameters!$C$11)/(Fuzzy_Parameters!$C$12 - Fuzzy_Parameters!$C$11), 1, (Fuzzy_Parameters!$C$14 - Sheet6!D163)/(Fuzzy_Parameters!$C$14 - Fuzzy_Parameters!$C$13)), 0)</f>
        <v>0.02245908481</v>
      </c>
      <c r="H163" s="25">
        <f>MAX(MIN((Sheet6!D163 - Fuzzy_Parameters!$C$13)/(Fuzzy_Parameters!$C$14 - Fuzzy_Parameters!$C$13), 1), 0)</f>
        <v>0.9775409152</v>
      </c>
      <c r="I163" s="25">
        <f>MAX(MIN(1, (Fuzzy_Parameters!$C$20 - Sheet6!E163)/(Fuzzy_Parameters!$C$20 - Fuzzy_Parameters!$C$19)), 0)</f>
        <v>1</v>
      </c>
      <c r="J163" s="25">
        <f>MAX(MIN((Sheet6!E163 - Fuzzy_Parameters!$C$19)/(Fuzzy_Parameters!$C$20 - Fuzzy_Parameters!$C$19), 1, (Fuzzy_Parameters!$C$22 - Sheet6!E163)/(Fuzzy_Parameters!$C$22 - Fuzzy_Parameters!$C$21)), 0)</f>
        <v>0</v>
      </c>
      <c r="K163" s="25">
        <f>MAX(MIN((Sheet6!E163 - Fuzzy_Parameters!$C$21)/(Fuzzy_Parameters!$C$22 - Fuzzy_Parameters!$C$21), 1), 0)</f>
        <v>0</v>
      </c>
      <c r="L163" s="25">
        <f>MAX(MIN(1, (Fuzzy_Parameters!$C$28 - Sheet6!F163)/(Fuzzy_Parameters!$C$28 - Fuzzy_Parameters!$C$27)), 0)</f>
        <v>0</v>
      </c>
      <c r="M163" s="25">
        <f>MAX(MIN((Sheet6!F163 - Fuzzy_Parameters!$C$27)/(Fuzzy_Parameters!$C$28 - Fuzzy_Parameters!$C$27), 1, (Fuzzy_Parameters!$C$30 - Sheet6!F163)/(Fuzzy_Parameters!$C$30 - Fuzzy_Parameters!$C$29)), 0)</f>
        <v>1</v>
      </c>
      <c r="N163" s="25">
        <f>MAX(MIN((Sheet6!F163 - Fuzzy_Parameters!$C$29)/(Fuzzy_Parameters!$C$30 - Fuzzy_Parameters!$C$29), 1), 0)</f>
        <v>0</v>
      </c>
    </row>
    <row r="164">
      <c r="A164" s="6" t="s">
        <v>19</v>
      </c>
      <c r="B164" s="26">
        <v>2022.0</v>
      </c>
      <c r="C164" s="25">
        <f>MAX(MIN(1, (Fuzzy_Parameters!$C$4 - Sheet6!C164)/(Fuzzy_Parameters!$C$4 - Fuzzy_Parameters!$C$3)), 0)</f>
        <v>0</v>
      </c>
      <c r="D164" s="25">
        <f>MAX(MIN((Sheet6!C164 - Fuzzy_Parameters!$C$3)/(Fuzzy_Parameters!$C$4 - Fuzzy_Parameters!$C$3), 1, (Fuzzy_Parameters!$C$6 - Sheet6!C164)/(Fuzzy_Parameters!$C$6 - Fuzzy_Parameters!$C$5)), 0)</f>
        <v>1</v>
      </c>
      <c r="E164" s="25">
        <f>MAX(MIN((Sheet6!C164 - Fuzzy_Parameters!$C$5)/(Fuzzy_Parameters!$C$6 - Fuzzy_Parameters!$C$5), 1), 0)</f>
        <v>0</v>
      </c>
      <c r="F164" s="25">
        <f>MAX(MIN(1, (Fuzzy_Parameters!$C$12 - Sheet6!D164)/(Fuzzy_Parameters!$C$12 - Fuzzy_Parameters!$C$11)), 0)</f>
        <v>0</v>
      </c>
      <c r="G164" s="25">
        <f>MAX(MIN((Sheet6!D164 - Fuzzy_Parameters!$C$11)/(Fuzzy_Parameters!$C$12 - Fuzzy_Parameters!$C$11), 1, (Fuzzy_Parameters!$C$14 - Sheet6!D164)/(Fuzzy_Parameters!$C$14 - Fuzzy_Parameters!$C$13)), 0)</f>
        <v>0</v>
      </c>
      <c r="H164" s="25">
        <f>MAX(MIN((Sheet6!D164 - Fuzzy_Parameters!$C$13)/(Fuzzy_Parameters!$C$14 - Fuzzy_Parameters!$C$13), 1), 0)</f>
        <v>1</v>
      </c>
      <c r="I164" s="25">
        <f>MAX(MIN(1, (Fuzzy_Parameters!$C$20 - Sheet6!E164)/(Fuzzy_Parameters!$C$20 - Fuzzy_Parameters!$C$19)), 0)</f>
        <v>0</v>
      </c>
      <c r="J164" s="25">
        <f>MAX(MIN((Sheet6!E164 - Fuzzy_Parameters!$C$19)/(Fuzzy_Parameters!$C$20 - Fuzzy_Parameters!$C$19), 1, (Fuzzy_Parameters!$C$22 - Sheet6!E164)/(Fuzzy_Parameters!$C$22 - Fuzzy_Parameters!$C$21)), 0)</f>
        <v>1</v>
      </c>
      <c r="K164" s="25">
        <f>MAX(MIN((Sheet6!E164 - Fuzzy_Parameters!$C$21)/(Fuzzy_Parameters!$C$22 - Fuzzy_Parameters!$C$21), 1), 0)</f>
        <v>0</v>
      </c>
      <c r="L164" s="25">
        <f>MAX(MIN(1, (Fuzzy_Parameters!$C$28 - Sheet6!F164)/(Fuzzy_Parameters!$C$28 - Fuzzy_Parameters!$C$27)), 0)</f>
        <v>0</v>
      </c>
      <c r="M164" s="25">
        <f>MAX(MIN((Sheet6!F164 - Fuzzy_Parameters!$C$27)/(Fuzzy_Parameters!$C$28 - Fuzzy_Parameters!$C$27), 1, (Fuzzy_Parameters!$C$30 - Sheet6!F164)/(Fuzzy_Parameters!$C$30 - Fuzzy_Parameters!$C$29)), 0)</f>
        <v>0.819505121</v>
      </c>
      <c r="N164" s="25">
        <f>MAX(MIN((Sheet6!F164 - Fuzzy_Parameters!$C$29)/(Fuzzy_Parameters!$C$30 - Fuzzy_Parameters!$C$29), 1), 0)</f>
        <v>0.180494879</v>
      </c>
    </row>
    <row r="165">
      <c r="A165" s="6" t="s">
        <v>19</v>
      </c>
      <c r="B165" s="26">
        <v>2021.0</v>
      </c>
      <c r="C165" s="25">
        <f>MAX(MIN(1, (Fuzzy_Parameters!$C$4 - Sheet6!C165)/(Fuzzy_Parameters!$C$4 - Fuzzy_Parameters!$C$3)), 0)</f>
        <v>0</v>
      </c>
      <c r="D165" s="25">
        <f>MAX(MIN((Sheet6!C165 - Fuzzy_Parameters!$C$3)/(Fuzzy_Parameters!$C$4 - Fuzzy_Parameters!$C$3), 1, (Fuzzy_Parameters!$C$6 - Sheet6!C165)/(Fuzzy_Parameters!$C$6 - Fuzzy_Parameters!$C$5)), 0)</f>
        <v>1</v>
      </c>
      <c r="E165" s="25">
        <f>MAX(MIN((Sheet6!C165 - Fuzzy_Parameters!$C$5)/(Fuzzy_Parameters!$C$6 - Fuzzy_Parameters!$C$5), 1), 0)</f>
        <v>0</v>
      </c>
      <c r="F165" s="25">
        <f>MAX(MIN(1, (Fuzzy_Parameters!$C$12 - Sheet6!D165)/(Fuzzy_Parameters!$C$12 - Fuzzy_Parameters!$C$11)), 0)</f>
        <v>0</v>
      </c>
      <c r="G165" s="25">
        <f>MAX(MIN((Sheet6!D165 - Fuzzy_Parameters!$C$11)/(Fuzzy_Parameters!$C$12 - Fuzzy_Parameters!$C$11), 1, (Fuzzy_Parameters!$C$14 - Sheet6!D165)/(Fuzzy_Parameters!$C$14 - Fuzzy_Parameters!$C$13)), 0)</f>
        <v>0</v>
      </c>
      <c r="H165" s="25">
        <f>MAX(MIN((Sheet6!D165 - Fuzzy_Parameters!$C$13)/(Fuzzy_Parameters!$C$14 - Fuzzy_Parameters!$C$13), 1), 0)</f>
        <v>1</v>
      </c>
      <c r="I165" s="25">
        <f>MAX(MIN(1, (Fuzzy_Parameters!$C$20 - Sheet6!E165)/(Fuzzy_Parameters!$C$20 - Fuzzy_Parameters!$C$19)), 0)</f>
        <v>0</v>
      </c>
      <c r="J165" s="25">
        <f>MAX(MIN((Sheet6!E165 - Fuzzy_Parameters!$C$19)/(Fuzzy_Parameters!$C$20 - Fuzzy_Parameters!$C$19), 1, (Fuzzy_Parameters!$C$22 - Sheet6!E165)/(Fuzzy_Parameters!$C$22 - Fuzzy_Parameters!$C$21)), 0)</f>
        <v>1</v>
      </c>
      <c r="K165" s="25">
        <f>MAX(MIN((Sheet6!E165 - Fuzzy_Parameters!$C$21)/(Fuzzy_Parameters!$C$22 - Fuzzy_Parameters!$C$21), 1), 0)</f>
        <v>0</v>
      </c>
      <c r="L165" s="25">
        <f>MAX(MIN(1, (Fuzzy_Parameters!$C$28 - Sheet6!F165)/(Fuzzy_Parameters!$C$28 - Fuzzy_Parameters!$C$27)), 0)</f>
        <v>0</v>
      </c>
      <c r="M165" s="25">
        <f>MAX(MIN((Sheet6!F165 - Fuzzy_Parameters!$C$27)/(Fuzzy_Parameters!$C$28 - Fuzzy_Parameters!$C$27), 1, (Fuzzy_Parameters!$C$30 - Sheet6!F165)/(Fuzzy_Parameters!$C$30 - Fuzzy_Parameters!$C$29)), 0)</f>
        <v>0.7706243429</v>
      </c>
      <c r="N165" s="25">
        <f>MAX(MIN((Sheet6!F165 - Fuzzy_Parameters!$C$29)/(Fuzzy_Parameters!$C$30 - Fuzzy_Parameters!$C$29), 1), 0)</f>
        <v>0.2293756571</v>
      </c>
    </row>
    <row r="166">
      <c r="A166" s="6" t="s">
        <v>19</v>
      </c>
      <c r="B166" s="26">
        <v>2020.0</v>
      </c>
      <c r="C166" s="25">
        <f>MAX(MIN(1, (Fuzzy_Parameters!$C$4 - Sheet6!C166)/(Fuzzy_Parameters!$C$4 - Fuzzy_Parameters!$C$3)), 0)</f>
        <v>0</v>
      </c>
      <c r="D166" s="25">
        <f>MAX(MIN((Sheet6!C166 - Fuzzy_Parameters!$C$3)/(Fuzzy_Parameters!$C$4 - Fuzzy_Parameters!$C$3), 1, (Fuzzy_Parameters!$C$6 - Sheet6!C166)/(Fuzzy_Parameters!$C$6 - Fuzzy_Parameters!$C$5)), 0)</f>
        <v>1</v>
      </c>
      <c r="E166" s="25">
        <f>MAX(MIN((Sheet6!C166 - Fuzzy_Parameters!$C$5)/(Fuzzy_Parameters!$C$6 - Fuzzy_Parameters!$C$5), 1), 0)</f>
        <v>0</v>
      </c>
      <c r="F166" s="25">
        <f>MAX(MIN(1, (Fuzzy_Parameters!$C$12 - Sheet6!D166)/(Fuzzy_Parameters!$C$12 - Fuzzy_Parameters!$C$11)), 0)</f>
        <v>0</v>
      </c>
      <c r="G166" s="25">
        <f>MAX(MIN((Sheet6!D166 - Fuzzy_Parameters!$C$11)/(Fuzzy_Parameters!$C$12 - Fuzzy_Parameters!$C$11), 1, (Fuzzy_Parameters!$C$14 - Sheet6!D166)/(Fuzzy_Parameters!$C$14 - Fuzzy_Parameters!$C$13)), 0)</f>
        <v>0.7984277929</v>
      </c>
      <c r="H166" s="25">
        <f>MAX(MIN((Sheet6!D166 - Fuzzy_Parameters!$C$13)/(Fuzzy_Parameters!$C$14 - Fuzzy_Parameters!$C$13), 1), 0)</f>
        <v>0.2015722071</v>
      </c>
      <c r="I166" s="25">
        <f>MAX(MIN(1, (Fuzzy_Parameters!$C$20 - Sheet6!E166)/(Fuzzy_Parameters!$C$20 - Fuzzy_Parameters!$C$19)), 0)</f>
        <v>0.3387096774</v>
      </c>
      <c r="J166" s="25">
        <f>MAX(MIN((Sheet6!E166 - Fuzzy_Parameters!$C$19)/(Fuzzy_Parameters!$C$20 - Fuzzy_Parameters!$C$19), 1, (Fuzzy_Parameters!$C$22 - Sheet6!E166)/(Fuzzy_Parameters!$C$22 - Fuzzy_Parameters!$C$21)), 0)</f>
        <v>0.6612903226</v>
      </c>
      <c r="K166" s="25">
        <f>MAX(MIN((Sheet6!E166 - Fuzzy_Parameters!$C$21)/(Fuzzy_Parameters!$C$22 - Fuzzy_Parameters!$C$21), 1), 0)</f>
        <v>0</v>
      </c>
      <c r="L166" s="25">
        <f>MAX(MIN(1, (Fuzzy_Parameters!$C$28 - Sheet6!F166)/(Fuzzy_Parameters!$C$28 - Fuzzy_Parameters!$C$27)), 0)</f>
        <v>0</v>
      </c>
      <c r="M166" s="25">
        <f>MAX(MIN((Sheet6!F166 - Fuzzy_Parameters!$C$27)/(Fuzzy_Parameters!$C$28 - Fuzzy_Parameters!$C$27), 1, (Fuzzy_Parameters!$C$30 - Sheet6!F166)/(Fuzzy_Parameters!$C$30 - Fuzzy_Parameters!$C$29)), 0)</f>
        <v>0.6537571569</v>
      </c>
      <c r="N166" s="25">
        <f>MAX(MIN((Sheet6!F166 - Fuzzy_Parameters!$C$29)/(Fuzzy_Parameters!$C$30 - Fuzzy_Parameters!$C$29), 1), 0)</f>
        <v>0.3462428431</v>
      </c>
    </row>
    <row r="167">
      <c r="A167" s="6" t="s">
        <v>19</v>
      </c>
      <c r="B167" s="26">
        <v>2019.0</v>
      </c>
      <c r="C167" s="25">
        <f>MAX(MIN(1, (Fuzzy_Parameters!$C$4 - Sheet6!C167)/(Fuzzy_Parameters!$C$4 - Fuzzy_Parameters!$C$3)), 0)</f>
        <v>0.01003393786</v>
      </c>
      <c r="D167" s="25">
        <f>MAX(MIN((Sheet6!C167 - Fuzzy_Parameters!$C$3)/(Fuzzy_Parameters!$C$4 - Fuzzy_Parameters!$C$3), 1, (Fuzzy_Parameters!$C$6 - Sheet6!C167)/(Fuzzy_Parameters!$C$6 - Fuzzy_Parameters!$C$5)), 0)</f>
        <v>0.9899660621</v>
      </c>
      <c r="E167" s="25">
        <f>MAX(MIN((Sheet6!C167 - Fuzzy_Parameters!$C$5)/(Fuzzy_Parameters!$C$6 - Fuzzy_Parameters!$C$5), 1), 0)</f>
        <v>0</v>
      </c>
      <c r="F167" s="25">
        <f>MAX(MIN(1, (Fuzzy_Parameters!$C$12 - Sheet6!D167)/(Fuzzy_Parameters!$C$12 - Fuzzy_Parameters!$C$11)), 0)</f>
        <v>0</v>
      </c>
      <c r="G167" s="25">
        <f>MAX(MIN((Sheet6!D167 - Fuzzy_Parameters!$C$11)/(Fuzzy_Parameters!$C$12 - Fuzzy_Parameters!$C$11), 1, (Fuzzy_Parameters!$C$14 - Sheet6!D167)/(Fuzzy_Parameters!$C$14 - Fuzzy_Parameters!$C$13)), 0)</f>
        <v>0</v>
      </c>
      <c r="H167" s="25">
        <f>MAX(MIN((Sheet6!D167 - Fuzzy_Parameters!$C$13)/(Fuzzy_Parameters!$C$14 - Fuzzy_Parameters!$C$13), 1), 0)</f>
        <v>1</v>
      </c>
      <c r="I167" s="25">
        <f>MAX(MIN(1, (Fuzzy_Parameters!$C$20 - Sheet6!E167)/(Fuzzy_Parameters!$C$20 - Fuzzy_Parameters!$C$19)), 0)</f>
        <v>0</v>
      </c>
      <c r="J167" s="25">
        <f>MAX(MIN((Sheet6!E167 - Fuzzy_Parameters!$C$19)/(Fuzzy_Parameters!$C$20 - Fuzzy_Parameters!$C$19), 1, (Fuzzy_Parameters!$C$22 - Sheet6!E167)/(Fuzzy_Parameters!$C$22 - Fuzzy_Parameters!$C$21)), 0)</f>
        <v>1</v>
      </c>
      <c r="K167" s="25">
        <f>MAX(MIN((Sheet6!E167 - Fuzzy_Parameters!$C$21)/(Fuzzy_Parameters!$C$22 - Fuzzy_Parameters!$C$21), 1), 0)</f>
        <v>0</v>
      </c>
      <c r="L167" s="25">
        <f>MAX(MIN(1, (Fuzzy_Parameters!$C$28 - Sheet6!F167)/(Fuzzy_Parameters!$C$28 - Fuzzy_Parameters!$C$27)), 0)</f>
        <v>0</v>
      </c>
      <c r="M167" s="25">
        <f>MAX(MIN((Sheet6!F167 - Fuzzy_Parameters!$C$27)/(Fuzzy_Parameters!$C$28 - Fuzzy_Parameters!$C$27), 1, (Fuzzy_Parameters!$C$30 - Sheet6!F167)/(Fuzzy_Parameters!$C$30 - Fuzzy_Parameters!$C$29)), 0)</f>
        <v>0.6537571569</v>
      </c>
      <c r="N167" s="25">
        <f>MAX(MIN((Sheet6!F167 - Fuzzy_Parameters!$C$29)/(Fuzzy_Parameters!$C$30 - Fuzzy_Parameters!$C$29), 1), 0)</f>
        <v>0.3462428431</v>
      </c>
    </row>
    <row r="168">
      <c r="A168" s="6" t="s">
        <v>19</v>
      </c>
      <c r="B168" s="26">
        <v>2018.0</v>
      </c>
      <c r="C168" s="25">
        <f>MAX(MIN(1, (Fuzzy_Parameters!$C$4 - Sheet6!C168)/(Fuzzy_Parameters!$C$4 - Fuzzy_Parameters!$C$3)), 0)</f>
        <v>0.4002225906</v>
      </c>
      <c r="D168" s="25">
        <f>MAX(MIN((Sheet6!C168 - Fuzzy_Parameters!$C$3)/(Fuzzy_Parameters!$C$4 - Fuzzy_Parameters!$C$3), 1, (Fuzzy_Parameters!$C$6 - Sheet6!C168)/(Fuzzy_Parameters!$C$6 - Fuzzy_Parameters!$C$5)), 0)</f>
        <v>0.5997774094</v>
      </c>
      <c r="E168" s="25">
        <f>MAX(MIN((Sheet6!C168 - Fuzzy_Parameters!$C$5)/(Fuzzy_Parameters!$C$6 - Fuzzy_Parameters!$C$5), 1), 0)</f>
        <v>0</v>
      </c>
      <c r="F168" s="25">
        <f>MAX(MIN(1, (Fuzzy_Parameters!$C$12 - Sheet6!D168)/(Fuzzy_Parameters!$C$12 - Fuzzy_Parameters!$C$11)), 0)</f>
        <v>0</v>
      </c>
      <c r="G168" s="25">
        <f>MAX(MIN((Sheet6!D168 - Fuzzy_Parameters!$C$11)/(Fuzzy_Parameters!$C$12 - Fuzzy_Parameters!$C$11), 1, (Fuzzy_Parameters!$C$14 - Sheet6!D168)/(Fuzzy_Parameters!$C$14 - Fuzzy_Parameters!$C$13)), 0)</f>
        <v>0.3048850108</v>
      </c>
      <c r="H168" s="25">
        <f>MAX(MIN((Sheet6!D168 - Fuzzy_Parameters!$C$13)/(Fuzzy_Parameters!$C$14 - Fuzzy_Parameters!$C$13), 1), 0)</f>
        <v>0.6951149892</v>
      </c>
      <c r="I168" s="25">
        <f>MAX(MIN(1, (Fuzzy_Parameters!$C$20 - Sheet6!E168)/(Fuzzy_Parameters!$C$20 - Fuzzy_Parameters!$C$19)), 0)</f>
        <v>0</v>
      </c>
      <c r="J168" s="25">
        <f>MAX(MIN((Sheet6!E168 - Fuzzy_Parameters!$C$19)/(Fuzzy_Parameters!$C$20 - Fuzzy_Parameters!$C$19), 1, (Fuzzy_Parameters!$C$22 - Sheet6!E168)/(Fuzzy_Parameters!$C$22 - Fuzzy_Parameters!$C$21)), 0)</f>
        <v>1</v>
      </c>
      <c r="K168" s="25">
        <f>MAX(MIN((Sheet6!E168 - Fuzzy_Parameters!$C$21)/(Fuzzy_Parameters!$C$22 - Fuzzy_Parameters!$C$21), 1), 0)</f>
        <v>0</v>
      </c>
      <c r="L168" s="25">
        <f>MAX(MIN(1, (Fuzzy_Parameters!$C$28 - Sheet6!F168)/(Fuzzy_Parameters!$C$28 - Fuzzy_Parameters!$C$27)), 0)</f>
        <v>0</v>
      </c>
      <c r="M168" s="25">
        <f>MAX(MIN((Sheet6!F168 - Fuzzy_Parameters!$C$27)/(Fuzzy_Parameters!$C$28 - Fuzzy_Parameters!$C$27), 1, (Fuzzy_Parameters!$C$30 - Sheet6!F168)/(Fuzzy_Parameters!$C$30 - Fuzzy_Parameters!$C$29)), 0)</f>
        <v>0.6537571569</v>
      </c>
      <c r="N168" s="25">
        <f>MAX(MIN((Sheet6!F168 - Fuzzy_Parameters!$C$29)/(Fuzzy_Parameters!$C$30 - Fuzzy_Parameters!$C$29), 1), 0)</f>
        <v>0.3462428431</v>
      </c>
    </row>
    <row r="169">
      <c r="A169" s="6" t="s">
        <v>19</v>
      </c>
      <c r="B169" s="26">
        <v>2017.0</v>
      </c>
      <c r="C169" s="25">
        <f>MAX(MIN(1, (Fuzzy_Parameters!$C$4 - Sheet6!C169)/(Fuzzy_Parameters!$C$4 - Fuzzy_Parameters!$C$3)), 0)</f>
        <v>0.5607577208</v>
      </c>
      <c r="D169" s="25">
        <f>MAX(MIN((Sheet6!C169 - Fuzzy_Parameters!$C$3)/(Fuzzy_Parameters!$C$4 - Fuzzy_Parameters!$C$3), 1, (Fuzzy_Parameters!$C$6 - Sheet6!C169)/(Fuzzy_Parameters!$C$6 - Fuzzy_Parameters!$C$5)), 0)</f>
        <v>0.4392422792</v>
      </c>
      <c r="E169" s="25">
        <f>MAX(MIN((Sheet6!C169 - Fuzzy_Parameters!$C$5)/(Fuzzy_Parameters!$C$6 - Fuzzy_Parameters!$C$5), 1), 0)</f>
        <v>0</v>
      </c>
      <c r="F169" s="25">
        <f>MAX(MIN(1, (Fuzzy_Parameters!$C$12 - Sheet6!D169)/(Fuzzy_Parameters!$C$12 - Fuzzy_Parameters!$C$11)), 0)</f>
        <v>0.6871162147</v>
      </c>
      <c r="G169" s="25">
        <f>MAX(MIN((Sheet6!D169 - Fuzzy_Parameters!$C$11)/(Fuzzy_Parameters!$C$12 - Fuzzy_Parameters!$C$11), 1, (Fuzzy_Parameters!$C$14 - Sheet6!D169)/(Fuzzy_Parameters!$C$14 - Fuzzy_Parameters!$C$13)), 0)</f>
        <v>0.3128837853</v>
      </c>
      <c r="H169" s="25">
        <f>MAX(MIN((Sheet6!D169 - Fuzzy_Parameters!$C$13)/(Fuzzy_Parameters!$C$14 - Fuzzy_Parameters!$C$13), 1), 0)</f>
        <v>0</v>
      </c>
      <c r="I169" s="25">
        <f>MAX(MIN(1, (Fuzzy_Parameters!$C$20 - Sheet6!E169)/(Fuzzy_Parameters!$C$20 - Fuzzy_Parameters!$C$19)), 0)</f>
        <v>0</v>
      </c>
      <c r="J169" s="25">
        <f>MAX(MIN((Sheet6!E169 - Fuzzy_Parameters!$C$19)/(Fuzzy_Parameters!$C$20 - Fuzzy_Parameters!$C$19), 1, (Fuzzy_Parameters!$C$22 - Sheet6!E169)/(Fuzzy_Parameters!$C$22 - Fuzzy_Parameters!$C$21)), 0)</f>
        <v>0.8930232558</v>
      </c>
      <c r="K169" s="25">
        <f>MAX(MIN((Sheet6!E169 - Fuzzy_Parameters!$C$21)/(Fuzzy_Parameters!$C$22 - Fuzzy_Parameters!$C$21), 1), 0)</f>
        <v>0.1069767442</v>
      </c>
      <c r="L169" s="25">
        <f>MAX(MIN(1, (Fuzzy_Parameters!$C$28 - Sheet6!F169)/(Fuzzy_Parameters!$C$28 - Fuzzy_Parameters!$C$27)), 0)</f>
        <v>0</v>
      </c>
      <c r="M169" s="25">
        <f>MAX(MIN((Sheet6!F169 - Fuzzy_Parameters!$C$27)/(Fuzzy_Parameters!$C$28 - Fuzzy_Parameters!$C$27), 1, (Fuzzy_Parameters!$C$30 - Sheet6!F169)/(Fuzzy_Parameters!$C$30 - Fuzzy_Parameters!$C$29)), 0)</f>
        <v>0.6537571569</v>
      </c>
      <c r="N169" s="25">
        <f>MAX(MIN((Sheet6!F169 - Fuzzy_Parameters!$C$29)/(Fuzzy_Parameters!$C$30 - Fuzzy_Parameters!$C$29), 1), 0)</f>
        <v>0.3462428431</v>
      </c>
    </row>
    <row r="170">
      <c r="A170" s="6" t="s">
        <v>19</v>
      </c>
      <c r="B170" s="26">
        <v>2016.0</v>
      </c>
      <c r="C170" s="25">
        <f>MAX(MIN(1, (Fuzzy_Parameters!$C$4 - Sheet6!C170)/(Fuzzy_Parameters!$C$4 - Fuzzy_Parameters!$C$3)), 0)</f>
        <v>0.8784845876</v>
      </c>
      <c r="D170" s="25">
        <f>MAX(MIN((Sheet6!C170 - Fuzzy_Parameters!$C$3)/(Fuzzy_Parameters!$C$4 - Fuzzy_Parameters!$C$3), 1, (Fuzzy_Parameters!$C$6 - Sheet6!C170)/(Fuzzy_Parameters!$C$6 - Fuzzy_Parameters!$C$5)), 0)</f>
        <v>0.1215154124</v>
      </c>
      <c r="E170" s="25">
        <f>MAX(MIN((Sheet6!C170 - Fuzzy_Parameters!$C$5)/(Fuzzy_Parameters!$C$6 - Fuzzy_Parameters!$C$5), 1), 0)</f>
        <v>0</v>
      </c>
      <c r="F170" s="25">
        <f>MAX(MIN(1, (Fuzzy_Parameters!$C$12 - Sheet6!D170)/(Fuzzy_Parameters!$C$12 - Fuzzy_Parameters!$C$11)), 0)</f>
        <v>0</v>
      </c>
      <c r="G170" s="25">
        <f>MAX(MIN((Sheet6!D170 - Fuzzy_Parameters!$C$11)/(Fuzzy_Parameters!$C$12 - Fuzzy_Parameters!$C$11), 1, (Fuzzy_Parameters!$C$14 - Sheet6!D170)/(Fuzzy_Parameters!$C$14 - Fuzzy_Parameters!$C$13)), 0)</f>
        <v>1</v>
      </c>
      <c r="H170" s="25">
        <f>MAX(MIN((Sheet6!D170 - Fuzzy_Parameters!$C$13)/(Fuzzy_Parameters!$C$14 - Fuzzy_Parameters!$C$13), 1), 0)</f>
        <v>0</v>
      </c>
      <c r="I170" s="25">
        <f>MAX(MIN(1, (Fuzzy_Parameters!$C$20 - Sheet6!E170)/(Fuzzy_Parameters!$C$20 - Fuzzy_Parameters!$C$19)), 0)</f>
        <v>0</v>
      </c>
      <c r="J170" s="25">
        <f>MAX(MIN((Sheet6!E170 - Fuzzy_Parameters!$C$19)/(Fuzzy_Parameters!$C$20 - Fuzzy_Parameters!$C$19), 1, (Fuzzy_Parameters!$C$22 - Sheet6!E170)/(Fuzzy_Parameters!$C$22 - Fuzzy_Parameters!$C$21)), 0)</f>
        <v>1</v>
      </c>
      <c r="K170" s="25">
        <f>MAX(MIN((Sheet6!E170 - Fuzzy_Parameters!$C$21)/(Fuzzy_Parameters!$C$22 - Fuzzy_Parameters!$C$21), 1), 0)</f>
        <v>0</v>
      </c>
      <c r="L170" s="25">
        <f>MAX(MIN(1, (Fuzzy_Parameters!$C$28 - Sheet6!F170)/(Fuzzy_Parameters!$C$28 - Fuzzy_Parameters!$C$27)), 0)</f>
        <v>0</v>
      </c>
      <c r="M170" s="25">
        <f>MAX(MIN((Sheet6!F170 - Fuzzy_Parameters!$C$27)/(Fuzzy_Parameters!$C$28 - Fuzzy_Parameters!$C$27), 1, (Fuzzy_Parameters!$C$30 - Sheet6!F170)/(Fuzzy_Parameters!$C$30 - Fuzzy_Parameters!$C$29)), 0)</f>
        <v>0.6537571569</v>
      </c>
      <c r="N170" s="25">
        <f>MAX(MIN((Sheet6!F170 - Fuzzy_Parameters!$C$29)/(Fuzzy_Parameters!$C$30 - Fuzzy_Parameters!$C$29), 1), 0)</f>
        <v>0.3462428431</v>
      </c>
    </row>
    <row r="171">
      <c r="A171" s="6" t="s">
        <v>19</v>
      </c>
      <c r="B171" s="26">
        <v>2015.0</v>
      </c>
      <c r="C171" s="25">
        <f>MAX(MIN(1, (Fuzzy_Parameters!$C$4 - Sheet6!C171)/(Fuzzy_Parameters!$C$4 - Fuzzy_Parameters!$C$3)), 0)</f>
        <v>1</v>
      </c>
      <c r="D171" s="25">
        <f>MAX(MIN((Sheet6!C171 - Fuzzy_Parameters!$C$3)/(Fuzzy_Parameters!$C$4 - Fuzzy_Parameters!$C$3), 1, (Fuzzy_Parameters!$C$6 - Sheet6!C171)/(Fuzzy_Parameters!$C$6 - Fuzzy_Parameters!$C$5)), 0)</f>
        <v>0</v>
      </c>
      <c r="E171" s="25">
        <f>MAX(MIN((Sheet6!C171 - Fuzzy_Parameters!$C$5)/(Fuzzy_Parameters!$C$6 - Fuzzy_Parameters!$C$5), 1), 0)</f>
        <v>0</v>
      </c>
      <c r="F171" s="25">
        <f>MAX(MIN(1, (Fuzzy_Parameters!$C$12 - Sheet6!D171)/(Fuzzy_Parameters!$C$12 - Fuzzy_Parameters!$C$11)), 0)</f>
        <v>0</v>
      </c>
      <c r="G171" s="25">
        <f>MAX(MIN((Sheet6!D171 - Fuzzy_Parameters!$C$11)/(Fuzzy_Parameters!$C$12 - Fuzzy_Parameters!$C$11), 1, (Fuzzy_Parameters!$C$14 - Sheet6!D171)/(Fuzzy_Parameters!$C$14 - Fuzzy_Parameters!$C$13)), 0)</f>
        <v>1</v>
      </c>
      <c r="H171" s="25">
        <f>MAX(MIN((Sheet6!D171 - Fuzzy_Parameters!$C$13)/(Fuzzy_Parameters!$C$14 - Fuzzy_Parameters!$C$13), 1), 0)</f>
        <v>0</v>
      </c>
      <c r="I171" s="25">
        <f>MAX(MIN(1, (Fuzzy_Parameters!$C$20 - Sheet6!E171)/(Fuzzy_Parameters!$C$20 - Fuzzy_Parameters!$C$19)), 0)</f>
        <v>0</v>
      </c>
      <c r="J171" s="25">
        <f>MAX(MIN((Sheet6!E171 - Fuzzy_Parameters!$C$19)/(Fuzzy_Parameters!$C$20 - Fuzzy_Parameters!$C$19), 1, (Fuzzy_Parameters!$C$22 - Sheet6!E171)/(Fuzzy_Parameters!$C$22 - Fuzzy_Parameters!$C$21)), 0)</f>
        <v>0.7581395349</v>
      </c>
      <c r="K171" s="25">
        <f>MAX(MIN((Sheet6!E171 - Fuzzy_Parameters!$C$21)/(Fuzzy_Parameters!$C$22 - Fuzzy_Parameters!$C$21), 1), 0)</f>
        <v>0.2418604651</v>
      </c>
      <c r="L171" s="25">
        <f>MAX(MIN(1, (Fuzzy_Parameters!$C$28 - Sheet6!F171)/(Fuzzy_Parameters!$C$28 - Fuzzy_Parameters!$C$27)), 0)</f>
        <v>0</v>
      </c>
      <c r="M171" s="25">
        <f>MAX(MIN((Sheet6!F171 - Fuzzy_Parameters!$C$27)/(Fuzzy_Parameters!$C$28 - Fuzzy_Parameters!$C$27), 1, (Fuzzy_Parameters!$C$30 - Sheet6!F171)/(Fuzzy_Parameters!$C$30 - Fuzzy_Parameters!$C$29)), 0)</f>
        <v>0.6537571569</v>
      </c>
      <c r="N171" s="25">
        <f>MAX(MIN((Sheet6!F171 - Fuzzy_Parameters!$C$29)/(Fuzzy_Parameters!$C$30 - Fuzzy_Parameters!$C$29), 1), 0)</f>
        <v>0.3462428431</v>
      </c>
    </row>
    <row r="172">
      <c r="A172" s="56" t="s">
        <v>19</v>
      </c>
      <c r="B172" s="57">
        <v>2014.0</v>
      </c>
      <c r="C172" s="25">
        <f>MAX(MIN(1, (Fuzzy_Parameters!$C$4 - Sheet6!C172)/(Fuzzy_Parameters!$C$4 - Fuzzy_Parameters!$C$3)), 0)</f>
        <v>1</v>
      </c>
      <c r="D172" s="25">
        <f>MAX(MIN((Sheet6!C172 - Fuzzy_Parameters!$C$3)/(Fuzzy_Parameters!$C$4 - Fuzzy_Parameters!$C$3), 1, (Fuzzy_Parameters!$C$6 - Sheet6!C172)/(Fuzzy_Parameters!$C$6 - Fuzzy_Parameters!$C$5)), 0)</f>
        <v>0</v>
      </c>
      <c r="E172" s="25">
        <f>MAX(MIN((Sheet6!C172 - Fuzzy_Parameters!$C$5)/(Fuzzy_Parameters!$C$6 - Fuzzy_Parameters!$C$5), 1), 0)</f>
        <v>0</v>
      </c>
      <c r="F172" s="25">
        <f>MAX(MIN(1, (Fuzzy_Parameters!$C$12 - Sheet6!D172)/(Fuzzy_Parameters!$C$12 - Fuzzy_Parameters!$C$11)), 0)</f>
        <v>0</v>
      </c>
      <c r="G172" s="25">
        <f>MAX(MIN((Sheet6!D172 - Fuzzy_Parameters!$C$11)/(Fuzzy_Parameters!$C$12 - Fuzzy_Parameters!$C$11), 1, (Fuzzy_Parameters!$C$14 - Sheet6!D172)/(Fuzzy_Parameters!$C$14 - Fuzzy_Parameters!$C$13)), 0)</f>
        <v>0.6462661107</v>
      </c>
      <c r="H172" s="25">
        <f>MAX(MIN((Sheet6!D172 - Fuzzy_Parameters!$C$13)/(Fuzzy_Parameters!$C$14 - Fuzzy_Parameters!$C$13), 1), 0)</f>
        <v>0.3537338893</v>
      </c>
      <c r="I172" s="25">
        <f>MAX(MIN(1, (Fuzzy_Parameters!$C$20 - Sheet6!E172)/(Fuzzy_Parameters!$C$20 - Fuzzy_Parameters!$C$19)), 0)</f>
        <v>0</v>
      </c>
      <c r="J172" s="25">
        <f>MAX(MIN((Sheet6!E172 - Fuzzy_Parameters!$C$19)/(Fuzzy_Parameters!$C$20 - Fuzzy_Parameters!$C$19), 1, (Fuzzy_Parameters!$C$22 - Sheet6!E172)/(Fuzzy_Parameters!$C$22 - Fuzzy_Parameters!$C$21)), 0)</f>
        <v>1</v>
      </c>
      <c r="K172" s="25">
        <f>MAX(MIN((Sheet6!E172 - Fuzzy_Parameters!$C$21)/(Fuzzy_Parameters!$C$22 - Fuzzy_Parameters!$C$21), 1), 0)</f>
        <v>0</v>
      </c>
      <c r="L172" s="25">
        <f>MAX(MIN(1, (Fuzzy_Parameters!$C$28 - Sheet6!F172)/(Fuzzy_Parameters!$C$28 - Fuzzy_Parameters!$C$27)), 0)</f>
        <v>0</v>
      </c>
      <c r="M172" s="25">
        <f>MAX(MIN((Sheet6!F172 - Fuzzy_Parameters!$C$27)/(Fuzzy_Parameters!$C$28 - Fuzzy_Parameters!$C$27), 1, (Fuzzy_Parameters!$C$30 - Sheet6!F172)/(Fuzzy_Parameters!$C$30 - Fuzzy_Parameters!$C$29)), 0)</f>
        <v>0.6537571569</v>
      </c>
      <c r="N172" s="25">
        <f>MAX(MIN((Sheet6!F172 - Fuzzy_Parameters!$C$29)/(Fuzzy_Parameters!$C$30 - Fuzzy_Parameters!$C$29), 1), 0)</f>
        <v>0.3462428431</v>
      </c>
    </row>
    <row r="173">
      <c r="A173" s="6" t="s">
        <v>20</v>
      </c>
      <c r="B173" s="26">
        <v>2022.0</v>
      </c>
      <c r="C173" s="25">
        <f>MAX(MIN(1, (Fuzzy_Parameters!$C$4 - Sheet6!C173)/(Fuzzy_Parameters!$C$4 - Fuzzy_Parameters!$C$3)), 0)</f>
        <v>0</v>
      </c>
      <c r="D173" s="25">
        <f>MAX(MIN((Sheet6!C173 - Fuzzy_Parameters!$C$3)/(Fuzzy_Parameters!$C$4 - Fuzzy_Parameters!$C$3), 1, (Fuzzy_Parameters!$C$6 - Sheet6!C173)/(Fuzzy_Parameters!$C$6 - Fuzzy_Parameters!$C$5)), 0)</f>
        <v>0</v>
      </c>
      <c r="E173" s="25">
        <f>MAX(MIN((Sheet6!C173 - Fuzzy_Parameters!$C$5)/(Fuzzy_Parameters!$C$6 - Fuzzy_Parameters!$C$5), 1), 0)</f>
        <v>1</v>
      </c>
      <c r="F173" s="25">
        <f>MAX(MIN(1, (Fuzzy_Parameters!$C$12 - Sheet6!D173)/(Fuzzy_Parameters!$C$12 - Fuzzy_Parameters!$C$11)), 0)</f>
        <v>0.6827341286</v>
      </c>
      <c r="G173" s="25">
        <f>MAX(MIN((Sheet6!D173 - Fuzzy_Parameters!$C$11)/(Fuzzy_Parameters!$C$12 - Fuzzy_Parameters!$C$11), 1, (Fuzzy_Parameters!$C$14 - Sheet6!D173)/(Fuzzy_Parameters!$C$14 - Fuzzy_Parameters!$C$13)), 0)</f>
        <v>0.3172658714</v>
      </c>
      <c r="H173" s="25">
        <f>MAX(MIN((Sheet6!D173 - Fuzzy_Parameters!$C$13)/(Fuzzy_Parameters!$C$14 - Fuzzy_Parameters!$C$13), 1), 0)</f>
        <v>0</v>
      </c>
      <c r="I173" s="25">
        <f>MAX(MIN(1, (Fuzzy_Parameters!$C$20 - Sheet6!E173)/(Fuzzy_Parameters!$C$20 - Fuzzy_Parameters!$C$19)), 0)</f>
        <v>0.0564516129</v>
      </c>
      <c r="J173" s="25">
        <f>MAX(MIN((Sheet6!E173 - Fuzzy_Parameters!$C$19)/(Fuzzy_Parameters!$C$20 - Fuzzy_Parameters!$C$19), 1, (Fuzzy_Parameters!$C$22 - Sheet6!E173)/(Fuzzy_Parameters!$C$22 - Fuzzy_Parameters!$C$21)), 0)</f>
        <v>0.9435483871</v>
      </c>
      <c r="K173" s="25">
        <f>MAX(MIN((Sheet6!E173 - Fuzzy_Parameters!$C$21)/(Fuzzy_Parameters!$C$22 - Fuzzy_Parameters!$C$21), 1), 0)</f>
        <v>0</v>
      </c>
      <c r="L173" s="25">
        <f>MAX(MIN(1, (Fuzzy_Parameters!$C$28 - Sheet6!F173)/(Fuzzy_Parameters!$C$28 - Fuzzy_Parameters!$C$27)), 0)</f>
        <v>0.7609111442</v>
      </c>
      <c r="M173" s="25">
        <f>MAX(MIN((Sheet6!F173 - Fuzzy_Parameters!$C$27)/(Fuzzy_Parameters!$C$28 - Fuzzy_Parameters!$C$27), 1, (Fuzzy_Parameters!$C$30 - Sheet6!F173)/(Fuzzy_Parameters!$C$30 - Fuzzy_Parameters!$C$29)), 0)</f>
        <v>0.2390888558</v>
      </c>
      <c r="N173" s="25">
        <f>MAX(MIN((Sheet6!F173 - Fuzzy_Parameters!$C$29)/(Fuzzy_Parameters!$C$30 - Fuzzy_Parameters!$C$29), 1), 0)</f>
        <v>0</v>
      </c>
    </row>
    <row r="174">
      <c r="A174" s="6" t="s">
        <v>20</v>
      </c>
      <c r="B174" s="26">
        <v>2021.0</v>
      </c>
      <c r="C174" s="25">
        <f>MAX(MIN(1, (Fuzzy_Parameters!$C$4 - Sheet6!C174)/(Fuzzy_Parameters!$C$4 - Fuzzy_Parameters!$C$3)), 0)</f>
        <v>0</v>
      </c>
      <c r="D174" s="25">
        <f>MAX(MIN((Sheet6!C174 - Fuzzy_Parameters!$C$3)/(Fuzzy_Parameters!$C$4 - Fuzzy_Parameters!$C$3), 1, (Fuzzy_Parameters!$C$6 - Sheet6!C174)/(Fuzzy_Parameters!$C$6 - Fuzzy_Parameters!$C$5)), 0)</f>
        <v>0.0000002120073201</v>
      </c>
      <c r="E174" s="25">
        <f>MAX(MIN((Sheet6!C174 - Fuzzy_Parameters!$C$5)/(Fuzzy_Parameters!$C$6 - Fuzzy_Parameters!$C$5), 1), 0)</f>
        <v>0.999999788</v>
      </c>
      <c r="F174" s="25">
        <f>MAX(MIN(1, (Fuzzy_Parameters!$C$12 - Sheet6!D174)/(Fuzzy_Parameters!$C$12 - Fuzzy_Parameters!$C$11)), 0)</f>
        <v>0.6029798533</v>
      </c>
      <c r="G174" s="25">
        <f>MAX(MIN((Sheet6!D174 - Fuzzy_Parameters!$C$11)/(Fuzzy_Parameters!$C$12 - Fuzzy_Parameters!$C$11), 1, (Fuzzy_Parameters!$C$14 - Sheet6!D174)/(Fuzzy_Parameters!$C$14 - Fuzzy_Parameters!$C$13)), 0)</f>
        <v>0.3970201467</v>
      </c>
      <c r="H174" s="25">
        <f>MAX(MIN((Sheet6!D174 - Fuzzy_Parameters!$C$13)/(Fuzzy_Parameters!$C$14 - Fuzzy_Parameters!$C$13), 1), 0)</f>
        <v>0</v>
      </c>
      <c r="I174" s="25">
        <f>MAX(MIN(1, (Fuzzy_Parameters!$C$20 - Sheet6!E174)/(Fuzzy_Parameters!$C$20 - Fuzzy_Parameters!$C$19)), 0)</f>
        <v>0</v>
      </c>
      <c r="J174" s="25">
        <f>MAX(MIN((Sheet6!E174 - Fuzzy_Parameters!$C$19)/(Fuzzy_Parameters!$C$20 - Fuzzy_Parameters!$C$19), 1, (Fuzzy_Parameters!$C$22 - Sheet6!E174)/(Fuzzy_Parameters!$C$22 - Fuzzy_Parameters!$C$21)), 0)</f>
        <v>1</v>
      </c>
      <c r="K174" s="25">
        <f>MAX(MIN((Sheet6!E174 - Fuzzy_Parameters!$C$21)/(Fuzzy_Parameters!$C$22 - Fuzzy_Parameters!$C$21), 1), 0)</f>
        <v>0</v>
      </c>
      <c r="L174" s="25">
        <f>MAX(MIN(1, (Fuzzy_Parameters!$C$28 - Sheet6!F174)/(Fuzzy_Parameters!$C$28 - Fuzzy_Parameters!$C$27)), 0)</f>
        <v>0.8193171071</v>
      </c>
      <c r="M174" s="25">
        <f>MAX(MIN((Sheet6!F174 - Fuzzy_Parameters!$C$27)/(Fuzzy_Parameters!$C$28 - Fuzzy_Parameters!$C$27), 1, (Fuzzy_Parameters!$C$30 - Sheet6!F174)/(Fuzzy_Parameters!$C$30 - Fuzzy_Parameters!$C$29)), 0)</f>
        <v>0.1806828929</v>
      </c>
      <c r="N174" s="25">
        <f>MAX(MIN((Sheet6!F174 - Fuzzy_Parameters!$C$29)/(Fuzzy_Parameters!$C$30 - Fuzzy_Parameters!$C$29), 1), 0)</f>
        <v>0</v>
      </c>
    </row>
    <row r="175">
      <c r="A175" s="6" t="s">
        <v>20</v>
      </c>
      <c r="B175" s="26">
        <v>2020.0</v>
      </c>
      <c r="C175" s="25">
        <f>MAX(MIN(1, (Fuzzy_Parameters!$C$4 - Sheet6!C175)/(Fuzzy_Parameters!$C$4 - Fuzzy_Parameters!$C$3)), 0)</f>
        <v>0</v>
      </c>
      <c r="D175" s="25">
        <f>MAX(MIN((Sheet6!C175 - Fuzzy_Parameters!$C$3)/(Fuzzy_Parameters!$C$4 - Fuzzy_Parameters!$C$3), 1, (Fuzzy_Parameters!$C$6 - Sheet6!C175)/(Fuzzy_Parameters!$C$6 - Fuzzy_Parameters!$C$5)), 0)</f>
        <v>0.342060556</v>
      </c>
      <c r="E175" s="25">
        <f>MAX(MIN((Sheet6!C175 - Fuzzy_Parameters!$C$5)/(Fuzzy_Parameters!$C$6 - Fuzzy_Parameters!$C$5), 1), 0)</f>
        <v>0.657939444</v>
      </c>
      <c r="F175" s="25">
        <f>MAX(MIN(1, (Fuzzy_Parameters!$C$12 - Sheet6!D175)/(Fuzzy_Parameters!$C$12 - Fuzzy_Parameters!$C$11)), 0)</f>
        <v>0.4452232119</v>
      </c>
      <c r="G175" s="25">
        <f>MAX(MIN((Sheet6!D175 - Fuzzy_Parameters!$C$11)/(Fuzzy_Parameters!$C$12 - Fuzzy_Parameters!$C$11), 1, (Fuzzy_Parameters!$C$14 - Sheet6!D175)/(Fuzzy_Parameters!$C$14 - Fuzzy_Parameters!$C$13)), 0)</f>
        <v>0.5547767881</v>
      </c>
      <c r="H175" s="25">
        <f>MAX(MIN((Sheet6!D175 - Fuzzy_Parameters!$C$13)/(Fuzzy_Parameters!$C$14 - Fuzzy_Parameters!$C$13), 1), 0)</f>
        <v>0</v>
      </c>
      <c r="I175" s="25">
        <f>MAX(MIN(1, (Fuzzy_Parameters!$C$20 - Sheet6!E175)/(Fuzzy_Parameters!$C$20 - Fuzzy_Parameters!$C$19)), 0)</f>
        <v>1</v>
      </c>
      <c r="J175" s="25">
        <f>MAX(MIN((Sheet6!E175 - Fuzzy_Parameters!$C$19)/(Fuzzy_Parameters!$C$20 - Fuzzy_Parameters!$C$19), 1, (Fuzzy_Parameters!$C$22 - Sheet6!E175)/(Fuzzy_Parameters!$C$22 - Fuzzy_Parameters!$C$21)), 0)</f>
        <v>0</v>
      </c>
      <c r="K175" s="25">
        <f>MAX(MIN((Sheet6!E175 - Fuzzy_Parameters!$C$21)/(Fuzzy_Parameters!$C$22 - Fuzzy_Parameters!$C$21), 1), 0)</f>
        <v>0</v>
      </c>
      <c r="L175" s="25">
        <f>MAX(MIN(1, (Fuzzy_Parameters!$C$28 - Sheet6!F175)/(Fuzzy_Parameters!$C$28 - Fuzzy_Parameters!$C$27)), 0)</f>
        <v>0</v>
      </c>
      <c r="M175" s="25">
        <f>MAX(MIN((Sheet6!F175 - Fuzzy_Parameters!$C$27)/(Fuzzy_Parameters!$C$28 - Fuzzy_Parameters!$C$27), 1, (Fuzzy_Parameters!$C$30 - Sheet6!F175)/(Fuzzy_Parameters!$C$30 - Fuzzy_Parameters!$C$29)), 0)</f>
        <v>1</v>
      </c>
      <c r="N175" s="25">
        <f>MAX(MIN((Sheet6!F175 - Fuzzy_Parameters!$C$29)/(Fuzzy_Parameters!$C$30 - Fuzzy_Parameters!$C$29), 1), 0)</f>
        <v>0</v>
      </c>
    </row>
    <row r="176">
      <c r="A176" s="6" t="s">
        <v>20</v>
      </c>
      <c r="B176" s="26">
        <v>2019.0</v>
      </c>
      <c r="C176" s="25">
        <f>MAX(MIN(1, (Fuzzy_Parameters!$C$4 - Sheet6!C176)/(Fuzzy_Parameters!$C$4 - Fuzzy_Parameters!$C$3)), 0)</f>
        <v>0</v>
      </c>
      <c r="D176" s="25">
        <f>MAX(MIN((Sheet6!C176 - Fuzzy_Parameters!$C$3)/(Fuzzy_Parameters!$C$4 - Fuzzy_Parameters!$C$3), 1, (Fuzzy_Parameters!$C$6 - Sheet6!C176)/(Fuzzy_Parameters!$C$6 - Fuzzy_Parameters!$C$5)), 0)</f>
        <v>0.2367680698</v>
      </c>
      <c r="E176" s="25">
        <f>MAX(MIN((Sheet6!C176 - Fuzzy_Parameters!$C$5)/(Fuzzy_Parameters!$C$6 - Fuzzy_Parameters!$C$5), 1), 0)</f>
        <v>0.7632319302</v>
      </c>
      <c r="F176" s="25">
        <f>MAX(MIN(1, (Fuzzy_Parameters!$C$12 - Sheet6!D176)/(Fuzzy_Parameters!$C$12 - Fuzzy_Parameters!$C$11)), 0)</f>
        <v>0.5162140861</v>
      </c>
      <c r="G176" s="25">
        <f>MAX(MIN((Sheet6!D176 - Fuzzy_Parameters!$C$11)/(Fuzzy_Parameters!$C$12 - Fuzzy_Parameters!$C$11), 1, (Fuzzy_Parameters!$C$14 - Sheet6!D176)/(Fuzzy_Parameters!$C$14 - Fuzzy_Parameters!$C$13)), 0)</f>
        <v>0.4837859139</v>
      </c>
      <c r="H176" s="25">
        <f>MAX(MIN((Sheet6!D176 - Fuzzy_Parameters!$C$13)/(Fuzzy_Parameters!$C$14 - Fuzzy_Parameters!$C$13), 1), 0)</f>
        <v>0</v>
      </c>
      <c r="I176" s="25">
        <f>MAX(MIN(1, (Fuzzy_Parameters!$C$20 - Sheet6!E176)/(Fuzzy_Parameters!$C$20 - Fuzzy_Parameters!$C$19)), 0)</f>
        <v>0.9677419355</v>
      </c>
      <c r="J176" s="25">
        <f>MAX(MIN((Sheet6!E176 - Fuzzy_Parameters!$C$19)/(Fuzzy_Parameters!$C$20 - Fuzzy_Parameters!$C$19), 1, (Fuzzy_Parameters!$C$22 - Sheet6!E176)/(Fuzzy_Parameters!$C$22 - Fuzzy_Parameters!$C$21)), 0)</f>
        <v>0.03225806452</v>
      </c>
      <c r="K176" s="25">
        <f>MAX(MIN((Sheet6!E176 - Fuzzy_Parameters!$C$21)/(Fuzzy_Parameters!$C$22 - Fuzzy_Parameters!$C$21), 1), 0)</f>
        <v>0</v>
      </c>
      <c r="L176" s="25">
        <f>MAX(MIN(1, (Fuzzy_Parameters!$C$28 - Sheet6!F176)/(Fuzzy_Parameters!$C$28 - Fuzzy_Parameters!$C$27)), 0)</f>
        <v>0</v>
      </c>
      <c r="M176" s="25">
        <f>MAX(MIN((Sheet6!F176 - Fuzzy_Parameters!$C$27)/(Fuzzy_Parameters!$C$28 - Fuzzy_Parameters!$C$27), 1, (Fuzzy_Parameters!$C$30 - Sheet6!F176)/(Fuzzy_Parameters!$C$30 - Fuzzy_Parameters!$C$29)), 0)</f>
        <v>1</v>
      </c>
      <c r="N176" s="25">
        <f>MAX(MIN((Sheet6!F176 - Fuzzy_Parameters!$C$29)/(Fuzzy_Parameters!$C$30 - Fuzzy_Parameters!$C$29), 1), 0)</f>
        <v>0</v>
      </c>
    </row>
    <row r="177">
      <c r="A177" s="6" t="s">
        <v>20</v>
      </c>
      <c r="B177" s="26">
        <v>2018.0</v>
      </c>
      <c r="C177" s="25">
        <f>MAX(MIN(1, (Fuzzy_Parameters!$C$4 - Sheet6!C177)/(Fuzzy_Parameters!$C$4 - Fuzzy_Parameters!$C$3)), 0)</f>
        <v>0</v>
      </c>
      <c r="D177" s="25">
        <f>MAX(MIN((Sheet6!C177 - Fuzzy_Parameters!$C$3)/(Fuzzy_Parameters!$C$4 - Fuzzy_Parameters!$C$3), 1, (Fuzzy_Parameters!$C$6 - Sheet6!C177)/(Fuzzy_Parameters!$C$6 - Fuzzy_Parameters!$C$5)), 0)</f>
        <v>0.4031528997</v>
      </c>
      <c r="E177" s="25">
        <f>MAX(MIN((Sheet6!C177 - Fuzzy_Parameters!$C$5)/(Fuzzy_Parameters!$C$6 - Fuzzy_Parameters!$C$5), 1), 0)</f>
        <v>0.5968471003</v>
      </c>
      <c r="F177" s="25">
        <f>MAX(MIN(1, (Fuzzy_Parameters!$C$12 - Sheet6!D177)/(Fuzzy_Parameters!$C$12 - Fuzzy_Parameters!$C$11)), 0)</f>
        <v>0.511832</v>
      </c>
      <c r="G177" s="25">
        <f>MAX(MIN((Sheet6!D177 - Fuzzy_Parameters!$C$11)/(Fuzzy_Parameters!$C$12 - Fuzzy_Parameters!$C$11), 1, (Fuzzy_Parameters!$C$14 - Sheet6!D177)/(Fuzzy_Parameters!$C$14 - Fuzzy_Parameters!$C$13)), 0)</f>
        <v>0.488168</v>
      </c>
      <c r="H177" s="25">
        <f>MAX(MIN((Sheet6!D177 - Fuzzy_Parameters!$C$13)/(Fuzzy_Parameters!$C$14 - Fuzzy_Parameters!$C$13), 1), 0)</f>
        <v>0</v>
      </c>
      <c r="I177" s="25">
        <f>MAX(MIN(1, (Fuzzy_Parameters!$C$20 - Sheet6!E177)/(Fuzzy_Parameters!$C$20 - Fuzzy_Parameters!$C$19)), 0)</f>
        <v>1</v>
      </c>
      <c r="J177" s="25">
        <f>MAX(MIN((Sheet6!E177 - Fuzzy_Parameters!$C$19)/(Fuzzy_Parameters!$C$20 - Fuzzy_Parameters!$C$19), 1, (Fuzzy_Parameters!$C$22 - Sheet6!E177)/(Fuzzy_Parameters!$C$22 - Fuzzy_Parameters!$C$21)), 0)</f>
        <v>0</v>
      </c>
      <c r="K177" s="25">
        <f>MAX(MIN((Sheet6!E177 - Fuzzy_Parameters!$C$21)/(Fuzzy_Parameters!$C$22 - Fuzzy_Parameters!$C$21), 1), 0)</f>
        <v>0</v>
      </c>
      <c r="L177" s="25">
        <f>MAX(MIN(1, (Fuzzy_Parameters!$C$28 - Sheet6!F177)/(Fuzzy_Parameters!$C$28 - Fuzzy_Parameters!$C$27)), 0)</f>
        <v>0.02390189531</v>
      </c>
      <c r="M177" s="25">
        <f>MAX(MIN((Sheet6!F177 - Fuzzy_Parameters!$C$27)/(Fuzzy_Parameters!$C$28 - Fuzzy_Parameters!$C$27), 1, (Fuzzy_Parameters!$C$30 - Sheet6!F177)/(Fuzzy_Parameters!$C$30 - Fuzzy_Parameters!$C$29)), 0)</f>
        <v>0.9760981047</v>
      </c>
      <c r="N177" s="25">
        <f>MAX(MIN((Sheet6!F177 - Fuzzy_Parameters!$C$29)/(Fuzzy_Parameters!$C$30 - Fuzzy_Parameters!$C$29), 1), 0)</f>
        <v>0</v>
      </c>
    </row>
    <row r="178">
      <c r="A178" s="6" t="s">
        <v>20</v>
      </c>
      <c r="B178" s="26">
        <v>2017.0</v>
      </c>
      <c r="C178" s="25">
        <f>MAX(MIN(1, (Fuzzy_Parameters!$C$4 - Sheet6!C178)/(Fuzzy_Parameters!$C$4 - Fuzzy_Parameters!$C$3)), 0)</f>
        <v>0</v>
      </c>
      <c r="D178" s="25">
        <f>MAX(MIN((Sheet6!C178 - Fuzzy_Parameters!$C$3)/(Fuzzy_Parameters!$C$4 - Fuzzy_Parameters!$C$3), 1, (Fuzzy_Parameters!$C$6 - Sheet6!C178)/(Fuzzy_Parameters!$C$6 - Fuzzy_Parameters!$C$5)), 0)</f>
        <v>0</v>
      </c>
      <c r="E178" s="25">
        <f>MAX(MIN((Sheet6!C178 - Fuzzy_Parameters!$C$5)/(Fuzzy_Parameters!$C$6 - Fuzzy_Parameters!$C$5), 1), 0)</f>
        <v>1</v>
      </c>
      <c r="F178" s="25">
        <f>MAX(MIN(1, (Fuzzy_Parameters!$C$12 - Sheet6!D178)/(Fuzzy_Parameters!$C$12 - Fuzzy_Parameters!$C$11)), 0)</f>
        <v>1</v>
      </c>
      <c r="G178" s="25">
        <f>MAX(MIN((Sheet6!D178 - Fuzzy_Parameters!$C$11)/(Fuzzy_Parameters!$C$12 - Fuzzy_Parameters!$C$11), 1, (Fuzzy_Parameters!$C$14 - Sheet6!D178)/(Fuzzy_Parameters!$C$14 - Fuzzy_Parameters!$C$13)), 0)</f>
        <v>0</v>
      </c>
      <c r="H178" s="25">
        <f>MAX(MIN((Sheet6!D178 - Fuzzy_Parameters!$C$13)/(Fuzzy_Parameters!$C$14 - Fuzzy_Parameters!$C$13), 1), 0)</f>
        <v>0</v>
      </c>
      <c r="I178" s="25">
        <f>MAX(MIN(1, (Fuzzy_Parameters!$C$20 - Sheet6!E178)/(Fuzzy_Parameters!$C$20 - Fuzzy_Parameters!$C$19)), 0)</f>
        <v>1</v>
      </c>
      <c r="J178" s="25">
        <f>MAX(MIN((Sheet6!E178 - Fuzzy_Parameters!$C$19)/(Fuzzy_Parameters!$C$20 - Fuzzy_Parameters!$C$19), 1, (Fuzzy_Parameters!$C$22 - Sheet6!E178)/(Fuzzy_Parameters!$C$22 - Fuzzy_Parameters!$C$21)), 0)</f>
        <v>0</v>
      </c>
      <c r="K178" s="25">
        <f>MAX(MIN((Sheet6!E178 - Fuzzy_Parameters!$C$21)/(Fuzzy_Parameters!$C$22 - Fuzzy_Parameters!$C$21), 1), 0)</f>
        <v>0</v>
      </c>
      <c r="L178" s="25">
        <f>MAX(MIN(1, (Fuzzy_Parameters!$C$28 - Sheet6!F178)/(Fuzzy_Parameters!$C$28 - Fuzzy_Parameters!$C$27)), 0)</f>
        <v>0</v>
      </c>
      <c r="M178" s="25">
        <f>MAX(MIN((Sheet6!F178 - Fuzzy_Parameters!$C$27)/(Fuzzy_Parameters!$C$28 - Fuzzy_Parameters!$C$27), 1, (Fuzzy_Parameters!$C$30 - Sheet6!F178)/(Fuzzy_Parameters!$C$30 - Fuzzy_Parameters!$C$29)), 0)</f>
        <v>1</v>
      </c>
      <c r="N178" s="25">
        <f>MAX(MIN((Sheet6!F178 - Fuzzy_Parameters!$C$29)/(Fuzzy_Parameters!$C$30 - Fuzzy_Parameters!$C$29), 1), 0)</f>
        <v>0</v>
      </c>
    </row>
    <row r="179">
      <c r="A179" s="6" t="s">
        <v>20</v>
      </c>
      <c r="B179" s="26">
        <v>2016.0</v>
      </c>
      <c r="C179" s="25">
        <f>MAX(MIN(1, (Fuzzy_Parameters!$C$4 - Sheet6!C179)/(Fuzzy_Parameters!$C$4 - Fuzzy_Parameters!$C$3)), 0)</f>
        <v>0</v>
      </c>
      <c r="D179" s="25">
        <f>MAX(MIN((Sheet6!C179 - Fuzzy_Parameters!$C$3)/(Fuzzy_Parameters!$C$4 - Fuzzy_Parameters!$C$3), 1, (Fuzzy_Parameters!$C$6 - Sheet6!C179)/(Fuzzy_Parameters!$C$6 - Fuzzy_Parameters!$C$5)), 0)</f>
        <v>0</v>
      </c>
      <c r="E179" s="25">
        <f>MAX(MIN((Sheet6!C179 - Fuzzy_Parameters!$C$5)/(Fuzzy_Parameters!$C$6 - Fuzzy_Parameters!$C$5), 1), 0)</f>
        <v>1</v>
      </c>
      <c r="F179" s="25">
        <f>MAX(MIN(1, (Fuzzy_Parameters!$C$12 - Sheet6!D179)/(Fuzzy_Parameters!$C$12 - Fuzzy_Parameters!$C$11)), 0)</f>
        <v>0</v>
      </c>
      <c r="G179" s="25">
        <f>MAX(MIN((Sheet6!D179 - Fuzzy_Parameters!$C$11)/(Fuzzy_Parameters!$C$12 - Fuzzy_Parameters!$C$11), 1, (Fuzzy_Parameters!$C$14 - Sheet6!D179)/(Fuzzy_Parameters!$C$14 - Fuzzy_Parameters!$C$13)), 0)</f>
        <v>1</v>
      </c>
      <c r="H179" s="25">
        <f>MAX(MIN((Sheet6!D179 - Fuzzy_Parameters!$C$13)/(Fuzzy_Parameters!$C$14 - Fuzzy_Parameters!$C$13), 1), 0)</f>
        <v>0</v>
      </c>
      <c r="I179" s="25">
        <f>MAX(MIN(1, (Fuzzy_Parameters!$C$20 - Sheet6!E179)/(Fuzzy_Parameters!$C$20 - Fuzzy_Parameters!$C$19)), 0)</f>
        <v>1</v>
      </c>
      <c r="J179" s="25">
        <f>MAX(MIN((Sheet6!E179 - Fuzzy_Parameters!$C$19)/(Fuzzy_Parameters!$C$20 - Fuzzy_Parameters!$C$19), 1, (Fuzzy_Parameters!$C$22 - Sheet6!E179)/(Fuzzy_Parameters!$C$22 - Fuzzy_Parameters!$C$21)), 0)</f>
        <v>0</v>
      </c>
      <c r="K179" s="25">
        <f>MAX(MIN((Sheet6!E179 - Fuzzy_Parameters!$C$21)/(Fuzzy_Parameters!$C$22 - Fuzzy_Parameters!$C$21), 1), 0)</f>
        <v>0</v>
      </c>
      <c r="L179" s="25">
        <f>MAX(MIN(1, (Fuzzy_Parameters!$C$28 - Sheet6!F179)/(Fuzzy_Parameters!$C$28 - Fuzzy_Parameters!$C$27)), 0)</f>
        <v>0</v>
      </c>
      <c r="M179" s="25">
        <f>MAX(MIN((Sheet6!F179 - Fuzzy_Parameters!$C$27)/(Fuzzy_Parameters!$C$28 - Fuzzy_Parameters!$C$27), 1, (Fuzzy_Parameters!$C$30 - Sheet6!F179)/(Fuzzy_Parameters!$C$30 - Fuzzy_Parameters!$C$29)), 0)</f>
        <v>1</v>
      </c>
      <c r="N179" s="25">
        <f>MAX(MIN((Sheet6!F179 - Fuzzy_Parameters!$C$29)/(Fuzzy_Parameters!$C$30 - Fuzzy_Parameters!$C$29), 1), 0)</f>
        <v>0</v>
      </c>
    </row>
    <row r="180">
      <c r="A180" s="6" t="s">
        <v>20</v>
      </c>
      <c r="B180" s="26">
        <v>2015.0</v>
      </c>
      <c r="C180" s="25">
        <f>MAX(MIN(1, (Fuzzy_Parameters!$C$4 - Sheet6!C180)/(Fuzzy_Parameters!$C$4 - Fuzzy_Parameters!$C$3)), 0)</f>
        <v>0</v>
      </c>
      <c r="D180" s="25">
        <f>MAX(MIN((Sheet6!C180 - Fuzzy_Parameters!$C$3)/(Fuzzy_Parameters!$C$4 - Fuzzy_Parameters!$C$3), 1, (Fuzzy_Parameters!$C$6 - Sheet6!C180)/(Fuzzy_Parameters!$C$6 - Fuzzy_Parameters!$C$5)), 0)</f>
        <v>0</v>
      </c>
      <c r="E180" s="25">
        <f>MAX(MIN((Sheet6!C180 - Fuzzy_Parameters!$C$5)/(Fuzzy_Parameters!$C$6 - Fuzzy_Parameters!$C$5), 1), 0)</f>
        <v>1</v>
      </c>
      <c r="F180" s="25">
        <f>MAX(MIN(1, (Fuzzy_Parameters!$C$12 - Sheet6!D180)/(Fuzzy_Parameters!$C$12 - Fuzzy_Parameters!$C$11)), 0)</f>
        <v>0.2077122951</v>
      </c>
      <c r="G180" s="25">
        <f>MAX(MIN((Sheet6!D180 - Fuzzy_Parameters!$C$11)/(Fuzzy_Parameters!$C$12 - Fuzzy_Parameters!$C$11), 1, (Fuzzy_Parameters!$C$14 - Sheet6!D180)/(Fuzzy_Parameters!$C$14 - Fuzzy_Parameters!$C$13)), 0)</f>
        <v>0.7922877049</v>
      </c>
      <c r="H180" s="25">
        <f>MAX(MIN((Sheet6!D180 - Fuzzy_Parameters!$C$13)/(Fuzzy_Parameters!$C$14 - Fuzzy_Parameters!$C$13), 1), 0)</f>
        <v>0</v>
      </c>
      <c r="I180" s="25">
        <f>MAX(MIN(1, (Fuzzy_Parameters!$C$20 - Sheet6!E180)/(Fuzzy_Parameters!$C$20 - Fuzzy_Parameters!$C$19)), 0)</f>
        <v>1</v>
      </c>
      <c r="J180" s="25">
        <f>MAX(MIN((Sheet6!E180 - Fuzzy_Parameters!$C$19)/(Fuzzy_Parameters!$C$20 - Fuzzy_Parameters!$C$19), 1, (Fuzzy_Parameters!$C$22 - Sheet6!E180)/(Fuzzy_Parameters!$C$22 - Fuzzy_Parameters!$C$21)), 0)</f>
        <v>0</v>
      </c>
      <c r="K180" s="25">
        <f>MAX(MIN((Sheet6!E180 - Fuzzy_Parameters!$C$21)/(Fuzzy_Parameters!$C$22 - Fuzzy_Parameters!$C$21), 1), 0)</f>
        <v>0</v>
      </c>
      <c r="L180" s="25">
        <f>MAX(MIN(1, (Fuzzy_Parameters!$C$28 - Sheet6!F180)/(Fuzzy_Parameters!$C$28 - Fuzzy_Parameters!$C$27)), 0)</f>
        <v>0</v>
      </c>
      <c r="M180" s="25">
        <f>MAX(MIN((Sheet6!F180 - Fuzzy_Parameters!$C$27)/(Fuzzy_Parameters!$C$28 - Fuzzy_Parameters!$C$27), 1, (Fuzzy_Parameters!$C$30 - Sheet6!F180)/(Fuzzy_Parameters!$C$30 - Fuzzy_Parameters!$C$29)), 0)</f>
        <v>1</v>
      </c>
      <c r="N180" s="25">
        <f>MAX(MIN((Sheet6!F180 - Fuzzy_Parameters!$C$29)/(Fuzzy_Parameters!$C$30 - Fuzzy_Parameters!$C$29), 1), 0)</f>
        <v>0</v>
      </c>
    </row>
    <row r="181">
      <c r="A181" s="56" t="s">
        <v>20</v>
      </c>
      <c r="B181" s="57">
        <v>2014.0</v>
      </c>
      <c r="C181" s="25">
        <f>MAX(MIN(1, (Fuzzy_Parameters!$C$4 - Sheet6!C181)/(Fuzzy_Parameters!$C$4 - Fuzzy_Parameters!$C$3)), 0)</f>
        <v>0</v>
      </c>
      <c r="D181" s="25">
        <f>MAX(MIN((Sheet6!C181 - Fuzzy_Parameters!$C$3)/(Fuzzy_Parameters!$C$4 - Fuzzy_Parameters!$C$3), 1, (Fuzzy_Parameters!$C$6 - Sheet6!C181)/(Fuzzy_Parameters!$C$6 - Fuzzy_Parameters!$C$5)), 0)</f>
        <v>0</v>
      </c>
      <c r="E181" s="25">
        <f>MAX(MIN((Sheet6!C181 - Fuzzy_Parameters!$C$5)/(Fuzzy_Parameters!$C$6 - Fuzzy_Parameters!$C$5), 1), 0)</f>
        <v>1</v>
      </c>
      <c r="F181" s="25">
        <f>MAX(MIN(1, (Fuzzy_Parameters!$C$12 - Sheet6!D181)/(Fuzzy_Parameters!$C$12 - Fuzzy_Parameters!$C$11)), 0)</f>
        <v>0.2147237871</v>
      </c>
      <c r="G181" s="25">
        <f>MAX(MIN((Sheet6!D181 - Fuzzy_Parameters!$C$11)/(Fuzzy_Parameters!$C$12 - Fuzzy_Parameters!$C$11), 1, (Fuzzy_Parameters!$C$14 - Sheet6!D181)/(Fuzzy_Parameters!$C$14 - Fuzzy_Parameters!$C$13)), 0)</f>
        <v>0.7852762129</v>
      </c>
      <c r="H181" s="25">
        <f>MAX(MIN((Sheet6!D181 - Fuzzy_Parameters!$C$13)/(Fuzzy_Parameters!$C$14 - Fuzzy_Parameters!$C$13), 1), 0)</f>
        <v>0</v>
      </c>
      <c r="I181" s="25">
        <f>MAX(MIN(1, (Fuzzy_Parameters!$C$20 - Sheet6!E181)/(Fuzzy_Parameters!$C$20 - Fuzzy_Parameters!$C$19)), 0)</f>
        <v>1</v>
      </c>
      <c r="J181" s="25">
        <f>MAX(MIN((Sheet6!E181 - Fuzzy_Parameters!$C$19)/(Fuzzy_Parameters!$C$20 - Fuzzy_Parameters!$C$19), 1, (Fuzzy_Parameters!$C$22 - Sheet6!E181)/(Fuzzy_Parameters!$C$22 - Fuzzy_Parameters!$C$21)), 0)</f>
        <v>0</v>
      </c>
      <c r="K181" s="25">
        <f>MAX(MIN((Sheet6!E181 - Fuzzy_Parameters!$C$21)/(Fuzzy_Parameters!$C$22 - Fuzzy_Parameters!$C$21), 1), 0)</f>
        <v>0</v>
      </c>
      <c r="L181" s="25">
        <f>MAX(MIN(1, (Fuzzy_Parameters!$C$28 - Sheet6!F181)/(Fuzzy_Parameters!$C$28 - Fuzzy_Parameters!$C$27)), 0)</f>
        <v>0</v>
      </c>
      <c r="M181" s="25">
        <f>MAX(MIN((Sheet6!F181 - Fuzzy_Parameters!$C$27)/(Fuzzy_Parameters!$C$28 - Fuzzy_Parameters!$C$27), 1, (Fuzzy_Parameters!$C$30 - Sheet6!F181)/(Fuzzy_Parameters!$C$30 - Fuzzy_Parameters!$C$29)), 0)</f>
        <v>1</v>
      </c>
      <c r="N181" s="25">
        <f>MAX(MIN((Sheet6!F181 - Fuzzy_Parameters!$C$29)/(Fuzzy_Parameters!$C$30 - Fuzzy_Parameters!$C$29), 1), 0)</f>
        <v>0</v>
      </c>
    </row>
    <row r="182">
      <c r="A182" s="6" t="s">
        <v>21</v>
      </c>
      <c r="B182" s="26">
        <v>2022.0</v>
      </c>
      <c r="C182" s="25">
        <f>MAX(MIN(1, (Fuzzy_Parameters!$C$4 - Sheet6!C182)/(Fuzzy_Parameters!$C$4 - Fuzzy_Parameters!$C$3)), 0)</f>
        <v>0</v>
      </c>
      <c r="D182" s="25">
        <f>MAX(MIN((Sheet6!C182 - Fuzzy_Parameters!$C$3)/(Fuzzy_Parameters!$C$4 - Fuzzy_Parameters!$C$3), 1, (Fuzzy_Parameters!$C$6 - Sheet6!C182)/(Fuzzy_Parameters!$C$6 - Fuzzy_Parameters!$C$5)), 0)</f>
        <v>1</v>
      </c>
      <c r="E182" s="25">
        <f>MAX(MIN((Sheet6!C182 - Fuzzy_Parameters!$C$5)/(Fuzzy_Parameters!$C$6 - Fuzzy_Parameters!$C$5), 1), 0)</f>
        <v>0</v>
      </c>
      <c r="F182" s="25">
        <f>MAX(MIN(1, (Fuzzy_Parameters!$C$12 - Sheet6!D182)/(Fuzzy_Parameters!$C$12 - Fuzzy_Parameters!$C$11)), 0)</f>
        <v>0</v>
      </c>
      <c r="G182" s="25">
        <f>MAX(MIN((Sheet6!D182 - Fuzzy_Parameters!$C$11)/(Fuzzy_Parameters!$C$12 - Fuzzy_Parameters!$C$11), 1, (Fuzzy_Parameters!$C$14 - Sheet6!D182)/(Fuzzy_Parameters!$C$14 - Fuzzy_Parameters!$C$13)), 0)</f>
        <v>1</v>
      </c>
      <c r="H182" s="25">
        <f>MAX(MIN((Sheet6!D182 - Fuzzy_Parameters!$C$13)/(Fuzzy_Parameters!$C$14 - Fuzzy_Parameters!$C$13), 1), 0)</f>
        <v>0</v>
      </c>
      <c r="I182" s="25">
        <f>MAX(MIN(1, (Fuzzy_Parameters!$C$20 - Sheet6!E182)/(Fuzzy_Parameters!$C$20 - Fuzzy_Parameters!$C$19)), 0)</f>
        <v>0.8870967742</v>
      </c>
      <c r="J182" s="25">
        <f>MAX(MIN((Sheet6!E182 - Fuzzy_Parameters!$C$19)/(Fuzzy_Parameters!$C$20 - Fuzzy_Parameters!$C$19), 1, (Fuzzy_Parameters!$C$22 - Sheet6!E182)/(Fuzzy_Parameters!$C$22 - Fuzzy_Parameters!$C$21)), 0)</f>
        <v>0.1129032258</v>
      </c>
      <c r="K182" s="25">
        <f>MAX(MIN((Sheet6!E182 - Fuzzy_Parameters!$C$21)/(Fuzzy_Parameters!$C$22 - Fuzzy_Parameters!$C$21), 1), 0)</f>
        <v>0</v>
      </c>
      <c r="L182" s="25">
        <f>MAX(MIN(1, (Fuzzy_Parameters!$C$28 - Sheet6!F182)/(Fuzzy_Parameters!$C$28 - Fuzzy_Parameters!$C$27)), 0)</f>
        <v>0</v>
      </c>
      <c r="M182" s="25">
        <f>MAX(MIN((Sheet6!F182 - Fuzzy_Parameters!$C$27)/(Fuzzy_Parameters!$C$28 - Fuzzy_Parameters!$C$27), 1, (Fuzzy_Parameters!$C$30 - Sheet6!F182)/(Fuzzy_Parameters!$C$30 - Fuzzy_Parameters!$C$29)), 0)</f>
        <v>0</v>
      </c>
      <c r="N182" s="25">
        <f>MAX(MIN((Sheet6!F182 - Fuzzy_Parameters!$C$29)/(Fuzzy_Parameters!$C$30 - Fuzzy_Parameters!$C$29), 1), 0)</f>
        <v>1</v>
      </c>
    </row>
    <row r="183">
      <c r="A183" s="6" t="s">
        <v>21</v>
      </c>
      <c r="B183" s="26">
        <v>2021.0</v>
      </c>
      <c r="C183" s="25">
        <f>MAX(MIN(1, (Fuzzy_Parameters!$C$4 - Sheet6!C183)/(Fuzzy_Parameters!$C$4 - Fuzzy_Parameters!$C$3)), 0)</f>
        <v>0</v>
      </c>
      <c r="D183" s="25">
        <f>MAX(MIN((Sheet6!C183 - Fuzzy_Parameters!$C$3)/(Fuzzy_Parameters!$C$4 - Fuzzy_Parameters!$C$3), 1, (Fuzzy_Parameters!$C$6 - Sheet6!C183)/(Fuzzy_Parameters!$C$6 - Fuzzy_Parameters!$C$5)), 0)</f>
        <v>1</v>
      </c>
      <c r="E183" s="25">
        <f>MAX(MIN((Sheet6!C183 - Fuzzy_Parameters!$C$5)/(Fuzzy_Parameters!$C$6 - Fuzzy_Parameters!$C$5), 1), 0)</f>
        <v>0</v>
      </c>
      <c r="F183" s="25">
        <f>MAX(MIN(1, (Fuzzy_Parameters!$C$12 - Sheet6!D183)/(Fuzzy_Parameters!$C$12 - Fuzzy_Parameters!$C$11)), 0)</f>
        <v>0</v>
      </c>
      <c r="G183" s="25">
        <f>MAX(MIN((Sheet6!D183 - Fuzzy_Parameters!$C$11)/(Fuzzy_Parameters!$C$12 - Fuzzy_Parameters!$C$11), 1, (Fuzzy_Parameters!$C$14 - Sheet6!D183)/(Fuzzy_Parameters!$C$14 - Fuzzy_Parameters!$C$13)), 0)</f>
        <v>1</v>
      </c>
      <c r="H183" s="25">
        <f>MAX(MIN((Sheet6!D183 - Fuzzy_Parameters!$C$13)/(Fuzzy_Parameters!$C$14 - Fuzzy_Parameters!$C$13), 1), 0)</f>
        <v>0</v>
      </c>
      <c r="I183" s="25">
        <f>MAX(MIN(1, (Fuzzy_Parameters!$C$20 - Sheet6!E183)/(Fuzzy_Parameters!$C$20 - Fuzzy_Parameters!$C$19)), 0)</f>
        <v>1</v>
      </c>
      <c r="J183" s="25">
        <f>MAX(MIN((Sheet6!E183 - Fuzzy_Parameters!$C$19)/(Fuzzy_Parameters!$C$20 - Fuzzy_Parameters!$C$19), 1, (Fuzzy_Parameters!$C$22 - Sheet6!E183)/(Fuzzy_Parameters!$C$22 - Fuzzy_Parameters!$C$21)), 0)</f>
        <v>0</v>
      </c>
      <c r="K183" s="25">
        <f>MAX(MIN((Sheet6!E183 - Fuzzy_Parameters!$C$21)/(Fuzzy_Parameters!$C$22 - Fuzzy_Parameters!$C$21), 1), 0)</f>
        <v>0</v>
      </c>
      <c r="L183" s="25">
        <f>MAX(MIN(1, (Fuzzy_Parameters!$C$28 - Sheet6!F183)/(Fuzzy_Parameters!$C$28 - Fuzzy_Parameters!$C$27)), 0)</f>
        <v>0</v>
      </c>
      <c r="M183" s="25">
        <f>MAX(MIN((Sheet6!F183 - Fuzzy_Parameters!$C$27)/(Fuzzy_Parameters!$C$28 - Fuzzy_Parameters!$C$27), 1, (Fuzzy_Parameters!$C$30 - Sheet6!F183)/(Fuzzy_Parameters!$C$30 - Fuzzy_Parameters!$C$29)), 0)</f>
        <v>0</v>
      </c>
      <c r="N183" s="25">
        <f>MAX(MIN((Sheet6!F183 - Fuzzy_Parameters!$C$29)/(Fuzzy_Parameters!$C$30 - Fuzzy_Parameters!$C$29), 1), 0)</f>
        <v>1</v>
      </c>
    </row>
    <row r="184">
      <c r="A184" s="6" t="s">
        <v>21</v>
      </c>
      <c r="B184" s="26">
        <v>2020.0</v>
      </c>
      <c r="C184" s="25">
        <f>MAX(MIN(1, (Fuzzy_Parameters!$C$4 - Sheet6!C184)/(Fuzzy_Parameters!$C$4 - Fuzzy_Parameters!$C$3)), 0)</f>
        <v>0</v>
      </c>
      <c r="D184" s="25">
        <f>MAX(MIN((Sheet6!C184 - Fuzzy_Parameters!$C$3)/(Fuzzy_Parameters!$C$4 - Fuzzy_Parameters!$C$3), 1, (Fuzzy_Parameters!$C$6 - Sheet6!C184)/(Fuzzy_Parameters!$C$6 - Fuzzy_Parameters!$C$5)), 0)</f>
        <v>1</v>
      </c>
      <c r="E184" s="25">
        <f>MAX(MIN((Sheet6!C184 - Fuzzy_Parameters!$C$5)/(Fuzzy_Parameters!$C$6 - Fuzzy_Parameters!$C$5), 1), 0)</f>
        <v>0</v>
      </c>
      <c r="F184" s="25">
        <f>MAX(MIN(1, (Fuzzy_Parameters!$C$12 - Sheet6!D184)/(Fuzzy_Parameters!$C$12 - Fuzzy_Parameters!$C$11)), 0)</f>
        <v>1</v>
      </c>
      <c r="G184" s="25">
        <f>MAX(MIN((Sheet6!D184 - Fuzzy_Parameters!$C$11)/(Fuzzy_Parameters!$C$12 - Fuzzy_Parameters!$C$11), 1, (Fuzzy_Parameters!$C$14 - Sheet6!D184)/(Fuzzy_Parameters!$C$14 - Fuzzy_Parameters!$C$13)), 0)</f>
        <v>0</v>
      </c>
      <c r="H184" s="25">
        <f>MAX(MIN((Sheet6!D184 - Fuzzy_Parameters!$C$13)/(Fuzzy_Parameters!$C$14 - Fuzzy_Parameters!$C$13), 1), 0)</f>
        <v>0</v>
      </c>
      <c r="I184" s="25">
        <f>MAX(MIN(1, (Fuzzy_Parameters!$C$20 - Sheet6!E184)/(Fuzzy_Parameters!$C$20 - Fuzzy_Parameters!$C$19)), 0)</f>
        <v>1</v>
      </c>
      <c r="J184" s="25">
        <f>MAX(MIN((Sheet6!E184 - Fuzzy_Parameters!$C$19)/(Fuzzy_Parameters!$C$20 - Fuzzy_Parameters!$C$19), 1, (Fuzzy_Parameters!$C$22 - Sheet6!E184)/(Fuzzy_Parameters!$C$22 - Fuzzy_Parameters!$C$21)), 0)</f>
        <v>0</v>
      </c>
      <c r="K184" s="25">
        <f>MAX(MIN((Sheet6!E184 - Fuzzy_Parameters!$C$21)/(Fuzzy_Parameters!$C$22 - Fuzzy_Parameters!$C$21), 1), 0)</f>
        <v>0</v>
      </c>
      <c r="L184" s="25">
        <f>MAX(MIN(1, (Fuzzy_Parameters!$C$28 - Sheet6!F184)/(Fuzzy_Parameters!$C$28 - Fuzzy_Parameters!$C$27)), 0)</f>
        <v>0</v>
      </c>
      <c r="M184" s="25">
        <f>MAX(MIN((Sheet6!F184 - Fuzzy_Parameters!$C$27)/(Fuzzy_Parameters!$C$28 - Fuzzy_Parameters!$C$27), 1, (Fuzzy_Parameters!$C$30 - Sheet6!F184)/(Fuzzy_Parameters!$C$30 - Fuzzy_Parameters!$C$29)), 0)</f>
        <v>0</v>
      </c>
      <c r="N184" s="25">
        <f>MAX(MIN((Sheet6!F184 - Fuzzy_Parameters!$C$29)/(Fuzzy_Parameters!$C$30 - Fuzzy_Parameters!$C$29), 1), 0)</f>
        <v>1</v>
      </c>
    </row>
    <row r="185">
      <c r="A185" s="6" t="s">
        <v>21</v>
      </c>
      <c r="B185" s="26">
        <v>2019.0</v>
      </c>
      <c r="C185" s="25">
        <f>MAX(MIN(1, (Fuzzy_Parameters!$C$4 - Sheet6!C185)/(Fuzzy_Parameters!$C$4 - Fuzzy_Parameters!$C$3)), 0)</f>
        <v>1</v>
      </c>
      <c r="D185" s="25">
        <f>MAX(MIN((Sheet6!C185 - Fuzzy_Parameters!$C$3)/(Fuzzy_Parameters!$C$4 - Fuzzy_Parameters!$C$3), 1, (Fuzzy_Parameters!$C$6 - Sheet6!C185)/(Fuzzy_Parameters!$C$6 - Fuzzy_Parameters!$C$5)), 0)</f>
        <v>0</v>
      </c>
      <c r="E185" s="25">
        <f>MAX(MIN((Sheet6!C185 - Fuzzy_Parameters!$C$5)/(Fuzzy_Parameters!$C$6 - Fuzzy_Parameters!$C$5), 1), 0)</f>
        <v>0</v>
      </c>
      <c r="F185" s="25">
        <f>MAX(MIN(1, (Fuzzy_Parameters!$C$12 - Sheet6!D185)/(Fuzzy_Parameters!$C$12 - Fuzzy_Parameters!$C$11)), 0)</f>
        <v>1</v>
      </c>
      <c r="G185" s="25">
        <f>MAX(MIN((Sheet6!D185 - Fuzzy_Parameters!$C$11)/(Fuzzy_Parameters!$C$12 - Fuzzy_Parameters!$C$11), 1, (Fuzzy_Parameters!$C$14 - Sheet6!D185)/(Fuzzy_Parameters!$C$14 - Fuzzy_Parameters!$C$13)), 0)</f>
        <v>0</v>
      </c>
      <c r="H185" s="25">
        <f>MAX(MIN((Sheet6!D185 - Fuzzy_Parameters!$C$13)/(Fuzzy_Parameters!$C$14 - Fuzzy_Parameters!$C$13), 1), 0)</f>
        <v>0</v>
      </c>
      <c r="I185" s="25">
        <f>MAX(MIN(1, (Fuzzy_Parameters!$C$20 - Sheet6!E185)/(Fuzzy_Parameters!$C$20 - Fuzzy_Parameters!$C$19)), 0)</f>
        <v>1</v>
      </c>
      <c r="J185" s="25">
        <f>MAX(MIN((Sheet6!E185 - Fuzzy_Parameters!$C$19)/(Fuzzy_Parameters!$C$20 - Fuzzy_Parameters!$C$19), 1, (Fuzzy_Parameters!$C$22 - Sheet6!E185)/(Fuzzy_Parameters!$C$22 - Fuzzy_Parameters!$C$21)), 0)</f>
        <v>0</v>
      </c>
      <c r="K185" s="25">
        <f>MAX(MIN((Sheet6!E185 - Fuzzy_Parameters!$C$21)/(Fuzzy_Parameters!$C$22 - Fuzzy_Parameters!$C$21), 1), 0)</f>
        <v>0</v>
      </c>
      <c r="L185" s="25">
        <f>MAX(MIN(1, (Fuzzy_Parameters!$C$28 - Sheet6!F185)/(Fuzzy_Parameters!$C$28 - Fuzzy_Parameters!$C$27)), 0)</f>
        <v>0</v>
      </c>
      <c r="M185" s="25">
        <f>MAX(MIN((Sheet6!F185 - Fuzzy_Parameters!$C$27)/(Fuzzy_Parameters!$C$28 - Fuzzy_Parameters!$C$27), 1, (Fuzzy_Parameters!$C$30 - Sheet6!F185)/(Fuzzy_Parameters!$C$30 - Fuzzy_Parameters!$C$29)), 0)</f>
        <v>0</v>
      </c>
      <c r="N185" s="25">
        <f>MAX(MIN((Sheet6!F185 - Fuzzy_Parameters!$C$29)/(Fuzzy_Parameters!$C$30 - Fuzzy_Parameters!$C$29), 1), 0)</f>
        <v>1</v>
      </c>
    </row>
    <row r="186">
      <c r="A186" s="6" t="s">
        <v>21</v>
      </c>
      <c r="B186" s="26">
        <v>2018.0</v>
      </c>
      <c r="C186" s="25">
        <f>MAX(MIN(1, (Fuzzy_Parameters!$C$4 - Sheet6!C186)/(Fuzzy_Parameters!$C$4 - Fuzzy_Parameters!$C$3)), 0)</f>
        <v>1</v>
      </c>
      <c r="D186" s="25">
        <f>MAX(MIN((Sheet6!C186 - Fuzzy_Parameters!$C$3)/(Fuzzy_Parameters!$C$4 - Fuzzy_Parameters!$C$3), 1, (Fuzzy_Parameters!$C$6 - Sheet6!C186)/(Fuzzy_Parameters!$C$6 - Fuzzy_Parameters!$C$5)), 0)</f>
        <v>0</v>
      </c>
      <c r="E186" s="25">
        <f>MAX(MIN((Sheet6!C186 - Fuzzy_Parameters!$C$5)/(Fuzzy_Parameters!$C$6 - Fuzzy_Parameters!$C$5), 1), 0)</f>
        <v>0</v>
      </c>
      <c r="F186" s="25">
        <f>MAX(MIN(1, (Fuzzy_Parameters!$C$12 - Sheet6!D186)/(Fuzzy_Parameters!$C$12 - Fuzzy_Parameters!$C$11)), 0)</f>
        <v>1</v>
      </c>
      <c r="G186" s="25">
        <f>MAX(MIN((Sheet6!D186 - Fuzzy_Parameters!$C$11)/(Fuzzy_Parameters!$C$12 - Fuzzy_Parameters!$C$11), 1, (Fuzzy_Parameters!$C$14 - Sheet6!D186)/(Fuzzy_Parameters!$C$14 - Fuzzy_Parameters!$C$13)), 0)</f>
        <v>0</v>
      </c>
      <c r="H186" s="25">
        <f>MAX(MIN((Sheet6!D186 - Fuzzy_Parameters!$C$13)/(Fuzzy_Parameters!$C$14 - Fuzzy_Parameters!$C$13), 1), 0)</f>
        <v>0</v>
      </c>
      <c r="I186" s="25">
        <f>MAX(MIN(1, (Fuzzy_Parameters!$C$20 - Sheet6!E186)/(Fuzzy_Parameters!$C$20 - Fuzzy_Parameters!$C$19)), 0)</f>
        <v>1</v>
      </c>
      <c r="J186" s="25">
        <f>MAX(MIN((Sheet6!E186 - Fuzzy_Parameters!$C$19)/(Fuzzy_Parameters!$C$20 - Fuzzy_Parameters!$C$19), 1, (Fuzzy_Parameters!$C$22 - Sheet6!E186)/(Fuzzy_Parameters!$C$22 - Fuzzy_Parameters!$C$21)), 0)</f>
        <v>0</v>
      </c>
      <c r="K186" s="25">
        <f>MAX(MIN((Sheet6!E186 - Fuzzy_Parameters!$C$21)/(Fuzzy_Parameters!$C$22 - Fuzzy_Parameters!$C$21), 1), 0)</f>
        <v>0</v>
      </c>
      <c r="L186" s="25">
        <f>MAX(MIN(1, (Fuzzy_Parameters!$C$28 - Sheet6!F186)/(Fuzzy_Parameters!$C$28 - Fuzzy_Parameters!$C$27)), 0)</f>
        <v>0</v>
      </c>
      <c r="M186" s="25">
        <f>MAX(MIN((Sheet6!F186 - Fuzzy_Parameters!$C$27)/(Fuzzy_Parameters!$C$28 - Fuzzy_Parameters!$C$27), 1, (Fuzzy_Parameters!$C$30 - Sheet6!F186)/(Fuzzy_Parameters!$C$30 - Fuzzy_Parameters!$C$29)), 0)</f>
        <v>0</v>
      </c>
      <c r="N186" s="25">
        <f>MAX(MIN((Sheet6!F186 - Fuzzy_Parameters!$C$29)/(Fuzzy_Parameters!$C$30 - Fuzzy_Parameters!$C$29), 1), 0)</f>
        <v>1</v>
      </c>
    </row>
    <row r="187">
      <c r="A187" s="6" t="s">
        <v>21</v>
      </c>
      <c r="B187" s="26">
        <v>2017.0</v>
      </c>
      <c r="C187" s="25">
        <f>MAX(MIN(1, (Fuzzy_Parameters!$C$4 - Sheet6!C187)/(Fuzzy_Parameters!$C$4 - Fuzzy_Parameters!$C$3)), 0)</f>
        <v>1</v>
      </c>
      <c r="D187" s="25">
        <f>MAX(MIN((Sheet6!C187 - Fuzzy_Parameters!$C$3)/(Fuzzy_Parameters!$C$4 - Fuzzy_Parameters!$C$3), 1, (Fuzzy_Parameters!$C$6 - Sheet6!C187)/(Fuzzy_Parameters!$C$6 - Fuzzy_Parameters!$C$5)), 0)</f>
        <v>0</v>
      </c>
      <c r="E187" s="25">
        <f>MAX(MIN((Sheet6!C187 - Fuzzy_Parameters!$C$5)/(Fuzzy_Parameters!$C$6 - Fuzzy_Parameters!$C$5), 1), 0)</f>
        <v>0</v>
      </c>
      <c r="F187" s="25">
        <f>MAX(MIN(1, (Fuzzy_Parameters!$C$12 - Sheet6!D187)/(Fuzzy_Parameters!$C$12 - Fuzzy_Parameters!$C$11)), 0)</f>
        <v>0</v>
      </c>
      <c r="G187" s="25">
        <f>MAX(MIN((Sheet6!D187 - Fuzzy_Parameters!$C$11)/(Fuzzy_Parameters!$C$12 - Fuzzy_Parameters!$C$11), 1, (Fuzzy_Parameters!$C$14 - Sheet6!D187)/(Fuzzy_Parameters!$C$14 - Fuzzy_Parameters!$C$13)), 0)</f>
        <v>1</v>
      </c>
      <c r="H187" s="25">
        <f>MAX(MIN((Sheet6!D187 - Fuzzy_Parameters!$C$13)/(Fuzzy_Parameters!$C$14 - Fuzzy_Parameters!$C$13), 1), 0)</f>
        <v>0</v>
      </c>
      <c r="I187" s="25">
        <f>MAX(MIN(1, (Fuzzy_Parameters!$C$20 - Sheet6!E187)/(Fuzzy_Parameters!$C$20 - Fuzzy_Parameters!$C$19)), 0)</f>
        <v>1</v>
      </c>
      <c r="J187" s="25">
        <f>MAX(MIN((Sheet6!E187 - Fuzzy_Parameters!$C$19)/(Fuzzy_Parameters!$C$20 - Fuzzy_Parameters!$C$19), 1, (Fuzzy_Parameters!$C$22 - Sheet6!E187)/(Fuzzy_Parameters!$C$22 - Fuzzy_Parameters!$C$21)), 0)</f>
        <v>0</v>
      </c>
      <c r="K187" s="25">
        <f>MAX(MIN((Sheet6!E187 - Fuzzy_Parameters!$C$21)/(Fuzzy_Parameters!$C$22 - Fuzzy_Parameters!$C$21), 1), 0)</f>
        <v>0</v>
      </c>
      <c r="L187" s="25">
        <f>MAX(MIN(1, (Fuzzy_Parameters!$C$28 - Sheet6!F187)/(Fuzzy_Parameters!$C$28 - Fuzzy_Parameters!$C$27)), 0)</f>
        <v>0</v>
      </c>
      <c r="M187" s="25">
        <f>MAX(MIN((Sheet6!F187 - Fuzzy_Parameters!$C$27)/(Fuzzy_Parameters!$C$28 - Fuzzy_Parameters!$C$27), 1, (Fuzzy_Parameters!$C$30 - Sheet6!F187)/(Fuzzy_Parameters!$C$30 - Fuzzy_Parameters!$C$29)), 0)</f>
        <v>0</v>
      </c>
      <c r="N187" s="25">
        <f>MAX(MIN((Sheet6!F187 - Fuzzy_Parameters!$C$29)/(Fuzzy_Parameters!$C$30 - Fuzzy_Parameters!$C$29), 1), 0)</f>
        <v>1</v>
      </c>
    </row>
    <row r="188">
      <c r="A188" s="6" t="s">
        <v>21</v>
      </c>
      <c r="B188" s="26">
        <v>2016.0</v>
      </c>
      <c r="C188" s="25">
        <f>MAX(MIN(1, (Fuzzy_Parameters!$C$4 - Sheet6!C188)/(Fuzzy_Parameters!$C$4 - Fuzzy_Parameters!$C$3)), 0)</f>
        <v>0.3701216007</v>
      </c>
      <c r="D188" s="25">
        <f>MAX(MIN((Sheet6!C188 - Fuzzy_Parameters!$C$3)/(Fuzzy_Parameters!$C$4 - Fuzzy_Parameters!$C$3), 1, (Fuzzy_Parameters!$C$6 - Sheet6!C188)/(Fuzzy_Parameters!$C$6 - Fuzzy_Parameters!$C$5)), 0)</f>
        <v>0.6298783993</v>
      </c>
      <c r="E188" s="25">
        <f>MAX(MIN((Sheet6!C188 - Fuzzy_Parameters!$C$5)/(Fuzzy_Parameters!$C$6 - Fuzzy_Parameters!$C$5), 1), 0)</f>
        <v>0</v>
      </c>
      <c r="F188" s="25">
        <f>MAX(MIN(1, (Fuzzy_Parameters!$C$12 - Sheet6!D188)/(Fuzzy_Parameters!$C$12 - Fuzzy_Parameters!$C$11)), 0)</f>
        <v>0</v>
      </c>
      <c r="G188" s="25">
        <f>MAX(MIN((Sheet6!D188 - Fuzzy_Parameters!$C$11)/(Fuzzy_Parameters!$C$12 - Fuzzy_Parameters!$C$11), 1, (Fuzzy_Parameters!$C$14 - Sheet6!D188)/(Fuzzy_Parameters!$C$14 - Fuzzy_Parameters!$C$13)), 0)</f>
        <v>1</v>
      </c>
      <c r="H188" s="25">
        <f>MAX(MIN((Sheet6!D188 - Fuzzy_Parameters!$C$13)/(Fuzzy_Parameters!$C$14 - Fuzzy_Parameters!$C$13), 1), 0)</f>
        <v>0</v>
      </c>
      <c r="I188" s="25">
        <f>MAX(MIN(1, (Fuzzy_Parameters!$C$20 - Sheet6!E188)/(Fuzzy_Parameters!$C$20 - Fuzzy_Parameters!$C$19)), 0)</f>
        <v>1</v>
      </c>
      <c r="J188" s="25">
        <f>MAX(MIN((Sheet6!E188 - Fuzzy_Parameters!$C$19)/(Fuzzy_Parameters!$C$20 - Fuzzy_Parameters!$C$19), 1, (Fuzzy_Parameters!$C$22 - Sheet6!E188)/(Fuzzy_Parameters!$C$22 - Fuzzy_Parameters!$C$21)), 0)</f>
        <v>0</v>
      </c>
      <c r="K188" s="25">
        <f>MAX(MIN((Sheet6!E188 - Fuzzy_Parameters!$C$21)/(Fuzzy_Parameters!$C$22 - Fuzzy_Parameters!$C$21), 1), 0)</f>
        <v>0</v>
      </c>
      <c r="L188" s="25">
        <f>MAX(MIN(1, (Fuzzy_Parameters!$C$28 - Sheet6!F188)/(Fuzzy_Parameters!$C$28 - Fuzzy_Parameters!$C$27)), 0)</f>
        <v>0</v>
      </c>
      <c r="M188" s="25">
        <f>MAX(MIN((Sheet6!F188 - Fuzzy_Parameters!$C$27)/(Fuzzy_Parameters!$C$28 - Fuzzy_Parameters!$C$27), 1, (Fuzzy_Parameters!$C$30 - Sheet6!F188)/(Fuzzy_Parameters!$C$30 - Fuzzy_Parameters!$C$29)), 0)</f>
        <v>0</v>
      </c>
      <c r="N188" s="25">
        <f>MAX(MIN((Sheet6!F188 - Fuzzy_Parameters!$C$29)/(Fuzzy_Parameters!$C$30 - Fuzzy_Parameters!$C$29), 1), 0)</f>
        <v>1</v>
      </c>
    </row>
    <row r="189">
      <c r="A189" s="6" t="s">
        <v>21</v>
      </c>
      <c r="B189" s="26">
        <v>2015.0</v>
      </c>
      <c r="C189" s="25">
        <f>MAX(MIN(1, (Fuzzy_Parameters!$C$4 - Sheet6!C189)/(Fuzzy_Parameters!$C$4 - Fuzzy_Parameters!$C$3)), 0)</f>
        <v>0</v>
      </c>
      <c r="D189" s="25">
        <f>MAX(MIN((Sheet6!C189 - Fuzzy_Parameters!$C$3)/(Fuzzy_Parameters!$C$4 - Fuzzy_Parameters!$C$3), 1, (Fuzzy_Parameters!$C$6 - Sheet6!C189)/(Fuzzy_Parameters!$C$6 - Fuzzy_Parameters!$C$5)), 0)</f>
        <v>1</v>
      </c>
      <c r="E189" s="25">
        <f>MAX(MIN((Sheet6!C189 - Fuzzy_Parameters!$C$5)/(Fuzzy_Parameters!$C$6 - Fuzzy_Parameters!$C$5), 1), 0)</f>
        <v>0</v>
      </c>
      <c r="F189" s="25">
        <f>MAX(MIN(1, (Fuzzy_Parameters!$C$12 - Sheet6!D189)/(Fuzzy_Parameters!$C$12 - Fuzzy_Parameters!$C$11)), 0)</f>
        <v>0</v>
      </c>
      <c r="G189" s="25">
        <f>MAX(MIN((Sheet6!D189 - Fuzzy_Parameters!$C$11)/(Fuzzy_Parameters!$C$12 - Fuzzy_Parameters!$C$11), 1, (Fuzzy_Parameters!$C$14 - Sheet6!D189)/(Fuzzy_Parameters!$C$14 - Fuzzy_Parameters!$C$13)), 0)</f>
        <v>1</v>
      </c>
      <c r="H189" s="25">
        <f>MAX(MIN((Sheet6!D189 - Fuzzy_Parameters!$C$13)/(Fuzzy_Parameters!$C$14 - Fuzzy_Parameters!$C$13), 1), 0)</f>
        <v>0</v>
      </c>
      <c r="I189" s="25">
        <f>MAX(MIN(1, (Fuzzy_Parameters!$C$20 - Sheet6!E189)/(Fuzzy_Parameters!$C$20 - Fuzzy_Parameters!$C$19)), 0)</f>
        <v>1</v>
      </c>
      <c r="J189" s="25">
        <f>MAX(MIN((Sheet6!E189 - Fuzzy_Parameters!$C$19)/(Fuzzy_Parameters!$C$20 - Fuzzy_Parameters!$C$19), 1, (Fuzzy_Parameters!$C$22 - Sheet6!E189)/(Fuzzy_Parameters!$C$22 - Fuzzy_Parameters!$C$21)), 0)</f>
        <v>0</v>
      </c>
      <c r="K189" s="25">
        <f>MAX(MIN((Sheet6!E189 - Fuzzy_Parameters!$C$21)/(Fuzzy_Parameters!$C$22 - Fuzzy_Parameters!$C$21), 1), 0)</f>
        <v>0</v>
      </c>
      <c r="L189" s="25">
        <f>MAX(MIN(1, (Fuzzy_Parameters!$C$28 - Sheet6!F189)/(Fuzzy_Parameters!$C$28 - Fuzzy_Parameters!$C$27)), 0)</f>
        <v>0</v>
      </c>
      <c r="M189" s="25">
        <f>MAX(MIN((Sheet6!F189 - Fuzzy_Parameters!$C$27)/(Fuzzy_Parameters!$C$28 - Fuzzy_Parameters!$C$27), 1, (Fuzzy_Parameters!$C$30 - Sheet6!F189)/(Fuzzy_Parameters!$C$30 - Fuzzy_Parameters!$C$29)), 0)</f>
        <v>0</v>
      </c>
      <c r="N189" s="25">
        <f>MAX(MIN((Sheet6!F189 - Fuzzy_Parameters!$C$29)/(Fuzzy_Parameters!$C$30 - Fuzzy_Parameters!$C$29), 1), 0)</f>
        <v>1</v>
      </c>
    </row>
    <row r="190">
      <c r="A190" s="56" t="s">
        <v>21</v>
      </c>
      <c r="B190" s="57">
        <v>2014.0</v>
      </c>
      <c r="C190" s="25">
        <f>MAX(MIN(1, (Fuzzy_Parameters!$C$4 - Sheet6!C190)/(Fuzzy_Parameters!$C$4 - Fuzzy_Parameters!$C$3)), 0)</f>
        <v>0</v>
      </c>
      <c r="D190" s="25">
        <f>MAX(MIN((Sheet6!C190 - Fuzzy_Parameters!$C$3)/(Fuzzy_Parameters!$C$4 - Fuzzy_Parameters!$C$3), 1, (Fuzzy_Parameters!$C$6 - Sheet6!C190)/(Fuzzy_Parameters!$C$6 - Fuzzy_Parameters!$C$5)), 0)</f>
        <v>0</v>
      </c>
      <c r="E190" s="25">
        <f>MAX(MIN((Sheet6!C190 - Fuzzy_Parameters!$C$5)/(Fuzzy_Parameters!$C$6 - Fuzzy_Parameters!$C$5), 1), 0)</f>
        <v>1</v>
      </c>
      <c r="F190" s="25">
        <f>MAX(MIN(1, (Fuzzy_Parameters!$C$12 - Sheet6!D190)/(Fuzzy_Parameters!$C$12 - Fuzzy_Parameters!$C$11)), 0)</f>
        <v>0</v>
      </c>
      <c r="G190" s="25">
        <f>MAX(MIN((Sheet6!D190 - Fuzzy_Parameters!$C$11)/(Fuzzy_Parameters!$C$12 - Fuzzy_Parameters!$C$11), 1, (Fuzzy_Parameters!$C$14 - Sheet6!D190)/(Fuzzy_Parameters!$C$14 - Fuzzy_Parameters!$C$13)), 0)</f>
        <v>1</v>
      </c>
      <c r="H190" s="25">
        <f>MAX(MIN((Sheet6!D190 - Fuzzy_Parameters!$C$13)/(Fuzzy_Parameters!$C$14 - Fuzzy_Parameters!$C$13), 1), 0)</f>
        <v>0</v>
      </c>
      <c r="I190" s="25">
        <f>MAX(MIN(1, (Fuzzy_Parameters!$C$20 - Sheet6!E190)/(Fuzzy_Parameters!$C$20 - Fuzzy_Parameters!$C$19)), 0)</f>
        <v>1</v>
      </c>
      <c r="J190" s="25">
        <f>MAX(MIN((Sheet6!E190 - Fuzzy_Parameters!$C$19)/(Fuzzy_Parameters!$C$20 - Fuzzy_Parameters!$C$19), 1, (Fuzzy_Parameters!$C$22 - Sheet6!E190)/(Fuzzy_Parameters!$C$22 - Fuzzy_Parameters!$C$21)), 0)</f>
        <v>0</v>
      </c>
      <c r="K190" s="25">
        <f>MAX(MIN((Sheet6!E190 - Fuzzy_Parameters!$C$21)/(Fuzzy_Parameters!$C$22 - Fuzzy_Parameters!$C$21), 1), 0)</f>
        <v>0</v>
      </c>
      <c r="L190" s="25">
        <f>MAX(MIN(1, (Fuzzy_Parameters!$C$28 - Sheet6!F190)/(Fuzzy_Parameters!$C$28 - Fuzzy_Parameters!$C$27)), 0)</f>
        <v>0</v>
      </c>
      <c r="M190" s="25">
        <f>MAX(MIN((Sheet6!F190 - Fuzzy_Parameters!$C$27)/(Fuzzy_Parameters!$C$28 - Fuzzy_Parameters!$C$27), 1, (Fuzzy_Parameters!$C$30 - Sheet6!F190)/(Fuzzy_Parameters!$C$30 - Fuzzy_Parameters!$C$29)), 0)</f>
        <v>0</v>
      </c>
      <c r="N190" s="25">
        <f>MAX(MIN((Sheet6!F190 - Fuzzy_Parameters!$C$29)/(Fuzzy_Parameters!$C$30 - Fuzzy_Parameters!$C$29), 1), 0)</f>
        <v>1</v>
      </c>
    </row>
    <row r="191">
      <c r="A191" s="6" t="s">
        <v>22</v>
      </c>
      <c r="B191" s="26">
        <v>2022.0</v>
      </c>
      <c r="C191" s="25">
        <f>MAX(MIN(1, (Fuzzy_Parameters!$C$4 - Sheet6!C191)/(Fuzzy_Parameters!$C$4 - Fuzzy_Parameters!$C$3)), 0)</f>
        <v>0.6321078284</v>
      </c>
      <c r="D191" s="25">
        <f>MAX(MIN((Sheet6!C191 - Fuzzy_Parameters!$C$3)/(Fuzzy_Parameters!$C$4 - Fuzzy_Parameters!$C$3), 1, (Fuzzy_Parameters!$C$6 - Sheet6!C191)/(Fuzzy_Parameters!$C$6 - Fuzzy_Parameters!$C$5)), 0)</f>
        <v>0.3678921716</v>
      </c>
      <c r="E191" s="25">
        <f>MAX(MIN((Sheet6!C191 - Fuzzy_Parameters!$C$5)/(Fuzzy_Parameters!$C$6 - Fuzzy_Parameters!$C$5), 1), 0)</f>
        <v>0</v>
      </c>
      <c r="F191" s="25">
        <f>MAX(MIN(1, (Fuzzy_Parameters!$C$12 - Sheet6!D191)/(Fuzzy_Parameters!$C$12 - Fuzzy_Parameters!$C$11)), 0)</f>
        <v>0</v>
      </c>
      <c r="G191" s="25">
        <f>MAX(MIN((Sheet6!D191 - Fuzzy_Parameters!$C$11)/(Fuzzy_Parameters!$C$12 - Fuzzy_Parameters!$C$11), 1, (Fuzzy_Parameters!$C$14 - Sheet6!D191)/(Fuzzy_Parameters!$C$14 - Fuzzy_Parameters!$C$13)), 0)</f>
        <v>0</v>
      </c>
      <c r="H191" s="25">
        <f>MAX(MIN((Sheet6!D191 - Fuzzy_Parameters!$C$13)/(Fuzzy_Parameters!$C$14 - Fuzzy_Parameters!$C$13), 1), 0)</f>
        <v>1</v>
      </c>
      <c r="I191" s="25">
        <f>MAX(MIN(1, (Fuzzy_Parameters!$C$20 - Sheet6!E191)/(Fuzzy_Parameters!$C$20 - Fuzzy_Parameters!$C$19)), 0)</f>
        <v>0</v>
      </c>
      <c r="J191" s="25">
        <f>MAX(MIN((Sheet6!E191 - Fuzzy_Parameters!$C$19)/(Fuzzy_Parameters!$C$20 - Fuzzy_Parameters!$C$19), 1, (Fuzzy_Parameters!$C$22 - Sheet6!E191)/(Fuzzy_Parameters!$C$22 - Fuzzy_Parameters!$C$21)), 0)</f>
        <v>0.1162790698</v>
      </c>
      <c r="K191" s="25">
        <f>MAX(MIN((Sheet6!E191 - Fuzzy_Parameters!$C$21)/(Fuzzy_Parameters!$C$22 - Fuzzy_Parameters!$C$21), 1), 0)</f>
        <v>0.8837209302</v>
      </c>
      <c r="L191" s="25">
        <f>MAX(MIN(1, (Fuzzy_Parameters!$C$28 - Sheet6!F191)/(Fuzzy_Parameters!$C$28 - Fuzzy_Parameters!$C$27)), 0)</f>
        <v>0.6186246948</v>
      </c>
      <c r="M191" s="25">
        <f>MAX(MIN((Sheet6!F191 - Fuzzy_Parameters!$C$27)/(Fuzzy_Parameters!$C$28 - Fuzzy_Parameters!$C$27), 1, (Fuzzy_Parameters!$C$30 - Sheet6!F191)/(Fuzzy_Parameters!$C$30 - Fuzzy_Parameters!$C$29)), 0)</f>
        <v>0.3813753052</v>
      </c>
      <c r="N191" s="25">
        <f>MAX(MIN((Sheet6!F191 - Fuzzy_Parameters!$C$29)/(Fuzzy_Parameters!$C$30 - Fuzzy_Parameters!$C$29), 1), 0)</f>
        <v>0</v>
      </c>
    </row>
    <row r="192">
      <c r="A192" s="6" t="s">
        <v>22</v>
      </c>
      <c r="B192" s="26">
        <v>2021.0</v>
      </c>
      <c r="C192" s="25">
        <f>MAX(MIN(1, (Fuzzy_Parameters!$C$4 - Sheet6!C192)/(Fuzzy_Parameters!$C$4 - Fuzzy_Parameters!$C$3)), 0)</f>
        <v>0.7993318353</v>
      </c>
      <c r="D192" s="25">
        <f>MAX(MIN((Sheet6!C192 - Fuzzy_Parameters!$C$3)/(Fuzzy_Parameters!$C$4 - Fuzzy_Parameters!$C$3), 1, (Fuzzy_Parameters!$C$6 - Sheet6!C192)/(Fuzzy_Parameters!$C$6 - Fuzzy_Parameters!$C$5)), 0)</f>
        <v>0.2006681647</v>
      </c>
      <c r="E192" s="25">
        <f>MAX(MIN((Sheet6!C192 - Fuzzy_Parameters!$C$5)/(Fuzzy_Parameters!$C$6 - Fuzzy_Parameters!$C$5), 1), 0)</f>
        <v>0</v>
      </c>
      <c r="F192" s="25">
        <f>MAX(MIN(1, (Fuzzy_Parameters!$C$12 - Sheet6!D192)/(Fuzzy_Parameters!$C$12 - Fuzzy_Parameters!$C$11)), 0)</f>
        <v>0</v>
      </c>
      <c r="G192" s="25">
        <f>MAX(MIN((Sheet6!D192 - Fuzzy_Parameters!$C$11)/(Fuzzy_Parameters!$C$12 - Fuzzy_Parameters!$C$11), 1, (Fuzzy_Parameters!$C$14 - Sheet6!D192)/(Fuzzy_Parameters!$C$14 - Fuzzy_Parameters!$C$13)), 0)</f>
        <v>0</v>
      </c>
      <c r="H192" s="25">
        <f>MAX(MIN((Sheet6!D192 - Fuzzy_Parameters!$C$13)/(Fuzzy_Parameters!$C$14 - Fuzzy_Parameters!$C$13), 1), 0)</f>
        <v>1</v>
      </c>
      <c r="I192" s="25">
        <f>MAX(MIN(1, (Fuzzy_Parameters!$C$20 - Sheet6!E192)/(Fuzzy_Parameters!$C$20 - Fuzzy_Parameters!$C$19)), 0)</f>
        <v>0</v>
      </c>
      <c r="J192" s="25">
        <f>MAX(MIN((Sheet6!E192 - Fuzzy_Parameters!$C$19)/(Fuzzy_Parameters!$C$20 - Fuzzy_Parameters!$C$19), 1, (Fuzzy_Parameters!$C$22 - Sheet6!E192)/(Fuzzy_Parameters!$C$22 - Fuzzy_Parameters!$C$21)), 0)</f>
        <v>0.7674418605</v>
      </c>
      <c r="K192" s="25">
        <f>MAX(MIN((Sheet6!E192 - Fuzzy_Parameters!$C$21)/(Fuzzy_Parameters!$C$22 - Fuzzy_Parameters!$C$21), 1), 0)</f>
        <v>0.2325581395</v>
      </c>
      <c r="L192" s="25">
        <f>MAX(MIN(1, (Fuzzy_Parameters!$C$28 - Sheet6!F192)/(Fuzzy_Parameters!$C$28 - Fuzzy_Parameters!$C$27)), 0)</f>
        <v>0.6186246948</v>
      </c>
      <c r="M192" s="25">
        <f>MAX(MIN((Sheet6!F192 - Fuzzy_Parameters!$C$27)/(Fuzzy_Parameters!$C$28 - Fuzzy_Parameters!$C$27), 1, (Fuzzy_Parameters!$C$30 - Sheet6!F192)/(Fuzzy_Parameters!$C$30 - Fuzzy_Parameters!$C$29)), 0)</f>
        <v>0.3813753052</v>
      </c>
      <c r="N192" s="25">
        <f>MAX(MIN((Sheet6!F192 - Fuzzy_Parameters!$C$29)/(Fuzzy_Parameters!$C$30 - Fuzzy_Parameters!$C$29), 1), 0)</f>
        <v>0</v>
      </c>
    </row>
    <row r="193">
      <c r="A193" s="6" t="s">
        <v>22</v>
      </c>
      <c r="B193" s="26">
        <v>2020.0</v>
      </c>
      <c r="C193" s="25">
        <f>MAX(MIN(1, (Fuzzy_Parameters!$C$4 - Sheet6!C193)/(Fuzzy_Parameters!$C$4 - Fuzzy_Parameters!$C$3)), 0)</f>
        <v>0.3979929651</v>
      </c>
      <c r="D193" s="25">
        <f>MAX(MIN((Sheet6!C193 - Fuzzy_Parameters!$C$3)/(Fuzzy_Parameters!$C$4 - Fuzzy_Parameters!$C$3), 1, (Fuzzy_Parameters!$C$6 - Sheet6!C193)/(Fuzzy_Parameters!$C$6 - Fuzzy_Parameters!$C$5)), 0)</f>
        <v>0.6020070349</v>
      </c>
      <c r="E193" s="25">
        <f>MAX(MIN((Sheet6!C193 - Fuzzy_Parameters!$C$5)/(Fuzzy_Parameters!$C$6 - Fuzzy_Parameters!$C$5), 1), 0)</f>
        <v>0</v>
      </c>
      <c r="F193" s="25">
        <f>MAX(MIN(1, (Fuzzy_Parameters!$C$12 - Sheet6!D193)/(Fuzzy_Parameters!$C$12 - Fuzzy_Parameters!$C$11)), 0)</f>
        <v>0</v>
      </c>
      <c r="G193" s="25">
        <f>MAX(MIN((Sheet6!D193 - Fuzzy_Parameters!$C$11)/(Fuzzy_Parameters!$C$12 - Fuzzy_Parameters!$C$11), 1, (Fuzzy_Parameters!$C$14 - Sheet6!D193)/(Fuzzy_Parameters!$C$14 - Fuzzy_Parameters!$C$13)), 0)</f>
        <v>0.3250984109</v>
      </c>
      <c r="H193" s="25">
        <f>MAX(MIN((Sheet6!D193 - Fuzzy_Parameters!$C$13)/(Fuzzy_Parameters!$C$14 - Fuzzy_Parameters!$C$13), 1), 0)</f>
        <v>0.6749015891</v>
      </c>
      <c r="I193" s="25">
        <f>MAX(MIN(1, (Fuzzy_Parameters!$C$20 - Sheet6!E193)/(Fuzzy_Parameters!$C$20 - Fuzzy_Parameters!$C$19)), 0)</f>
        <v>0.04032258065</v>
      </c>
      <c r="J193" s="25">
        <f>MAX(MIN((Sheet6!E193 - Fuzzy_Parameters!$C$19)/(Fuzzy_Parameters!$C$20 - Fuzzy_Parameters!$C$19), 1, (Fuzzy_Parameters!$C$22 - Sheet6!E193)/(Fuzzy_Parameters!$C$22 - Fuzzy_Parameters!$C$21)), 0)</f>
        <v>0.9596774194</v>
      </c>
      <c r="K193" s="25">
        <f>MAX(MIN((Sheet6!E193 - Fuzzy_Parameters!$C$21)/(Fuzzy_Parameters!$C$22 - Fuzzy_Parameters!$C$21), 1), 0)</f>
        <v>0</v>
      </c>
      <c r="L193" s="25">
        <f>MAX(MIN(1, (Fuzzy_Parameters!$C$28 - Sheet6!F193)/(Fuzzy_Parameters!$C$28 - Fuzzy_Parameters!$C$27)), 0)</f>
        <v>0.508433507</v>
      </c>
      <c r="M193" s="25">
        <f>MAX(MIN((Sheet6!F193 - Fuzzy_Parameters!$C$27)/(Fuzzy_Parameters!$C$28 - Fuzzy_Parameters!$C$27), 1, (Fuzzy_Parameters!$C$30 - Sheet6!F193)/(Fuzzy_Parameters!$C$30 - Fuzzy_Parameters!$C$29)), 0)</f>
        <v>0.491566493</v>
      </c>
      <c r="N193" s="25">
        <f>MAX(MIN((Sheet6!F193 - Fuzzy_Parameters!$C$29)/(Fuzzy_Parameters!$C$30 - Fuzzy_Parameters!$C$29), 1), 0)</f>
        <v>0</v>
      </c>
    </row>
    <row r="194">
      <c r="A194" s="6" t="s">
        <v>22</v>
      </c>
      <c r="B194" s="26">
        <v>2019.0</v>
      </c>
      <c r="C194" s="25">
        <f>MAX(MIN(1, (Fuzzy_Parameters!$C$4 - Sheet6!C194)/(Fuzzy_Parameters!$C$4 - Fuzzy_Parameters!$C$3)), 0)</f>
        <v>0.9108131134</v>
      </c>
      <c r="D194" s="25">
        <f>MAX(MIN((Sheet6!C194 - Fuzzy_Parameters!$C$3)/(Fuzzy_Parameters!$C$4 - Fuzzy_Parameters!$C$3), 1, (Fuzzy_Parameters!$C$6 - Sheet6!C194)/(Fuzzy_Parameters!$C$6 - Fuzzy_Parameters!$C$5)), 0)</f>
        <v>0.08918688659</v>
      </c>
      <c r="E194" s="25">
        <f>MAX(MIN((Sheet6!C194 - Fuzzy_Parameters!$C$5)/(Fuzzy_Parameters!$C$6 - Fuzzy_Parameters!$C$5), 1), 0)</f>
        <v>0</v>
      </c>
      <c r="F194" s="25">
        <f>MAX(MIN(1, (Fuzzy_Parameters!$C$12 - Sheet6!D194)/(Fuzzy_Parameters!$C$12 - Fuzzy_Parameters!$C$11)), 0)</f>
        <v>0</v>
      </c>
      <c r="G194" s="25">
        <f>MAX(MIN((Sheet6!D194 - Fuzzy_Parameters!$C$11)/(Fuzzy_Parameters!$C$12 - Fuzzy_Parameters!$C$11), 1, (Fuzzy_Parameters!$C$14 - Sheet6!D194)/(Fuzzy_Parameters!$C$14 - Fuzzy_Parameters!$C$13)), 0)</f>
        <v>1</v>
      </c>
      <c r="H194" s="25">
        <f>MAX(MIN((Sheet6!D194 - Fuzzy_Parameters!$C$13)/(Fuzzy_Parameters!$C$14 - Fuzzy_Parameters!$C$13), 1), 0)</f>
        <v>0</v>
      </c>
      <c r="I194" s="25">
        <f>MAX(MIN(1, (Fuzzy_Parameters!$C$20 - Sheet6!E194)/(Fuzzy_Parameters!$C$20 - Fuzzy_Parameters!$C$19)), 0)</f>
        <v>0</v>
      </c>
      <c r="J194" s="25">
        <f>MAX(MIN((Sheet6!E194 - Fuzzy_Parameters!$C$19)/(Fuzzy_Parameters!$C$20 - Fuzzy_Parameters!$C$19), 1, (Fuzzy_Parameters!$C$22 - Sheet6!E194)/(Fuzzy_Parameters!$C$22 - Fuzzy_Parameters!$C$21)), 0)</f>
        <v>0.9162790698</v>
      </c>
      <c r="K194" s="25">
        <f>MAX(MIN((Sheet6!E194 - Fuzzy_Parameters!$C$21)/(Fuzzy_Parameters!$C$22 - Fuzzy_Parameters!$C$21), 1), 0)</f>
        <v>0.08372093023</v>
      </c>
      <c r="L194" s="25">
        <f>MAX(MIN(1, (Fuzzy_Parameters!$C$28 - Sheet6!F194)/(Fuzzy_Parameters!$C$28 - Fuzzy_Parameters!$C$27)), 0)</f>
        <v>0.5907822734</v>
      </c>
      <c r="M194" s="25">
        <f>MAX(MIN((Sheet6!F194 - Fuzzy_Parameters!$C$27)/(Fuzzy_Parameters!$C$28 - Fuzzy_Parameters!$C$27), 1, (Fuzzy_Parameters!$C$30 - Sheet6!F194)/(Fuzzy_Parameters!$C$30 - Fuzzy_Parameters!$C$29)), 0)</f>
        <v>0.4092177266</v>
      </c>
      <c r="N194" s="25">
        <f>MAX(MIN((Sheet6!F194 - Fuzzy_Parameters!$C$29)/(Fuzzy_Parameters!$C$30 - Fuzzy_Parameters!$C$29), 1), 0)</f>
        <v>0</v>
      </c>
    </row>
    <row r="195">
      <c r="A195" s="6" t="s">
        <v>22</v>
      </c>
      <c r="B195" s="26">
        <v>2018.0</v>
      </c>
      <c r="C195" s="25">
        <f>MAX(MIN(1, (Fuzzy_Parameters!$C$4 - Sheet6!C195)/(Fuzzy_Parameters!$C$4 - Fuzzy_Parameters!$C$3)), 0)</f>
        <v>1</v>
      </c>
      <c r="D195" s="25">
        <f>MAX(MIN((Sheet6!C195 - Fuzzy_Parameters!$C$3)/(Fuzzy_Parameters!$C$4 - Fuzzy_Parameters!$C$3), 1, (Fuzzy_Parameters!$C$6 - Sheet6!C195)/(Fuzzy_Parameters!$C$6 - Fuzzy_Parameters!$C$5)), 0)</f>
        <v>0</v>
      </c>
      <c r="E195" s="25">
        <f>MAX(MIN((Sheet6!C195 - Fuzzy_Parameters!$C$5)/(Fuzzy_Parameters!$C$6 - Fuzzy_Parameters!$C$5), 1), 0)</f>
        <v>0</v>
      </c>
      <c r="F195" s="25">
        <f>MAX(MIN(1, (Fuzzy_Parameters!$C$12 - Sheet6!D195)/(Fuzzy_Parameters!$C$12 - Fuzzy_Parameters!$C$11)), 0)</f>
        <v>0</v>
      </c>
      <c r="G195" s="25">
        <f>MAX(MIN((Sheet6!D195 - Fuzzy_Parameters!$C$11)/(Fuzzy_Parameters!$C$12 - Fuzzy_Parameters!$C$11), 1, (Fuzzy_Parameters!$C$14 - Sheet6!D195)/(Fuzzy_Parameters!$C$14 - Fuzzy_Parameters!$C$13)), 0)</f>
        <v>0.3093769324</v>
      </c>
      <c r="H195" s="25">
        <f>MAX(MIN((Sheet6!D195 - Fuzzy_Parameters!$C$13)/(Fuzzy_Parameters!$C$14 - Fuzzy_Parameters!$C$13), 1), 0)</f>
        <v>0.6906230676</v>
      </c>
      <c r="I195" s="25">
        <f>MAX(MIN(1, (Fuzzy_Parameters!$C$20 - Sheet6!E195)/(Fuzzy_Parameters!$C$20 - Fuzzy_Parameters!$C$19)), 0)</f>
        <v>0</v>
      </c>
      <c r="J195" s="25">
        <f>MAX(MIN((Sheet6!E195 - Fuzzy_Parameters!$C$19)/(Fuzzy_Parameters!$C$20 - Fuzzy_Parameters!$C$19), 1, (Fuzzy_Parameters!$C$22 - Sheet6!E195)/(Fuzzy_Parameters!$C$22 - Fuzzy_Parameters!$C$21)), 0)</f>
        <v>0.6651162791</v>
      </c>
      <c r="K195" s="25">
        <f>MAX(MIN((Sheet6!E195 - Fuzzy_Parameters!$C$21)/(Fuzzy_Parameters!$C$22 - Fuzzy_Parameters!$C$21), 1), 0)</f>
        <v>0.3348837209</v>
      </c>
      <c r="L195" s="25">
        <f>MAX(MIN(1, (Fuzzy_Parameters!$C$28 - Sheet6!F195)/(Fuzzy_Parameters!$C$28 - Fuzzy_Parameters!$C$27)), 0)</f>
        <v>0.5631382669</v>
      </c>
      <c r="M195" s="25">
        <f>MAX(MIN((Sheet6!F195 - Fuzzy_Parameters!$C$27)/(Fuzzy_Parameters!$C$28 - Fuzzy_Parameters!$C$27), 1, (Fuzzy_Parameters!$C$30 - Sheet6!F195)/(Fuzzy_Parameters!$C$30 - Fuzzy_Parameters!$C$29)), 0)</f>
        <v>0.4368617331</v>
      </c>
      <c r="N195" s="25">
        <f>MAX(MIN((Sheet6!F195 - Fuzzy_Parameters!$C$29)/(Fuzzy_Parameters!$C$30 - Fuzzy_Parameters!$C$29), 1), 0)</f>
        <v>0</v>
      </c>
    </row>
    <row r="196">
      <c r="A196" s="6" t="s">
        <v>22</v>
      </c>
      <c r="B196" s="26">
        <v>2017.0</v>
      </c>
      <c r="C196" s="25">
        <f>MAX(MIN(1, (Fuzzy_Parameters!$C$4 - Sheet6!C196)/(Fuzzy_Parameters!$C$4 - Fuzzy_Parameters!$C$3)), 0)</f>
        <v>0</v>
      </c>
      <c r="D196" s="25">
        <f>MAX(MIN((Sheet6!C196 - Fuzzy_Parameters!$C$3)/(Fuzzy_Parameters!$C$4 - Fuzzy_Parameters!$C$3), 1, (Fuzzy_Parameters!$C$6 - Sheet6!C196)/(Fuzzy_Parameters!$C$6 - Fuzzy_Parameters!$C$5)), 0)</f>
        <v>1</v>
      </c>
      <c r="E196" s="25">
        <f>MAX(MIN((Sheet6!C196 - Fuzzy_Parameters!$C$5)/(Fuzzy_Parameters!$C$6 - Fuzzy_Parameters!$C$5), 1), 0)</f>
        <v>0</v>
      </c>
      <c r="F196" s="25">
        <f>MAX(MIN(1, (Fuzzy_Parameters!$C$12 - Sheet6!D196)/(Fuzzy_Parameters!$C$12 - Fuzzy_Parameters!$C$11)), 0)</f>
        <v>1</v>
      </c>
      <c r="G196" s="25">
        <f>MAX(MIN((Sheet6!D196 - Fuzzy_Parameters!$C$11)/(Fuzzy_Parameters!$C$12 - Fuzzy_Parameters!$C$11), 1, (Fuzzy_Parameters!$C$14 - Sheet6!D196)/(Fuzzy_Parameters!$C$14 - Fuzzy_Parameters!$C$13)), 0)</f>
        <v>0</v>
      </c>
      <c r="H196" s="25">
        <f>MAX(MIN((Sheet6!D196 - Fuzzy_Parameters!$C$13)/(Fuzzy_Parameters!$C$14 - Fuzzy_Parameters!$C$13), 1), 0)</f>
        <v>0</v>
      </c>
      <c r="I196" s="25">
        <f>MAX(MIN(1, (Fuzzy_Parameters!$C$20 - Sheet6!E196)/(Fuzzy_Parameters!$C$20 - Fuzzy_Parameters!$C$19)), 0)</f>
        <v>0</v>
      </c>
      <c r="J196" s="25">
        <f>MAX(MIN((Sheet6!E196 - Fuzzy_Parameters!$C$19)/(Fuzzy_Parameters!$C$20 - Fuzzy_Parameters!$C$19), 1, (Fuzzy_Parameters!$C$22 - Sheet6!E196)/(Fuzzy_Parameters!$C$22 - Fuzzy_Parameters!$C$21)), 0)</f>
        <v>0.3069767442</v>
      </c>
      <c r="K196" s="25">
        <f>MAX(MIN((Sheet6!E196 - Fuzzy_Parameters!$C$21)/(Fuzzy_Parameters!$C$22 - Fuzzy_Parameters!$C$21), 1), 0)</f>
        <v>0.6930232558</v>
      </c>
      <c r="L196" s="25">
        <f>MAX(MIN(1, (Fuzzy_Parameters!$C$28 - Sheet6!F196)/(Fuzzy_Parameters!$C$28 - Fuzzy_Parameters!$C$27)), 0)</f>
        <v>0.7900040162</v>
      </c>
      <c r="M196" s="25">
        <f>MAX(MIN((Sheet6!F196 - Fuzzy_Parameters!$C$27)/(Fuzzy_Parameters!$C$28 - Fuzzy_Parameters!$C$27), 1, (Fuzzy_Parameters!$C$30 - Sheet6!F196)/(Fuzzy_Parameters!$C$30 - Fuzzy_Parameters!$C$29)), 0)</f>
        <v>0.2099959838</v>
      </c>
      <c r="N196" s="25">
        <f>MAX(MIN((Sheet6!F196 - Fuzzy_Parameters!$C$29)/(Fuzzy_Parameters!$C$30 - Fuzzy_Parameters!$C$29), 1), 0)</f>
        <v>0</v>
      </c>
    </row>
    <row r="197">
      <c r="A197" s="6" t="s">
        <v>22</v>
      </c>
      <c r="B197" s="26">
        <v>2016.0</v>
      </c>
      <c r="C197" s="25">
        <f>MAX(MIN(1, (Fuzzy_Parameters!$C$4 - Sheet6!C197)/(Fuzzy_Parameters!$C$4 - Fuzzy_Parameters!$C$3)), 0)</f>
        <v>0.04124869574</v>
      </c>
      <c r="D197" s="25">
        <f>MAX(MIN((Sheet6!C197 - Fuzzy_Parameters!$C$3)/(Fuzzy_Parameters!$C$4 - Fuzzy_Parameters!$C$3), 1, (Fuzzy_Parameters!$C$6 - Sheet6!C197)/(Fuzzy_Parameters!$C$6 - Fuzzy_Parameters!$C$5)), 0)</f>
        <v>0.9587513043</v>
      </c>
      <c r="E197" s="25">
        <f>MAX(MIN((Sheet6!C197 - Fuzzy_Parameters!$C$5)/(Fuzzy_Parameters!$C$6 - Fuzzy_Parameters!$C$5), 1), 0)</f>
        <v>0</v>
      </c>
      <c r="F197" s="25">
        <f>MAX(MIN(1, (Fuzzy_Parameters!$C$12 - Sheet6!D197)/(Fuzzy_Parameters!$C$12 - Fuzzy_Parameters!$C$11)), 0)</f>
        <v>0</v>
      </c>
      <c r="G197" s="25">
        <f>MAX(MIN((Sheet6!D197 - Fuzzy_Parameters!$C$11)/(Fuzzy_Parameters!$C$12 - Fuzzy_Parameters!$C$11), 1, (Fuzzy_Parameters!$C$14 - Sheet6!D197)/(Fuzzy_Parameters!$C$14 - Fuzzy_Parameters!$C$13)), 0)</f>
        <v>1</v>
      </c>
      <c r="H197" s="25">
        <f>MAX(MIN((Sheet6!D197 - Fuzzy_Parameters!$C$13)/(Fuzzy_Parameters!$C$14 - Fuzzy_Parameters!$C$13), 1), 0)</f>
        <v>0</v>
      </c>
      <c r="I197" s="25">
        <f>MAX(MIN(1, (Fuzzy_Parameters!$C$20 - Sheet6!E197)/(Fuzzy_Parameters!$C$20 - Fuzzy_Parameters!$C$19)), 0)</f>
        <v>0</v>
      </c>
      <c r="J197" s="25">
        <f>MAX(MIN((Sheet6!E197 - Fuzzy_Parameters!$C$19)/(Fuzzy_Parameters!$C$20 - Fuzzy_Parameters!$C$19), 1, (Fuzzy_Parameters!$C$22 - Sheet6!E197)/(Fuzzy_Parameters!$C$22 - Fuzzy_Parameters!$C$21)), 0)</f>
        <v>0</v>
      </c>
      <c r="K197" s="25">
        <f>MAX(MIN((Sheet6!E197 - Fuzzy_Parameters!$C$21)/(Fuzzy_Parameters!$C$22 - Fuzzy_Parameters!$C$21), 1), 0)</f>
        <v>1</v>
      </c>
      <c r="L197" s="25">
        <f>MAX(MIN(1, (Fuzzy_Parameters!$C$28 - Sheet6!F197)/(Fuzzy_Parameters!$C$28 - Fuzzy_Parameters!$C$27)), 0)</f>
        <v>0.7900040162</v>
      </c>
      <c r="M197" s="25">
        <f>MAX(MIN((Sheet6!F197 - Fuzzy_Parameters!$C$27)/(Fuzzy_Parameters!$C$28 - Fuzzy_Parameters!$C$27), 1, (Fuzzy_Parameters!$C$30 - Sheet6!F197)/(Fuzzy_Parameters!$C$30 - Fuzzy_Parameters!$C$29)), 0)</f>
        <v>0.2099959838</v>
      </c>
      <c r="N197" s="25">
        <f>MAX(MIN((Sheet6!F197 - Fuzzy_Parameters!$C$29)/(Fuzzy_Parameters!$C$30 - Fuzzy_Parameters!$C$29), 1), 0)</f>
        <v>0</v>
      </c>
    </row>
    <row r="198">
      <c r="A198" s="6" t="s">
        <v>22</v>
      </c>
      <c r="B198" s="26">
        <v>2015.0</v>
      </c>
      <c r="C198" s="25">
        <f>MAX(MIN(1, (Fuzzy_Parameters!$C$4 - Sheet6!C198)/(Fuzzy_Parameters!$C$4 - Fuzzy_Parameters!$C$3)), 0)</f>
        <v>0.04124869574</v>
      </c>
      <c r="D198" s="25">
        <f>MAX(MIN((Sheet6!C198 - Fuzzy_Parameters!$C$3)/(Fuzzy_Parameters!$C$4 - Fuzzy_Parameters!$C$3), 1, (Fuzzy_Parameters!$C$6 - Sheet6!C198)/(Fuzzy_Parameters!$C$6 - Fuzzy_Parameters!$C$5)), 0)</f>
        <v>0.9587513043</v>
      </c>
      <c r="E198" s="25">
        <f>MAX(MIN((Sheet6!C198 - Fuzzy_Parameters!$C$5)/(Fuzzy_Parameters!$C$6 - Fuzzy_Parameters!$C$5), 1), 0)</f>
        <v>0</v>
      </c>
      <c r="F198" s="25">
        <f>MAX(MIN(1, (Fuzzy_Parameters!$C$12 - Sheet6!D198)/(Fuzzy_Parameters!$C$12 - Fuzzy_Parameters!$C$11)), 0)</f>
        <v>0</v>
      </c>
      <c r="G198" s="25">
        <f>MAX(MIN((Sheet6!D198 - Fuzzy_Parameters!$C$11)/(Fuzzy_Parameters!$C$12 - Fuzzy_Parameters!$C$11), 1, (Fuzzy_Parameters!$C$14 - Sheet6!D198)/(Fuzzy_Parameters!$C$14 - Fuzzy_Parameters!$C$13)), 0)</f>
        <v>1</v>
      </c>
      <c r="H198" s="25">
        <f>MAX(MIN((Sheet6!D198 - Fuzzy_Parameters!$C$13)/(Fuzzy_Parameters!$C$14 - Fuzzy_Parameters!$C$13), 1), 0)</f>
        <v>0</v>
      </c>
      <c r="I198" s="25">
        <f>MAX(MIN(1, (Fuzzy_Parameters!$C$20 - Sheet6!E198)/(Fuzzy_Parameters!$C$20 - Fuzzy_Parameters!$C$19)), 0)</f>
        <v>0</v>
      </c>
      <c r="J198" s="25">
        <f>MAX(MIN((Sheet6!E198 - Fuzzy_Parameters!$C$19)/(Fuzzy_Parameters!$C$20 - Fuzzy_Parameters!$C$19), 1, (Fuzzy_Parameters!$C$22 - Sheet6!E198)/(Fuzzy_Parameters!$C$22 - Fuzzy_Parameters!$C$21)), 0)</f>
        <v>0</v>
      </c>
      <c r="K198" s="25">
        <f>MAX(MIN((Sheet6!E198 - Fuzzy_Parameters!$C$21)/(Fuzzy_Parameters!$C$22 - Fuzzy_Parameters!$C$21), 1), 0)</f>
        <v>1</v>
      </c>
      <c r="L198" s="25">
        <f>MAX(MIN(1, (Fuzzy_Parameters!$C$28 - Sheet6!F198)/(Fuzzy_Parameters!$C$28 - Fuzzy_Parameters!$C$27)), 0)</f>
        <v>0.535689405</v>
      </c>
      <c r="M198" s="25">
        <f>MAX(MIN((Sheet6!F198 - Fuzzy_Parameters!$C$27)/(Fuzzy_Parameters!$C$28 - Fuzzy_Parameters!$C$27), 1, (Fuzzy_Parameters!$C$30 - Sheet6!F198)/(Fuzzy_Parameters!$C$30 - Fuzzy_Parameters!$C$29)), 0)</f>
        <v>0.464310595</v>
      </c>
      <c r="N198" s="25">
        <f>MAX(MIN((Sheet6!F198 - Fuzzy_Parameters!$C$29)/(Fuzzy_Parameters!$C$30 - Fuzzy_Parameters!$C$29), 1), 0)</f>
        <v>0</v>
      </c>
    </row>
    <row r="199">
      <c r="A199" s="56" t="s">
        <v>22</v>
      </c>
      <c r="B199" s="57">
        <v>2014.0</v>
      </c>
      <c r="C199" s="25">
        <f>MAX(MIN(1, (Fuzzy_Parameters!$C$4 - Sheet6!C199)/(Fuzzy_Parameters!$C$4 - Fuzzy_Parameters!$C$3)), 0)</f>
        <v>0.4537356938</v>
      </c>
      <c r="D199" s="25">
        <f>MAX(MIN((Sheet6!C199 - Fuzzy_Parameters!$C$3)/(Fuzzy_Parameters!$C$4 - Fuzzy_Parameters!$C$3), 1, (Fuzzy_Parameters!$C$6 - Sheet6!C199)/(Fuzzy_Parameters!$C$6 - Fuzzy_Parameters!$C$5)), 0)</f>
        <v>0.5462643062</v>
      </c>
      <c r="E199" s="25">
        <f>MAX(MIN((Sheet6!C199 - Fuzzy_Parameters!$C$5)/(Fuzzy_Parameters!$C$6 - Fuzzy_Parameters!$C$5), 1), 0)</f>
        <v>0</v>
      </c>
      <c r="F199" s="25">
        <f>MAX(MIN(1, (Fuzzy_Parameters!$C$12 - Sheet6!D199)/(Fuzzy_Parameters!$C$12 - Fuzzy_Parameters!$C$11)), 0)</f>
        <v>0.4364590397</v>
      </c>
      <c r="G199" s="25">
        <f>MAX(MIN((Sheet6!D199 - Fuzzy_Parameters!$C$11)/(Fuzzy_Parameters!$C$12 - Fuzzy_Parameters!$C$11), 1, (Fuzzy_Parameters!$C$14 - Sheet6!D199)/(Fuzzy_Parameters!$C$14 - Fuzzy_Parameters!$C$13)), 0)</f>
        <v>0.5635409603</v>
      </c>
      <c r="H199" s="25">
        <f>MAX(MIN((Sheet6!D199 - Fuzzy_Parameters!$C$13)/(Fuzzy_Parameters!$C$14 - Fuzzy_Parameters!$C$13), 1), 0)</f>
        <v>0</v>
      </c>
      <c r="I199" s="25">
        <f>MAX(MIN(1, (Fuzzy_Parameters!$C$20 - Sheet6!E199)/(Fuzzy_Parameters!$C$20 - Fuzzy_Parameters!$C$19)), 0)</f>
        <v>0</v>
      </c>
      <c r="J199" s="25">
        <f>MAX(MIN((Sheet6!E199 - Fuzzy_Parameters!$C$19)/(Fuzzy_Parameters!$C$20 - Fuzzy_Parameters!$C$19), 1, (Fuzzy_Parameters!$C$22 - Sheet6!E199)/(Fuzzy_Parameters!$C$22 - Fuzzy_Parameters!$C$21)), 0)</f>
        <v>0</v>
      </c>
      <c r="K199" s="25">
        <f>MAX(MIN((Sheet6!E199 - Fuzzy_Parameters!$C$21)/(Fuzzy_Parameters!$C$22 - Fuzzy_Parameters!$C$21), 1), 0)</f>
        <v>1</v>
      </c>
      <c r="L199" s="25">
        <f>MAX(MIN(1, (Fuzzy_Parameters!$C$28 - Sheet6!F199)/(Fuzzy_Parameters!$C$28 - Fuzzy_Parameters!$C$27)), 0)</f>
        <v>0.8786159374</v>
      </c>
      <c r="M199" s="25">
        <f>MAX(MIN((Sheet6!F199 - Fuzzy_Parameters!$C$27)/(Fuzzy_Parameters!$C$28 - Fuzzy_Parameters!$C$27), 1, (Fuzzy_Parameters!$C$30 - Sheet6!F199)/(Fuzzy_Parameters!$C$30 - Fuzzy_Parameters!$C$29)), 0)</f>
        <v>0.1213840626</v>
      </c>
      <c r="N199" s="25">
        <f>MAX(MIN((Sheet6!F199 - Fuzzy_Parameters!$C$29)/(Fuzzy_Parameters!$C$30 - Fuzzy_Parameters!$C$29), 1), 0)</f>
        <v>0</v>
      </c>
    </row>
    <row r="200">
      <c r="A200" s="6" t="s">
        <v>23</v>
      </c>
      <c r="B200" s="26">
        <v>2022.0</v>
      </c>
      <c r="C200" s="25">
        <f>MAX(MIN(1, (Fuzzy_Parameters!$C$4 - Sheet6!C200)/(Fuzzy_Parameters!$C$4 - Fuzzy_Parameters!$C$3)), 0)</f>
        <v>1</v>
      </c>
      <c r="D200" s="25">
        <f>MAX(MIN((Sheet6!C200 - Fuzzy_Parameters!$C$3)/(Fuzzy_Parameters!$C$4 - Fuzzy_Parameters!$C$3), 1, (Fuzzy_Parameters!$C$6 - Sheet6!C200)/(Fuzzy_Parameters!$C$6 - Fuzzy_Parameters!$C$5)), 0)</f>
        <v>0</v>
      </c>
      <c r="E200" s="25">
        <f>MAX(MIN((Sheet6!C200 - Fuzzy_Parameters!$C$5)/(Fuzzy_Parameters!$C$6 - Fuzzy_Parameters!$C$5), 1), 0)</f>
        <v>0</v>
      </c>
      <c r="F200" s="25">
        <f>MAX(MIN(1, (Fuzzy_Parameters!$C$12 - Sheet6!D200)/(Fuzzy_Parameters!$C$12 - Fuzzy_Parameters!$C$11)), 0)</f>
        <v>1</v>
      </c>
      <c r="G200" s="25">
        <f>MAX(MIN((Sheet6!D200 - Fuzzy_Parameters!$C$11)/(Fuzzy_Parameters!$C$12 - Fuzzy_Parameters!$C$11), 1, (Fuzzy_Parameters!$C$14 - Sheet6!D200)/(Fuzzy_Parameters!$C$14 - Fuzzy_Parameters!$C$13)), 0)</f>
        <v>0</v>
      </c>
      <c r="H200" s="25">
        <f>MAX(MIN((Sheet6!D200 - Fuzzy_Parameters!$C$13)/(Fuzzy_Parameters!$C$14 - Fuzzy_Parameters!$C$13), 1), 0)</f>
        <v>0</v>
      </c>
      <c r="I200" s="25">
        <f>MAX(MIN(1, (Fuzzy_Parameters!$C$20 - Sheet6!E200)/(Fuzzy_Parameters!$C$20 - Fuzzy_Parameters!$C$19)), 0)</f>
        <v>1</v>
      </c>
      <c r="J200" s="25">
        <f>MAX(MIN((Sheet6!E200 - Fuzzy_Parameters!$C$19)/(Fuzzy_Parameters!$C$20 - Fuzzy_Parameters!$C$19), 1, (Fuzzy_Parameters!$C$22 - Sheet6!E200)/(Fuzzy_Parameters!$C$22 - Fuzzy_Parameters!$C$21)), 0)</f>
        <v>0</v>
      </c>
      <c r="K200" s="25">
        <f>MAX(MIN((Sheet6!E200 - Fuzzy_Parameters!$C$21)/(Fuzzy_Parameters!$C$22 - Fuzzy_Parameters!$C$21), 1), 0)</f>
        <v>0</v>
      </c>
      <c r="L200" s="25">
        <f>MAX(MIN(1, (Fuzzy_Parameters!$C$28 - Sheet6!F200)/(Fuzzy_Parameters!$C$28 - Fuzzy_Parameters!$C$27)), 0)</f>
        <v>0</v>
      </c>
      <c r="M200" s="25">
        <f>MAX(MIN((Sheet6!F200 - Fuzzy_Parameters!$C$27)/(Fuzzy_Parameters!$C$28 - Fuzzy_Parameters!$C$27), 1, (Fuzzy_Parameters!$C$30 - Sheet6!F200)/(Fuzzy_Parameters!$C$30 - Fuzzy_Parameters!$C$29)), 0)</f>
        <v>0.6537571569</v>
      </c>
      <c r="N200" s="25">
        <f>MAX(MIN((Sheet6!F200 - Fuzzy_Parameters!$C$29)/(Fuzzy_Parameters!$C$30 - Fuzzy_Parameters!$C$29), 1), 0)</f>
        <v>0.3462428431</v>
      </c>
    </row>
    <row r="201">
      <c r="A201" s="6" t="s">
        <v>23</v>
      </c>
      <c r="B201" s="26">
        <v>2021.0</v>
      </c>
      <c r="C201" s="25">
        <f>MAX(MIN(1, (Fuzzy_Parameters!$C$4 - Sheet6!C201)/(Fuzzy_Parameters!$C$4 - Fuzzy_Parameters!$C$3)), 0)</f>
        <v>1</v>
      </c>
      <c r="D201" s="25">
        <f>MAX(MIN((Sheet6!C201 - Fuzzy_Parameters!$C$3)/(Fuzzy_Parameters!$C$4 - Fuzzy_Parameters!$C$3), 1, (Fuzzy_Parameters!$C$6 - Sheet6!C201)/(Fuzzy_Parameters!$C$6 - Fuzzy_Parameters!$C$5)), 0)</f>
        <v>0</v>
      </c>
      <c r="E201" s="25">
        <f>MAX(MIN((Sheet6!C201 - Fuzzy_Parameters!$C$5)/(Fuzzy_Parameters!$C$6 - Fuzzy_Parameters!$C$5), 1), 0)</f>
        <v>0</v>
      </c>
      <c r="F201" s="25">
        <f>MAX(MIN(1, (Fuzzy_Parameters!$C$12 - Sheet6!D201)/(Fuzzy_Parameters!$C$12 - Fuzzy_Parameters!$C$11)), 0)</f>
        <v>1</v>
      </c>
      <c r="G201" s="25">
        <f>MAX(MIN((Sheet6!D201 - Fuzzy_Parameters!$C$11)/(Fuzzy_Parameters!$C$12 - Fuzzy_Parameters!$C$11), 1, (Fuzzy_Parameters!$C$14 - Sheet6!D201)/(Fuzzy_Parameters!$C$14 - Fuzzy_Parameters!$C$13)), 0)</f>
        <v>0</v>
      </c>
      <c r="H201" s="25">
        <f>MAX(MIN((Sheet6!D201 - Fuzzy_Parameters!$C$13)/(Fuzzy_Parameters!$C$14 - Fuzzy_Parameters!$C$13), 1), 0)</f>
        <v>0</v>
      </c>
      <c r="I201" s="25">
        <f>MAX(MIN(1, (Fuzzy_Parameters!$C$20 - Sheet6!E201)/(Fuzzy_Parameters!$C$20 - Fuzzy_Parameters!$C$19)), 0)</f>
        <v>1</v>
      </c>
      <c r="J201" s="25">
        <f>MAX(MIN((Sheet6!E201 - Fuzzy_Parameters!$C$19)/(Fuzzy_Parameters!$C$20 - Fuzzy_Parameters!$C$19), 1, (Fuzzy_Parameters!$C$22 - Sheet6!E201)/(Fuzzy_Parameters!$C$22 - Fuzzy_Parameters!$C$21)), 0)</f>
        <v>0</v>
      </c>
      <c r="K201" s="25">
        <f>MAX(MIN((Sheet6!E201 - Fuzzy_Parameters!$C$21)/(Fuzzy_Parameters!$C$22 - Fuzzy_Parameters!$C$21), 1), 0)</f>
        <v>0</v>
      </c>
      <c r="L201" s="25">
        <f>MAX(MIN(1, (Fuzzy_Parameters!$C$28 - Sheet6!F201)/(Fuzzy_Parameters!$C$28 - Fuzzy_Parameters!$C$27)), 0)</f>
        <v>0</v>
      </c>
      <c r="M201" s="25">
        <f>MAX(MIN((Sheet6!F201 - Fuzzy_Parameters!$C$27)/(Fuzzy_Parameters!$C$28 - Fuzzy_Parameters!$C$27), 1, (Fuzzy_Parameters!$C$30 - Sheet6!F201)/(Fuzzy_Parameters!$C$30 - Fuzzy_Parameters!$C$29)), 0)</f>
        <v>0.6732933743</v>
      </c>
      <c r="N201" s="25">
        <f>MAX(MIN((Sheet6!F201 - Fuzzy_Parameters!$C$29)/(Fuzzy_Parameters!$C$30 - Fuzzy_Parameters!$C$29), 1), 0)</f>
        <v>0.3267066257</v>
      </c>
    </row>
    <row r="202">
      <c r="A202" s="6" t="s">
        <v>23</v>
      </c>
      <c r="B202" s="26">
        <v>2020.0</v>
      </c>
      <c r="C202" s="25">
        <f>MAX(MIN(1, (Fuzzy_Parameters!$C$4 - Sheet6!C202)/(Fuzzy_Parameters!$C$4 - Fuzzy_Parameters!$C$3)), 0)</f>
        <v>1</v>
      </c>
      <c r="D202" s="25">
        <f>MAX(MIN((Sheet6!C202 - Fuzzy_Parameters!$C$3)/(Fuzzy_Parameters!$C$4 - Fuzzy_Parameters!$C$3), 1, (Fuzzy_Parameters!$C$6 - Sheet6!C202)/(Fuzzy_Parameters!$C$6 - Fuzzy_Parameters!$C$5)), 0)</f>
        <v>0</v>
      </c>
      <c r="E202" s="25">
        <f>MAX(MIN((Sheet6!C202 - Fuzzy_Parameters!$C$5)/(Fuzzy_Parameters!$C$6 - Fuzzy_Parameters!$C$5), 1), 0)</f>
        <v>0</v>
      </c>
      <c r="F202" s="25">
        <f>MAX(MIN(1, (Fuzzy_Parameters!$C$12 - Sheet6!D202)/(Fuzzy_Parameters!$C$12 - Fuzzy_Parameters!$C$11)), 0)</f>
        <v>1</v>
      </c>
      <c r="G202" s="25">
        <f>MAX(MIN((Sheet6!D202 - Fuzzy_Parameters!$C$11)/(Fuzzy_Parameters!$C$12 - Fuzzy_Parameters!$C$11), 1, (Fuzzy_Parameters!$C$14 - Sheet6!D202)/(Fuzzy_Parameters!$C$14 - Fuzzy_Parameters!$C$13)), 0)</f>
        <v>0</v>
      </c>
      <c r="H202" s="25">
        <f>MAX(MIN((Sheet6!D202 - Fuzzy_Parameters!$C$13)/(Fuzzy_Parameters!$C$14 - Fuzzy_Parameters!$C$13), 1), 0)</f>
        <v>0</v>
      </c>
      <c r="I202" s="25">
        <f>MAX(MIN(1, (Fuzzy_Parameters!$C$20 - Sheet6!E202)/(Fuzzy_Parameters!$C$20 - Fuzzy_Parameters!$C$19)), 0)</f>
        <v>1</v>
      </c>
      <c r="J202" s="25">
        <f>MAX(MIN((Sheet6!E202 - Fuzzy_Parameters!$C$19)/(Fuzzy_Parameters!$C$20 - Fuzzy_Parameters!$C$19), 1, (Fuzzy_Parameters!$C$22 - Sheet6!E202)/(Fuzzy_Parameters!$C$22 - Fuzzy_Parameters!$C$21)), 0)</f>
        <v>0</v>
      </c>
      <c r="K202" s="25">
        <f>MAX(MIN((Sheet6!E202 - Fuzzy_Parameters!$C$21)/(Fuzzy_Parameters!$C$22 - Fuzzy_Parameters!$C$21), 1), 0)</f>
        <v>0</v>
      </c>
      <c r="L202" s="25">
        <f>MAX(MIN(1, (Fuzzy_Parameters!$C$28 - Sheet6!F202)/(Fuzzy_Parameters!$C$28 - Fuzzy_Parameters!$C$27)), 0)</f>
        <v>0</v>
      </c>
      <c r="M202" s="25">
        <f>MAX(MIN((Sheet6!F202 - Fuzzy_Parameters!$C$27)/(Fuzzy_Parameters!$C$28 - Fuzzy_Parameters!$C$27), 1, (Fuzzy_Parameters!$C$30 - Sheet6!F202)/(Fuzzy_Parameters!$C$30 - Fuzzy_Parameters!$C$29)), 0)</f>
        <v>0.9174430904</v>
      </c>
      <c r="N202" s="25">
        <f>MAX(MIN((Sheet6!F202 - Fuzzy_Parameters!$C$29)/(Fuzzy_Parameters!$C$30 - Fuzzy_Parameters!$C$29), 1), 0)</f>
        <v>0.08255690963</v>
      </c>
    </row>
    <row r="203">
      <c r="A203" s="6" t="s">
        <v>23</v>
      </c>
      <c r="B203" s="26">
        <v>2019.0</v>
      </c>
      <c r="C203" s="25">
        <f>MAX(MIN(1, (Fuzzy_Parameters!$C$4 - Sheet6!C203)/(Fuzzy_Parameters!$C$4 - Fuzzy_Parameters!$C$3)), 0)</f>
        <v>1</v>
      </c>
      <c r="D203" s="25">
        <f>MAX(MIN((Sheet6!C203 - Fuzzy_Parameters!$C$3)/(Fuzzy_Parameters!$C$4 - Fuzzy_Parameters!$C$3), 1, (Fuzzy_Parameters!$C$6 - Sheet6!C203)/(Fuzzy_Parameters!$C$6 - Fuzzy_Parameters!$C$5)), 0)</f>
        <v>0</v>
      </c>
      <c r="E203" s="25">
        <f>MAX(MIN((Sheet6!C203 - Fuzzy_Parameters!$C$5)/(Fuzzy_Parameters!$C$6 - Fuzzy_Parameters!$C$5), 1), 0)</f>
        <v>0</v>
      </c>
      <c r="F203" s="25">
        <f>MAX(MIN(1, (Fuzzy_Parameters!$C$12 - Sheet6!D203)/(Fuzzy_Parameters!$C$12 - Fuzzy_Parameters!$C$11)), 0)</f>
        <v>1</v>
      </c>
      <c r="G203" s="25">
        <f>MAX(MIN((Sheet6!D203 - Fuzzy_Parameters!$C$11)/(Fuzzy_Parameters!$C$12 - Fuzzy_Parameters!$C$11), 1, (Fuzzy_Parameters!$C$14 - Sheet6!D203)/(Fuzzy_Parameters!$C$14 - Fuzzy_Parameters!$C$13)), 0)</f>
        <v>0</v>
      </c>
      <c r="H203" s="25">
        <f>MAX(MIN((Sheet6!D203 - Fuzzy_Parameters!$C$13)/(Fuzzy_Parameters!$C$14 - Fuzzy_Parameters!$C$13), 1), 0)</f>
        <v>0</v>
      </c>
      <c r="I203" s="25">
        <f>MAX(MIN(1, (Fuzzy_Parameters!$C$20 - Sheet6!E203)/(Fuzzy_Parameters!$C$20 - Fuzzy_Parameters!$C$19)), 0)</f>
        <v>1</v>
      </c>
      <c r="J203" s="25">
        <f>MAX(MIN((Sheet6!E203 - Fuzzy_Parameters!$C$19)/(Fuzzy_Parameters!$C$20 - Fuzzy_Parameters!$C$19), 1, (Fuzzy_Parameters!$C$22 - Sheet6!E203)/(Fuzzy_Parameters!$C$22 - Fuzzy_Parameters!$C$21)), 0)</f>
        <v>0</v>
      </c>
      <c r="K203" s="25">
        <f>MAX(MIN((Sheet6!E203 - Fuzzy_Parameters!$C$21)/(Fuzzy_Parameters!$C$22 - Fuzzy_Parameters!$C$21), 1), 0)</f>
        <v>0</v>
      </c>
      <c r="L203" s="25">
        <f>MAX(MIN(1, (Fuzzy_Parameters!$C$28 - Sheet6!F203)/(Fuzzy_Parameters!$C$28 - Fuzzy_Parameters!$C$27)), 0)</f>
        <v>0</v>
      </c>
      <c r="M203" s="25">
        <f>MAX(MIN((Sheet6!F203 - Fuzzy_Parameters!$C$27)/(Fuzzy_Parameters!$C$28 - Fuzzy_Parameters!$C$27), 1, (Fuzzy_Parameters!$C$30 - Sheet6!F203)/(Fuzzy_Parameters!$C$30 - Fuzzy_Parameters!$C$29)), 0)</f>
        <v>0.9553552987</v>
      </c>
      <c r="N203" s="25">
        <f>MAX(MIN((Sheet6!F203 - Fuzzy_Parameters!$C$29)/(Fuzzy_Parameters!$C$30 - Fuzzy_Parameters!$C$29), 1), 0)</f>
        <v>0.04464470132</v>
      </c>
    </row>
    <row r="204">
      <c r="A204" s="6" t="s">
        <v>23</v>
      </c>
      <c r="B204" s="26">
        <v>2018.0</v>
      </c>
      <c r="C204" s="25">
        <f>MAX(MIN(1, (Fuzzy_Parameters!$C$4 - Sheet6!C204)/(Fuzzy_Parameters!$C$4 - Fuzzy_Parameters!$C$3)), 0)</f>
        <v>0</v>
      </c>
      <c r="D204" s="25">
        <f>MAX(MIN((Sheet6!C204 - Fuzzy_Parameters!$C$3)/(Fuzzy_Parameters!$C$4 - Fuzzy_Parameters!$C$3), 1, (Fuzzy_Parameters!$C$6 - Sheet6!C204)/(Fuzzy_Parameters!$C$6 - Fuzzy_Parameters!$C$5)), 0)</f>
        <v>1</v>
      </c>
      <c r="E204" s="25">
        <f>MAX(MIN((Sheet6!C204 - Fuzzy_Parameters!$C$5)/(Fuzzy_Parameters!$C$6 - Fuzzy_Parameters!$C$5), 1), 0)</f>
        <v>0</v>
      </c>
      <c r="F204" s="25">
        <f>MAX(MIN(1, (Fuzzy_Parameters!$C$12 - Sheet6!D204)/(Fuzzy_Parameters!$C$12 - Fuzzy_Parameters!$C$11)), 0)</f>
        <v>1</v>
      </c>
      <c r="G204" s="25">
        <f>MAX(MIN((Sheet6!D204 - Fuzzy_Parameters!$C$11)/(Fuzzy_Parameters!$C$12 - Fuzzy_Parameters!$C$11), 1, (Fuzzy_Parameters!$C$14 - Sheet6!D204)/(Fuzzy_Parameters!$C$14 - Fuzzy_Parameters!$C$13)), 0)</f>
        <v>0</v>
      </c>
      <c r="H204" s="25">
        <f>MAX(MIN((Sheet6!D204 - Fuzzy_Parameters!$C$13)/(Fuzzy_Parameters!$C$14 - Fuzzy_Parameters!$C$13), 1), 0)</f>
        <v>0</v>
      </c>
      <c r="I204" s="25">
        <f>MAX(MIN(1, (Fuzzy_Parameters!$C$20 - Sheet6!E204)/(Fuzzy_Parameters!$C$20 - Fuzzy_Parameters!$C$19)), 0)</f>
        <v>1</v>
      </c>
      <c r="J204" s="25">
        <f>MAX(MIN((Sheet6!E204 - Fuzzy_Parameters!$C$19)/(Fuzzy_Parameters!$C$20 - Fuzzy_Parameters!$C$19), 1, (Fuzzy_Parameters!$C$22 - Sheet6!E204)/(Fuzzy_Parameters!$C$22 - Fuzzy_Parameters!$C$21)), 0)</f>
        <v>0</v>
      </c>
      <c r="K204" s="25">
        <f>MAX(MIN((Sheet6!E204 - Fuzzy_Parameters!$C$21)/(Fuzzy_Parameters!$C$22 - Fuzzy_Parameters!$C$21), 1), 0)</f>
        <v>0</v>
      </c>
      <c r="L204" s="25">
        <f>MAX(MIN(1, (Fuzzy_Parameters!$C$28 - Sheet6!F204)/(Fuzzy_Parameters!$C$28 - Fuzzy_Parameters!$C$27)), 0)</f>
        <v>0</v>
      </c>
      <c r="M204" s="25">
        <f>MAX(MIN((Sheet6!F204 - Fuzzy_Parameters!$C$27)/(Fuzzy_Parameters!$C$28 - Fuzzy_Parameters!$C$27), 1, (Fuzzy_Parameters!$C$30 - Sheet6!F204)/(Fuzzy_Parameters!$C$30 - Fuzzy_Parameters!$C$29)), 0)</f>
        <v>1</v>
      </c>
      <c r="N204" s="25">
        <f>MAX(MIN((Sheet6!F204 - Fuzzy_Parameters!$C$29)/(Fuzzy_Parameters!$C$30 - Fuzzy_Parameters!$C$29), 1), 0)</f>
        <v>0</v>
      </c>
    </row>
    <row r="205">
      <c r="A205" s="6" t="s">
        <v>23</v>
      </c>
      <c r="B205" s="26">
        <v>2017.0</v>
      </c>
      <c r="C205" s="25">
        <f>MAX(MIN(1, (Fuzzy_Parameters!$C$4 - Sheet6!C205)/(Fuzzy_Parameters!$C$4 - Fuzzy_Parameters!$C$3)), 0)</f>
        <v>0</v>
      </c>
      <c r="D205" s="25">
        <f>MAX(MIN((Sheet6!C205 - Fuzzy_Parameters!$C$3)/(Fuzzy_Parameters!$C$4 - Fuzzy_Parameters!$C$3), 1, (Fuzzy_Parameters!$C$6 - Sheet6!C205)/(Fuzzy_Parameters!$C$6 - Fuzzy_Parameters!$C$5)), 0)</f>
        <v>1</v>
      </c>
      <c r="E205" s="25">
        <f>MAX(MIN((Sheet6!C205 - Fuzzy_Parameters!$C$5)/(Fuzzy_Parameters!$C$6 - Fuzzy_Parameters!$C$5), 1), 0)</f>
        <v>0</v>
      </c>
      <c r="F205" s="25">
        <f>MAX(MIN(1, (Fuzzy_Parameters!$C$12 - Sheet6!D205)/(Fuzzy_Parameters!$C$12 - Fuzzy_Parameters!$C$11)), 0)</f>
        <v>1</v>
      </c>
      <c r="G205" s="25">
        <f>MAX(MIN((Sheet6!D205 - Fuzzy_Parameters!$C$11)/(Fuzzy_Parameters!$C$12 - Fuzzy_Parameters!$C$11), 1, (Fuzzy_Parameters!$C$14 - Sheet6!D205)/(Fuzzy_Parameters!$C$14 - Fuzzy_Parameters!$C$13)), 0)</f>
        <v>0</v>
      </c>
      <c r="H205" s="25">
        <f>MAX(MIN((Sheet6!D205 - Fuzzy_Parameters!$C$13)/(Fuzzy_Parameters!$C$14 - Fuzzy_Parameters!$C$13), 1), 0)</f>
        <v>0</v>
      </c>
      <c r="I205" s="25">
        <f>MAX(MIN(1, (Fuzzy_Parameters!$C$20 - Sheet6!E205)/(Fuzzy_Parameters!$C$20 - Fuzzy_Parameters!$C$19)), 0)</f>
        <v>1</v>
      </c>
      <c r="J205" s="25">
        <f>MAX(MIN((Sheet6!E205 - Fuzzy_Parameters!$C$19)/(Fuzzy_Parameters!$C$20 - Fuzzy_Parameters!$C$19), 1, (Fuzzy_Parameters!$C$22 - Sheet6!E205)/(Fuzzy_Parameters!$C$22 - Fuzzy_Parameters!$C$21)), 0)</f>
        <v>0</v>
      </c>
      <c r="K205" s="25">
        <f>MAX(MIN((Sheet6!E205 - Fuzzy_Parameters!$C$21)/(Fuzzy_Parameters!$C$22 - Fuzzy_Parameters!$C$21), 1), 0)</f>
        <v>0</v>
      </c>
      <c r="L205" s="25">
        <f>MAX(MIN(1, (Fuzzy_Parameters!$C$28 - Sheet6!F205)/(Fuzzy_Parameters!$C$28 - Fuzzy_Parameters!$C$27)), 0)</f>
        <v>0</v>
      </c>
      <c r="M205" s="25">
        <f>MAX(MIN((Sheet6!F205 - Fuzzy_Parameters!$C$27)/(Fuzzy_Parameters!$C$28 - Fuzzy_Parameters!$C$27), 1, (Fuzzy_Parameters!$C$30 - Sheet6!F205)/(Fuzzy_Parameters!$C$30 - Fuzzy_Parameters!$C$29)), 0)</f>
        <v>1</v>
      </c>
      <c r="N205" s="25">
        <f>MAX(MIN((Sheet6!F205 - Fuzzy_Parameters!$C$29)/(Fuzzy_Parameters!$C$30 - Fuzzy_Parameters!$C$29), 1), 0)</f>
        <v>0</v>
      </c>
    </row>
    <row r="206">
      <c r="A206" s="6" t="s">
        <v>23</v>
      </c>
      <c r="B206" s="26">
        <v>2016.0</v>
      </c>
      <c r="C206" s="25">
        <f>MAX(MIN(1, (Fuzzy_Parameters!$C$4 - Sheet6!C206)/(Fuzzy_Parameters!$C$4 - Fuzzy_Parameters!$C$3)), 0)</f>
        <v>0</v>
      </c>
      <c r="D206" s="25">
        <f>MAX(MIN((Sheet6!C206 - Fuzzy_Parameters!$C$3)/(Fuzzy_Parameters!$C$4 - Fuzzy_Parameters!$C$3), 1, (Fuzzy_Parameters!$C$6 - Sheet6!C206)/(Fuzzy_Parameters!$C$6 - Fuzzy_Parameters!$C$5)), 0)</f>
        <v>1</v>
      </c>
      <c r="E206" s="25">
        <f>MAX(MIN((Sheet6!C206 - Fuzzy_Parameters!$C$5)/(Fuzzy_Parameters!$C$6 - Fuzzy_Parameters!$C$5), 1), 0)</f>
        <v>0</v>
      </c>
      <c r="F206" s="25">
        <f>MAX(MIN(1, (Fuzzy_Parameters!$C$12 - Sheet6!D206)/(Fuzzy_Parameters!$C$12 - Fuzzy_Parameters!$C$11)), 0)</f>
        <v>1</v>
      </c>
      <c r="G206" s="25">
        <f>MAX(MIN((Sheet6!D206 - Fuzzy_Parameters!$C$11)/(Fuzzy_Parameters!$C$12 - Fuzzy_Parameters!$C$11), 1, (Fuzzy_Parameters!$C$14 - Sheet6!D206)/(Fuzzy_Parameters!$C$14 - Fuzzy_Parameters!$C$13)), 0)</f>
        <v>0</v>
      </c>
      <c r="H206" s="25">
        <f>MAX(MIN((Sheet6!D206 - Fuzzy_Parameters!$C$13)/(Fuzzy_Parameters!$C$14 - Fuzzy_Parameters!$C$13), 1), 0)</f>
        <v>0</v>
      </c>
      <c r="I206" s="25">
        <f>MAX(MIN(1, (Fuzzy_Parameters!$C$20 - Sheet6!E206)/(Fuzzy_Parameters!$C$20 - Fuzzy_Parameters!$C$19)), 0)</f>
        <v>1</v>
      </c>
      <c r="J206" s="25">
        <f>MAX(MIN((Sheet6!E206 - Fuzzy_Parameters!$C$19)/(Fuzzy_Parameters!$C$20 - Fuzzy_Parameters!$C$19), 1, (Fuzzy_Parameters!$C$22 - Sheet6!E206)/(Fuzzy_Parameters!$C$22 - Fuzzy_Parameters!$C$21)), 0)</f>
        <v>0</v>
      </c>
      <c r="K206" s="25">
        <f>MAX(MIN((Sheet6!E206 - Fuzzy_Parameters!$C$21)/(Fuzzy_Parameters!$C$22 - Fuzzy_Parameters!$C$21), 1), 0)</f>
        <v>0</v>
      </c>
      <c r="L206" s="25">
        <f>MAX(MIN(1, (Fuzzy_Parameters!$C$28 - Sheet6!F206)/(Fuzzy_Parameters!$C$28 - Fuzzy_Parameters!$C$27)), 0)</f>
        <v>0</v>
      </c>
      <c r="M206" s="25">
        <f>MAX(MIN((Sheet6!F206 - Fuzzy_Parameters!$C$27)/(Fuzzy_Parameters!$C$28 - Fuzzy_Parameters!$C$27), 1, (Fuzzy_Parameters!$C$30 - Sheet6!F206)/(Fuzzy_Parameters!$C$30 - Fuzzy_Parameters!$C$29)), 0)</f>
        <v>1</v>
      </c>
      <c r="N206" s="25">
        <f>MAX(MIN((Sheet6!F206 - Fuzzy_Parameters!$C$29)/(Fuzzy_Parameters!$C$30 - Fuzzy_Parameters!$C$29), 1), 0)</f>
        <v>0</v>
      </c>
    </row>
    <row r="207">
      <c r="A207" s="6" t="s">
        <v>23</v>
      </c>
      <c r="B207" s="26">
        <v>2015.0</v>
      </c>
      <c r="C207" s="25">
        <f>MAX(MIN(1, (Fuzzy_Parameters!$C$4 - Sheet6!C207)/(Fuzzy_Parameters!$C$4 - Fuzzy_Parameters!$C$3)), 0)</f>
        <v>0</v>
      </c>
      <c r="D207" s="25">
        <f>MAX(MIN((Sheet6!C207 - Fuzzy_Parameters!$C$3)/(Fuzzy_Parameters!$C$4 - Fuzzy_Parameters!$C$3), 1, (Fuzzy_Parameters!$C$6 - Sheet6!C207)/(Fuzzy_Parameters!$C$6 - Fuzzy_Parameters!$C$5)), 0)</f>
        <v>0.8947074556</v>
      </c>
      <c r="E207" s="25">
        <f>MAX(MIN((Sheet6!C207 - Fuzzy_Parameters!$C$5)/(Fuzzy_Parameters!$C$6 - Fuzzy_Parameters!$C$5), 1), 0)</f>
        <v>0.1052925444</v>
      </c>
      <c r="F207" s="25">
        <f>MAX(MIN(1, (Fuzzy_Parameters!$C$12 - Sheet6!D207)/(Fuzzy_Parameters!$C$12 - Fuzzy_Parameters!$C$11)), 0)</f>
        <v>1</v>
      </c>
      <c r="G207" s="25">
        <f>MAX(MIN((Sheet6!D207 - Fuzzy_Parameters!$C$11)/(Fuzzy_Parameters!$C$12 - Fuzzy_Parameters!$C$11), 1, (Fuzzy_Parameters!$C$14 - Sheet6!D207)/(Fuzzy_Parameters!$C$14 - Fuzzy_Parameters!$C$13)), 0)</f>
        <v>0</v>
      </c>
      <c r="H207" s="25">
        <f>MAX(MIN((Sheet6!D207 - Fuzzy_Parameters!$C$13)/(Fuzzy_Parameters!$C$14 - Fuzzy_Parameters!$C$13), 1), 0)</f>
        <v>0</v>
      </c>
      <c r="I207" s="25">
        <f>MAX(MIN(1, (Fuzzy_Parameters!$C$20 - Sheet6!E207)/(Fuzzy_Parameters!$C$20 - Fuzzy_Parameters!$C$19)), 0)</f>
        <v>1</v>
      </c>
      <c r="J207" s="25">
        <f>MAX(MIN((Sheet6!E207 - Fuzzy_Parameters!$C$19)/(Fuzzy_Parameters!$C$20 - Fuzzy_Parameters!$C$19), 1, (Fuzzy_Parameters!$C$22 - Sheet6!E207)/(Fuzzy_Parameters!$C$22 - Fuzzy_Parameters!$C$21)), 0)</f>
        <v>0</v>
      </c>
      <c r="K207" s="25">
        <f>MAX(MIN((Sheet6!E207 - Fuzzy_Parameters!$C$21)/(Fuzzy_Parameters!$C$22 - Fuzzy_Parameters!$C$21), 1), 0)</f>
        <v>0</v>
      </c>
      <c r="L207" s="25">
        <f>MAX(MIN(1, (Fuzzy_Parameters!$C$28 - Sheet6!F207)/(Fuzzy_Parameters!$C$28 - Fuzzy_Parameters!$C$27)), 0)</f>
        <v>0</v>
      </c>
      <c r="M207" s="25">
        <f>MAX(MIN((Sheet6!F207 - Fuzzy_Parameters!$C$27)/(Fuzzy_Parameters!$C$28 - Fuzzy_Parameters!$C$27), 1, (Fuzzy_Parameters!$C$30 - Sheet6!F207)/(Fuzzy_Parameters!$C$30 - Fuzzy_Parameters!$C$29)), 0)</f>
        <v>1</v>
      </c>
      <c r="N207" s="25">
        <f>MAX(MIN((Sheet6!F207 - Fuzzy_Parameters!$C$29)/(Fuzzy_Parameters!$C$30 - Fuzzy_Parameters!$C$29), 1), 0)</f>
        <v>0</v>
      </c>
    </row>
    <row r="208">
      <c r="A208" s="56" t="s">
        <v>23</v>
      </c>
      <c r="B208" s="57">
        <v>2014.0</v>
      </c>
      <c r="C208" s="25">
        <f>MAX(MIN(1, (Fuzzy_Parameters!$C$4 - Sheet6!C208)/(Fuzzy_Parameters!$C$4 - Fuzzy_Parameters!$C$3)), 0)</f>
        <v>0</v>
      </c>
      <c r="D208" s="25">
        <f>MAX(MIN((Sheet6!C208 - Fuzzy_Parameters!$C$3)/(Fuzzy_Parameters!$C$4 - Fuzzy_Parameters!$C$3), 1, (Fuzzy_Parameters!$C$6 - Sheet6!C208)/(Fuzzy_Parameters!$C$6 - Fuzzy_Parameters!$C$5)), 0)</f>
        <v>0.8927364965</v>
      </c>
      <c r="E208" s="25">
        <f>MAX(MIN((Sheet6!C208 - Fuzzy_Parameters!$C$5)/(Fuzzy_Parameters!$C$6 - Fuzzy_Parameters!$C$5), 1), 0)</f>
        <v>0.1072635035</v>
      </c>
      <c r="F208" s="25">
        <f>MAX(MIN(1, (Fuzzy_Parameters!$C$12 - Sheet6!D208)/(Fuzzy_Parameters!$C$12 - Fuzzy_Parameters!$C$11)), 0)</f>
        <v>0.8965819347</v>
      </c>
      <c r="G208" s="25">
        <f>MAX(MIN((Sheet6!D208 - Fuzzy_Parameters!$C$11)/(Fuzzy_Parameters!$C$12 - Fuzzy_Parameters!$C$11), 1, (Fuzzy_Parameters!$C$14 - Sheet6!D208)/(Fuzzy_Parameters!$C$14 - Fuzzy_Parameters!$C$13)), 0)</f>
        <v>0.1034180653</v>
      </c>
      <c r="H208" s="25">
        <f>MAX(MIN((Sheet6!D208 - Fuzzy_Parameters!$C$13)/(Fuzzy_Parameters!$C$14 - Fuzzy_Parameters!$C$13), 1), 0)</f>
        <v>0</v>
      </c>
      <c r="I208" s="25">
        <f>MAX(MIN(1, (Fuzzy_Parameters!$C$20 - Sheet6!E208)/(Fuzzy_Parameters!$C$20 - Fuzzy_Parameters!$C$19)), 0)</f>
        <v>1</v>
      </c>
      <c r="J208" s="25">
        <f>MAX(MIN((Sheet6!E208 - Fuzzy_Parameters!$C$19)/(Fuzzy_Parameters!$C$20 - Fuzzy_Parameters!$C$19), 1, (Fuzzy_Parameters!$C$22 - Sheet6!E208)/(Fuzzy_Parameters!$C$22 - Fuzzy_Parameters!$C$21)), 0)</f>
        <v>0</v>
      </c>
      <c r="K208" s="25">
        <f>MAX(MIN((Sheet6!E208 - Fuzzy_Parameters!$C$21)/(Fuzzy_Parameters!$C$22 - Fuzzy_Parameters!$C$21), 1), 0)</f>
        <v>0</v>
      </c>
      <c r="L208" s="25">
        <f>MAX(MIN(1, (Fuzzy_Parameters!$C$28 - Sheet6!F208)/(Fuzzy_Parameters!$C$28 - Fuzzy_Parameters!$C$27)), 0)</f>
        <v>0</v>
      </c>
      <c r="M208" s="25">
        <f>MAX(MIN((Sheet6!F208 - Fuzzy_Parameters!$C$27)/(Fuzzy_Parameters!$C$28 - Fuzzy_Parameters!$C$27), 1, (Fuzzy_Parameters!$C$30 - Sheet6!F208)/(Fuzzy_Parameters!$C$30 - Fuzzy_Parameters!$C$29)), 0)</f>
        <v>1</v>
      </c>
      <c r="N208" s="25">
        <f>MAX(MIN((Sheet6!F208 - Fuzzy_Parameters!$C$29)/(Fuzzy_Parameters!$C$30 - Fuzzy_Parameters!$C$29), 1), 0)</f>
        <v>0</v>
      </c>
    </row>
    <row r="209">
      <c r="A209" s="6" t="s">
        <v>24</v>
      </c>
      <c r="B209" s="26">
        <v>2022.0</v>
      </c>
      <c r="C209" s="25">
        <f>MAX(MIN(1, (Fuzzy_Parameters!$C$4 - Sheet6!C209)/(Fuzzy_Parameters!$C$4 - Fuzzy_Parameters!$C$3)), 0)</f>
        <v>0</v>
      </c>
      <c r="D209" s="25">
        <f>MAX(MIN((Sheet6!C209 - Fuzzy_Parameters!$C$3)/(Fuzzy_Parameters!$C$4 - Fuzzy_Parameters!$C$3), 1, (Fuzzy_Parameters!$C$6 - Sheet6!C209)/(Fuzzy_Parameters!$C$6 - Fuzzy_Parameters!$C$5)), 0)</f>
        <v>0</v>
      </c>
      <c r="E209" s="25">
        <f>MAX(MIN((Sheet6!C209 - Fuzzy_Parameters!$C$5)/(Fuzzy_Parameters!$C$6 - Fuzzy_Parameters!$C$5), 1), 0)</f>
        <v>1</v>
      </c>
      <c r="F209" s="25">
        <f>MAX(MIN(1, (Fuzzy_Parameters!$C$12 - Sheet6!D209)/(Fuzzy_Parameters!$C$12 - Fuzzy_Parameters!$C$11)), 0)</f>
        <v>0.6468007143</v>
      </c>
      <c r="G209" s="25">
        <f>MAX(MIN((Sheet6!D209 - Fuzzy_Parameters!$C$11)/(Fuzzy_Parameters!$C$12 - Fuzzy_Parameters!$C$11), 1, (Fuzzy_Parameters!$C$14 - Sheet6!D209)/(Fuzzy_Parameters!$C$14 - Fuzzy_Parameters!$C$13)), 0)</f>
        <v>0.3531992857</v>
      </c>
      <c r="H209" s="25">
        <f>MAX(MIN((Sheet6!D209 - Fuzzy_Parameters!$C$13)/(Fuzzy_Parameters!$C$14 - Fuzzy_Parameters!$C$13), 1), 0)</f>
        <v>0</v>
      </c>
      <c r="I209" s="25">
        <f>MAX(MIN(1, (Fuzzy_Parameters!$C$20 - Sheet6!E209)/(Fuzzy_Parameters!$C$20 - Fuzzy_Parameters!$C$19)), 0)</f>
        <v>1</v>
      </c>
      <c r="J209" s="25">
        <f>MAX(MIN((Sheet6!E209 - Fuzzy_Parameters!$C$19)/(Fuzzy_Parameters!$C$20 - Fuzzy_Parameters!$C$19), 1, (Fuzzy_Parameters!$C$22 - Sheet6!E209)/(Fuzzy_Parameters!$C$22 - Fuzzy_Parameters!$C$21)), 0)</f>
        <v>0</v>
      </c>
      <c r="K209" s="25">
        <f>MAX(MIN((Sheet6!E209 - Fuzzy_Parameters!$C$21)/(Fuzzy_Parameters!$C$22 - Fuzzy_Parameters!$C$21), 1), 0)</f>
        <v>0</v>
      </c>
      <c r="L209" s="25">
        <f>MAX(MIN(1, (Fuzzy_Parameters!$C$28 - Sheet6!F209)/(Fuzzy_Parameters!$C$28 - Fuzzy_Parameters!$C$27)), 0)</f>
        <v>0.0721505364</v>
      </c>
      <c r="M209" s="25">
        <f>MAX(MIN((Sheet6!F209 - Fuzzy_Parameters!$C$27)/(Fuzzy_Parameters!$C$28 - Fuzzy_Parameters!$C$27), 1, (Fuzzy_Parameters!$C$30 - Sheet6!F209)/(Fuzzy_Parameters!$C$30 - Fuzzy_Parameters!$C$29)), 0)</f>
        <v>0.9278494636</v>
      </c>
      <c r="N209" s="25">
        <f>MAX(MIN((Sheet6!F209 - Fuzzy_Parameters!$C$29)/(Fuzzy_Parameters!$C$30 - Fuzzy_Parameters!$C$29), 1), 0)</f>
        <v>0</v>
      </c>
    </row>
    <row r="210">
      <c r="A210" s="6" t="s">
        <v>24</v>
      </c>
      <c r="B210" s="26">
        <v>2021.0</v>
      </c>
      <c r="C210" s="25">
        <f>MAX(MIN(1, (Fuzzy_Parameters!$C$4 - Sheet6!C210)/(Fuzzy_Parameters!$C$4 - Fuzzy_Parameters!$C$3)), 0)</f>
        <v>0</v>
      </c>
      <c r="D210" s="25">
        <f>MAX(MIN((Sheet6!C210 - Fuzzy_Parameters!$C$3)/(Fuzzy_Parameters!$C$4 - Fuzzy_Parameters!$C$3), 1, (Fuzzy_Parameters!$C$6 - Sheet6!C210)/(Fuzzy_Parameters!$C$6 - Fuzzy_Parameters!$C$5)), 0)</f>
        <v>0.3217905479</v>
      </c>
      <c r="E210" s="25">
        <f>MAX(MIN((Sheet6!C210 - Fuzzy_Parameters!$C$5)/(Fuzzy_Parameters!$C$6 - Fuzzy_Parameters!$C$5), 1), 0)</f>
        <v>0.6782094521</v>
      </c>
      <c r="F210" s="25">
        <f>MAX(MIN(1, (Fuzzy_Parameters!$C$12 - Sheet6!D210)/(Fuzzy_Parameters!$C$12 - Fuzzy_Parameters!$C$11)), 0)</f>
        <v>0</v>
      </c>
      <c r="G210" s="25">
        <f>MAX(MIN((Sheet6!D210 - Fuzzy_Parameters!$C$11)/(Fuzzy_Parameters!$C$12 - Fuzzy_Parameters!$C$11), 1, (Fuzzy_Parameters!$C$14 - Sheet6!D210)/(Fuzzy_Parameters!$C$14 - Fuzzy_Parameters!$C$13)), 0)</f>
        <v>1</v>
      </c>
      <c r="H210" s="25">
        <f>MAX(MIN((Sheet6!D210 - Fuzzy_Parameters!$C$13)/(Fuzzy_Parameters!$C$14 - Fuzzy_Parameters!$C$13), 1), 0)</f>
        <v>0</v>
      </c>
      <c r="I210" s="25">
        <f>MAX(MIN(1, (Fuzzy_Parameters!$C$20 - Sheet6!E210)/(Fuzzy_Parameters!$C$20 - Fuzzy_Parameters!$C$19)), 0)</f>
        <v>1</v>
      </c>
      <c r="J210" s="25">
        <f>MAX(MIN((Sheet6!E210 - Fuzzy_Parameters!$C$19)/(Fuzzy_Parameters!$C$20 - Fuzzy_Parameters!$C$19), 1, (Fuzzy_Parameters!$C$22 - Sheet6!E210)/(Fuzzy_Parameters!$C$22 - Fuzzy_Parameters!$C$21)), 0)</f>
        <v>0</v>
      </c>
      <c r="K210" s="25">
        <f>MAX(MIN((Sheet6!E210 - Fuzzy_Parameters!$C$21)/(Fuzzy_Parameters!$C$22 - Fuzzy_Parameters!$C$21), 1), 0)</f>
        <v>0</v>
      </c>
      <c r="L210" s="25">
        <f>MAX(MIN(1, (Fuzzy_Parameters!$C$28 - Sheet6!F210)/(Fuzzy_Parameters!$C$28 - Fuzzy_Parameters!$C$27)), 0)</f>
        <v>0</v>
      </c>
      <c r="M210" s="25">
        <f>MAX(MIN((Sheet6!F210 - Fuzzy_Parameters!$C$27)/(Fuzzy_Parameters!$C$28 - Fuzzy_Parameters!$C$27), 1, (Fuzzy_Parameters!$C$30 - Sheet6!F210)/(Fuzzy_Parameters!$C$30 - Fuzzy_Parameters!$C$29)), 0)</f>
        <v>1</v>
      </c>
      <c r="N210" s="25">
        <f>MAX(MIN((Sheet6!F210 - Fuzzy_Parameters!$C$29)/(Fuzzy_Parameters!$C$30 - Fuzzy_Parameters!$C$29), 1), 0)</f>
        <v>0</v>
      </c>
    </row>
    <row r="211">
      <c r="A211" s="6" t="s">
        <v>24</v>
      </c>
      <c r="B211" s="26">
        <v>2020.0</v>
      </c>
      <c r="C211" s="25">
        <f>MAX(MIN(1, (Fuzzy_Parameters!$C$4 - Sheet6!C211)/(Fuzzy_Parameters!$C$4 - Fuzzy_Parameters!$C$3)), 0)</f>
        <v>0.826087342</v>
      </c>
      <c r="D211" s="25">
        <f>MAX(MIN((Sheet6!C211 - Fuzzy_Parameters!$C$3)/(Fuzzy_Parameters!$C$4 - Fuzzy_Parameters!$C$3), 1, (Fuzzy_Parameters!$C$6 - Sheet6!C211)/(Fuzzy_Parameters!$C$6 - Fuzzy_Parameters!$C$5)), 0)</f>
        <v>0.173912658</v>
      </c>
      <c r="E211" s="25">
        <f>MAX(MIN((Sheet6!C211 - Fuzzy_Parameters!$C$5)/(Fuzzy_Parameters!$C$6 - Fuzzy_Parameters!$C$5), 1), 0)</f>
        <v>0</v>
      </c>
      <c r="F211" s="25">
        <f>MAX(MIN(1, (Fuzzy_Parameters!$C$12 - Sheet6!D211)/(Fuzzy_Parameters!$C$12 - Fuzzy_Parameters!$C$11)), 0)</f>
        <v>0</v>
      </c>
      <c r="G211" s="25">
        <f>MAX(MIN((Sheet6!D211 - Fuzzy_Parameters!$C$11)/(Fuzzy_Parameters!$C$12 - Fuzzy_Parameters!$C$11), 1, (Fuzzy_Parameters!$C$14 - Sheet6!D211)/(Fuzzy_Parameters!$C$14 - Fuzzy_Parameters!$C$13)), 0)</f>
        <v>0</v>
      </c>
      <c r="H211" s="25">
        <f>MAX(MIN((Sheet6!D211 - Fuzzy_Parameters!$C$13)/(Fuzzy_Parameters!$C$14 - Fuzzy_Parameters!$C$13), 1), 0)</f>
        <v>1</v>
      </c>
      <c r="I211" s="25">
        <f>MAX(MIN(1, (Fuzzy_Parameters!$C$20 - Sheet6!E211)/(Fuzzy_Parameters!$C$20 - Fuzzy_Parameters!$C$19)), 0)</f>
        <v>1</v>
      </c>
      <c r="J211" s="25">
        <f>MAX(MIN((Sheet6!E211 - Fuzzy_Parameters!$C$19)/(Fuzzy_Parameters!$C$20 - Fuzzy_Parameters!$C$19), 1, (Fuzzy_Parameters!$C$22 - Sheet6!E211)/(Fuzzy_Parameters!$C$22 - Fuzzy_Parameters!$C$21)), 0)</f>
        <v>0</v>
      </c>
      <c r="K211" s="25">
        <f>MAX(MIN((Sheet6!E211 - Fuzzy_Parameters!$C$21)/(Fuzzy_Parameters!$C$22 - Fuzzy_Parameters!$C$21), 1), 0)</f>
        <v>0</v>
      </c>
      <c r="L211" s="25">
        <f>MAX(MIN(1, (Fuzzy_Parameters!$C$28 - Sheet6!F211)/(Fuzzy_Parameters!$C$28 - Fuzzy_Parameters!$C$27)), 0)</f>
        <v>0</v>
      </c>
      <c r="M211" s="25">
        <f>MAX(MIN((Sheet6!F211 - Fuzzy_Parameters!$C$27)/(Fuzzy_Parameters!$C$28 - Fuzzy_Parameters!$C$27), 1, (Fuzzy_Parameters!$C$30 - Sheet6!F211)/(Fuzzy_Parameters!$C$30 - Fuzzy_Parameters!$C$29)), 0)</f>
        <v>0.9121112327</v>
      </c>
      <c r="N211" s="25">
        <f>MAX(MIN((Sheet6!F211 - Fuzzy_Parameters!$C$29)/(Fuzzy_Parameters!$C$30 - Fuzzy_Parameters!$C$29), 1), 0)</f>
        <v>0.08788876729</v>
      </c>
    </row>
    <row r="212">
      <c r="A212" s="6" t="s">
        <v>24</v>
      </c>
      <c r="B212" s="26">
        <v>2019.0</v>
      </c>
      <c r="C212" s="25">
        <f>MAX(MIN(1, (Fuzzy_Parameters!$C$4 - Sheet6!C212)/(Fuzzy_Parameters!$C$4 - Fuzzy_Parameters!$C$3)), 0)</f>
        <v>0</v>
      </c>
      <c r="D212" s="25">
        <f>MAX(MIN((Sheet6!C212 - Fuzzy_Parameters!$C$3)/(Fuzzy_Parameters!$C$4 - Fuzzy_Parameters!$C$3), 1, (Fuzzy_Parameters!$C$6 - Sheet6!C212)/(Fuzzy_Parameters!$C$6 - Fuzzy_Parameters!$C$5)), 0)</f>
        <v>0</v>
      </c>
      <c r="E212" s="25">
        <f>MAX(MIN((Sheet6!C212 - Fuzzy_Parameters!$C$5)/(Fuzzy_Parameters!$C$6 - Fuzzy_Parameters!$C$5), 1), 0)</f>
        <v>1</v>
      </c>
      <c r="F212" s="25">
        <f>MAX(MIN(1, (Fuzzy_Parameters!$C$12 - Sheet6!D212)/(Fuzzy_Parameters!$C$12 - Fuzzy_Parameters!$C$11)), 0)</f>
        <v>0.32077135</v>
      </c>
      <c r="G212" s="25">
        <f>MAX(MIN((Sheet6!D212 - Fuzzy_Parameters!$C$11)/(Fuzzy_Parameters!$C$12 - Fuzzy_Parameters!$C$11), 1, (Fuzzy_Parameters!$C$14 - Sheet6!D212)/(Fuzzy_Parameters!$C$14 - Fuzzy_Parameters!$C$13)), 0)</f>
        <v>0.67922865</v>
      </c>
      <c r="H212" s="25">
        <f>MAX(MIN((Sheet6!D212 - Fuzzy_Parameters!$C$13)/(Fuzzy_Parameters!$C$14 - Fuzzy_Parameters!$C$13), 1), 0)</f>
        <v>0</v>
      </c>
      <c r="I212" s="25">
        <f>MAX(MIN(1, (Fuzzy_Parameters!$C$20 - Sheet6!E212)/(Fuzzy_Parameters!$C$20 - Fuzzy_Parameters!$C$19)), 0)</f>
        <v>1</v>
      </c>
      <c r="J212" s="25">
        <f>MAX(MIN((Sheet6!E212 - Fuzzy_Parameters!$C$19)/(Fuzzy_Parameters!$C$20 - Fuzzy_Parameters!$C$19), 1, (Fuzzy_Parameters!$C$22 - Sheet6!E212)/(Fuzzy_Parameters!$C$22 - Fuzzy_Parameters!$C$21)), 0)</f>
        <v>0</v>
      </c>
      <c r="K212" s="25">
        <f>MAX(MIN((Sheet6!E212 - Fuzzy_Parameters!$C$21)/(Fuzzy_Parameters!$C$22 - Fuzzy_Parameters!$C$21), 1), 0)</f>
        <v>0</v>
      </c>
      <c r="L212" s="25">
        <f>MAX(MIN(1, (Fuzzy_Parameters!$C$28 - Sheet6!F212)/(Fuzzy_Parameters!$C$28 - Fuzzy_Parameters!$C$27)), 0)</f>
        <v>0</v>
      </c>
      <c r="M212" s="25">
        <f>MAX(MIN((Sheet6!F212 - Fuzzy_Parameters!$C$27)/(Fuzzy_Parameters!$C$28 - Fuzzy_Parameters!$C$27), 1, (Fuzzy_Parameters!$C$30 - Sheet6!F212)/(Fuzzy_Parameters!$C$30 - Fuzzy_Parameters!$C$29)), 0)</f>
        <v>1</v>
      </c>
      <c r="N212" s="25">
        <f>MAX(MIN((Sheet6!F212 - Fuzzy_Parameters!$C$29)/(Fuzzy_Parameters!$C$30 - Fuzzy_Parameters!$C$29), 1), 0)</f>
        <v>0</v>
      </c>
    </row>
    <row r="213">
      <c r="A213" s="6" t="s">
        <v>24</v>
      </c>
      <c r="B213" s="26">
        <v>2018.0</v>
      </c>
      <c r="C213" s="25">
        <f>MAX(MIN(1, (Fuzzy_Parameters!$C$4 - Sheet6!C213)/(Fuzzy_Parameters!$C$4 - Fuzzy_Parameters!$C$3)), 0)</f>
        <v>0</v>
      </c>
      <c r="D213" s="25">
        <f>MAX(MIN((Sheet6!C213 - Fuzzy_Parameters!$C$3)/(Fuzzy_Parameters!$C$4 - Fuzzy_Parameters!$C$3), 1, (Fuzzy_Parameters!$C$6 - Sheet6!C213)/(Fuzzy_Parameters!$C$6 - Fuzzy_Parameters!$C$5)), 0)</f>
        <v>0</v>
      </c>
      <c r="E213" s="25">
        <f>MAX(MIN((Sheet6!C213 - Fuzzy_Parameters!$C$5)/(Fuzzy_Parameters!$C$6 - Fuzzy_Parameters!$C$5), 1), 0)</f>
        <v>1</v>
      </c>
      <c r="F213" s="25">
        <f>MAX(MIN(1, (Fuzzy_Parameters!$C$12 - Sheet6!D213)/(Fuzzy_Parameters!$C$12 - Fuzzy_Parameters!$C$11)), 0)</f>
        <v>0.4960563358</v>
      </c>
      <c r="G213" s="25">
        <f>MAX(MIN((Sheet6!D213 - Fuzzy_Parameters!$C$11)/(Fuzzy_Parameters!$C$12 - Fuzzy_Parameters!$C$11), 1, (Fuzzy_Parameters!$C$14 - Sheet6!D213)/(Fuzzy_Parameters!$C$14 - Fuzzy_Parameters!$C$13)), 0)</f>
        <v>0.5039436642</v>
      </c>
      <c r="H213" s="25">
        <f>MAX(MIN((Sheet6!D213 - Fuzzy_Parameters!$C$13)/(Fuzzy_Parameters!$C$14 - Fuzzy_Parameters!$C$13), 1), 0)</f>
        <v>0</v>
      </c>
      <c r="I213" s="25">
        <f>MAX(MIN(1, (Fuzzy_Parameters!$C$20 - Sheet6!E213)/(Fuzzy_Parameters!$C$20 - Fuzzy_Parameters!$C$19)), 0)</f>
        <v>1</v>
      </c>
      <c r="J213" s="25">
        <f>MAX(MIN((Sheet6!E213 - Fuzzy_Parameters!$C$19)/(Fuzzy_Parameters!$C$20 - Fuzzy_Parameters!$C$19), 1, (Fuzzy_Parameters!$C$22 - Sheet6!E213)/(Fuzzy_Parameters!$C$22 - Fuzzy_Parameters!$C$21)), 0)</f>
        <v>0</v>
      </c>
      <c r="K213" s="25">
        <f>MAX(MIN((Sheet6!E213 - Fuzzy_Parameters!$C$21)/(Fuzzy_Parameters!$C$22 - Fuzzy_Parameters!$C$21), 1), 0)</f>
        <v>0</v>
      </c>
      <c r="L213" s="25">
        <f>MAX(MIN(1, (Fuzzy_Parameters!$C$28 - Sheet6!F213)/(Fuzzy_Parameters!$C$28 - Fuzzy_Parameters!$C$27)), 0)</f>
        <v>0</v>
      </c>
      <c r="M213" s="25">
        <f>MAX(MIN((Sheet6!F213 - Fuzzy_Parameters!$C$27)/(Fuzzy_Parameters!$C$28 - Fuzzy_Parameters!$C$27), 1, (Fuzzy_Parameters!$C$30 - Sheet6!F213)/(Fuzzy_Parameters!$C$30 - Fuzzy_Parameters!$C$29)), 0)</f>
        <v>0.9553552987</v>
      </c>
      <c r="N213" s="25">
        <f>MAX(MIN((Sheet6!F213 - Fuzzy_Parameters!$C$29)/(Fuzzy_Parameters!$C$30 - Fuzzy_Parameters!$C$29), 1), 0)</f>
        <v>0.04464470132</v>
      </c>
    </row>
    <row r="214">
      <c r="A214" s="6" t="s">
        <v>24</v>
      </c>
      <c r="B214" s="26">
        <v>2017.0</v>
      </c>
      <c r="C214" s="25">
        <f>MAX(MIN(1, (Fuzzy_Parameters!$C$4 - Sheet6!C214)/(Fuzzy_Parameters!$C$4 - Fuzzy_Parameters!$C$3)), 0)</f>
        <v>1</v>
      </c>
      <c r="D214" s="25">
        <f>MAX(MIN((Sheet6!C214 - Fuzzy_Parameters!$C$3)/(Fuzzy_Parameters!$C$4 - Fuzzy_Parameters!$C$3), 1, (Fuzzy_Parameters!$C$6 - Sheet6!C214)/(Fuzzy_Parameters!$C$6 - Fuzzy_Parameters!$C$5)), 0)</f>
        <v>0</v>
      </c>
      <c r="E214" s="25">
        <f>MAX(MIN((Sheet6!C214 - Fuzzy_Parameters!$C$5)/(Fuzzy_Parameters!$C$6 - Fuzzy_Parameters!$C$5), 1), 0)</f>
        <v>0</v>
      </c>
      <c r="F214" s="25">
        <f>MAX(MIN(1, (Fuzzy_Parameters!$C$12 - Sheet6!D214)/(Fuzzy_Parameters!$C$12 - Fuzzy_Parameters!$C$11)), 0)</f>
        <v>1</v>
      </c>
      <c r="G214" s="25">
        <f>MAX(MIN((Sheet6!D214 - Fuzzy_Parameters!$C$11)/(Fuzzy_Parameters!$C$12 - Fuzzy_Parameters!$C$11), 1, (Fuzzy_Parameters!$C$14 - Sheet6!D214)/(Fuzzy_Parameters!$C$14 - Fuzzy_Parameters!$C$13)), 0)</f>
        <v>0</v>
      </c>
      <c r="H214" s="25">
        <f>MAX(MIN((Sheet6!D214 - Fuzzy_Parameters!$C$13)/(Fuzzy_Parameters!$C$14 - Fuzzy_Parameters!$C$13), 1), 0)</f>
        <v>0</v>
      </c>
      <c r="I214" s="25">
        <f>MAX(MIN(1, (Fuzzy_Parameters!$C$20 - Sheet6!E214)/(Fuzzy_Parameters!$C$20 - Fuzzy_Parameters!$C$19)), 0)</f>
        <v>1</v>
      </c>
      <c r="J214" s="25">
        <f>MAX(MIN((Sheet6!E214 - Fuzzy_Parameters!$C$19)/(Fuzzy_Parameters!$C$20 - Fuzzy_Parameters!$C$19), 1, (Fuzzy_Parameters!$C$22 - Sheet6!E214)/(Fuzzy_Parameters!$C$22 - Fuzzy_Parameters!$C$21)), 0)</f>
        <v>0</v>
      </c>
      <c r="K214" s="25">
        <f>MAX(MIN((Sheet6!E214 - Fuzzy_Parameters!$C$21)/(Fuzzy_Parameters!$C$22 - Fuzzy_Parameters!$C$21), 1), 0)</f>
        <v>0</v>
      </c>
      <c r="L214" s="25">
        <f>MAX(MIN(1, (Fuzzy_Parameters!$C$28 - Sheet6!F214)/(Fuzzy_Parameters!$C$28 - Fuzzy_Parameters!$C$27)), 0)</f>
        <v>0</v>
      </c>
      <c r="M214" s="25">
        <f>MAX(MIN((Sheet6!F214 - Fuzzy_Parameters!$C$27)/(Fuzzy_Parameters!$C$28 - Fuzzy_Parameters!$C$27), 1, (Fuzzy_Parameters!$C$30 - Sheet6!F214)/(Fuzzy_Parameters!$C$30 - Fuzzy_Parameters!$C$29)), 0)</f>
        <v>0.6537571569</v>
      </c>
      <c r="N214" s="25">
        <f>MAX(MIN((Sheet6!F214 - Fuzzy_Parameters!$C$29)/(Fuzzy_Parameters!$C$30 - Fuzzy_Parameters!$C$29), 1), 0)</f>
        <v>0.3462428431</v>
      </c>
    </row>
    <row r="215">
      <c r="A215" s="6" t="s">
        <v>24</v>
      </c>
      <c r="B215" s="26">
        <v>2016.0</v>
      </c>
      <c r="C215" s="25">
        <f>MAX(MIN(1, (Fuzzy_Parameters!$C$4 - Sheet6!C215)/(Fuzzy_Parameters!$C$4 - Fuzzy_Parameters!$C$3)), 0)</f>
        <v>1</v>
      </c>
      <c r="D215" s="25">
        <f>MAX(MIN((Sheet6!C215 - Fuzzy_Parameters!$C$3)/(Fuzzy_Parameters!$C$4 - Fuzzy_Parameters!$C$3), 1, (Fuzzy_Parameters!$C$6 - Sheet6!C215)/(Fuzzy_Parameters!$C$6 - Fuzzy_Parameters!$C$5)), 0)</f>
        <v>0</v>
      </c>
      <c r="E215" s="25">
        <f>MAX(MIN((Sheet6!C215 - Fuzzy_Parameters!$C$5)/(Fuzzy_Parameters!$C$6 - Fuzzy_Parameters!$C$5), 1), 0)</f>
        <v>0</v>
      </c>
      <c r="F215" s="25">
        <f>MAX(MIN(1, (Fuzzy_Parameters!$C$12 - Sheet6!D215)/(Fuzzy_Parameters!$C$12 - Fuzzy_Parameters!$C$11)), 0)</f>
        <v>1</v>
      </c>
      <c r="G215" s="25">
        <f>MAX(MIN((Sheet6!D215 - Fuzzy_Parameters!$C$11)/(Fuzzy_Parameters!$C$12 - Fuzzy_Parameters!$C$11), 1, (Fuzzy_Parameters!$C$14 - Sheet6!D215)/(Fuzzy_Parameters!$C$14 - Fuzzy_Parameters!$C$13)), 0)</f>
        <v>0</v>
      </c>
      <c r="H215" s="25">
        <f>MAX(MIN((Sheet6!D215 - Fuzzy_Parameters!$C$13)/(Fuzzy_Parameters!$C$14 - Fuzzy_Parameters!$C$13), 1), 0)</f>
        <v>0</v>
      </c>
      <c r="I215" s="25">
        <f>MAX(MIN(1, (Fuzzy_Parameters!$C$20 - Sheet6!E215)/(Fuzzy_Parameters!$C$20 - Fuzzy_Parameters!$C$19)), 0)</f>
        <v>1</v>
      </c>
      <c r="J215" s="25">
        <f>MAX(MIN((Sheet6!E215 - Fuzzy_Parameters!$C$19)/(Fuzzy_Parameters!$C$20 - Fuzzy_Parameters!$C$19), 1, (Fuzzy_Parameters!$C$22 - Sheet6!E215)/(Fuzzy_Parameters!$C$22 - Fuzzy_Parameters!$C$21)), 0)</f>
        <v>0</v>
      </c>
      <c r="K215" s="25">
        <f>MAX(MIN((Sheet6!E215 - Fuzzy_Parameters!$C$21)/(Fuzzy_Parameters!$C$22 - Fuzzy_Parameters!$C$21), 1), 0)</f>
        <v>0</v>
      </c>
      <c r="L215" s="25">
        <f>MAX(MIN(1, (Fuzzy_Parameters!$C$28 - Sheet6!F215)/(Fuzzy_Parameters!$C$28 - Fuzzy_Parameters!$C$27)), 0)</f>
        <v>0</v>
      </c>
      <c r="M215" s="25">
        <f>MAX(MIN((Sheet6!F215 - Fuzzy_Parameters!$C$27)/(Fuzzy_Parameters!$C$28 - Fuzzy_Parameters!$C$27), 1, (Fuzzy_Parameters!$C$30 - Sheet6!F215)/(Fuzzy_Parameters!$C$30 - Fuzzy_Parameters!$C$29)), 0)</f>
        <v>0.7374110711</v>
      </c>
      <c r="N215" s="25">
        <f>MAX(MIN((Sheet6!F215 - Fuzzy_Parameters!$C$29)/(Fuzzy_Parameters!$C$30 - Fuzzy_Parameters!$C$29), 1), 0)</f>
        <v>0.2625889289</v>
      </c>
    </row>
    <row r="216">
      <c r="A216" s="6" t="s">
        <v>24</v>
      </c>
      <c r="B216" s="26">
        <v>2015.0</v>
      </c>
      <c r="C216" s="25">
        <f>MAX(MIN(1, (Fuzzy_Parameters!$C$4 - Sheet6!C216)/(Fuzzy_Parameters!$C$4 - Fuzzy_Parameters!$C$3)), 0)</f>
        <v>1</v>
      </c>
      <c r="D216" s="25">
        <f>MAX(MIN((Sheet6!C216 - Fuzzy_Parameters!$C$3)/(Fuzzy_Parameters!$C$4 - Fuzzy_Parameters!$C$3), 1, (Fuzzy_Parameters!$C$6 - Sheet6!C216)/(Fuzzy_Parameters!$C$6 - Fuzzy_Parameters!$C$5)), 0)</f>
        <v>0</v>
      </c>
      <c r="E216" s="25">
        <f>MAX(MIN((Sheet6!C216 - Fuzzy_Parameters!$C$5)/(Fuzzy_Parameters!$C$6 - Fuzzy_Parameters!$C$5), 1), 0)</f>
        <v>0</v>
      </c>
      <c r="F216" s="25">
        <f>MAX(MIN(1, (Fuzzy_Parameters!$C$12 - Sheet6!D216)/(Fuzzy_Parameters!$C$12 - Fuzzy_Parameters!$C$11)), 0)</f>
        <v>1</v>
      </c>
      <c r="G216" s="25">
        <f>MAX(MIN((Sheet6!D216 - Fuzzy_Parameters!$C$11)/(Fuzzy_Parameters!$C$12 - Fuzzy_Parameters!$C$11), 1, (Fuzzy_Parameters!$C$14 - Sheet6!D216)/(Fuzzy_Parameters!$C$14 - Fuzzy_Parameters!$C$13)), 0)</f>
        <v>0</v>
      </c>
      <c r="H216" s="25">
        <f>MAX(MIN((Sheet6!D216 - Fuzzy_Parameters!$C$13)/(Fuzzy_Parameters!$C$14 - Fuzzy_Parameters!$C$13), 1), 0)</f>
        <v>0</v>
      </c>
      <c r="I216" s="25">
        <f>MAX(MIN(1, (Fuzzy_Parameters!$C$20 - Sheet6!E216)/(Fuzzy_Parameters!$C$20 - Fuzzy_Parameters!$C$19)), 0)</f>
        <v>1</v>
      </c>
      <c r="J216" s="25">
        <f>MAX(MIN((Sheet6!E216 - Fuzzy_Parameters!$C$19)/(Fuzzy_Parameters!$C$20 - Fuzzy_Parameters!$C$19), 1, (Fuzzy_Parameters!$C$22 - Sheet6!E216)/(Fuzzy_Parameters!$C$22 - Fuzzy_Parameters!$C$21)), 0)</f>
        <v>0</v>
      </c>
      <c r="K216" s="25">
        <f>MAX(MIN((Sheet6!E216 - Fuzzy_Parameters!$C$21)/(Fuzzy_Parameters!$C$22 - Fuzzy_Parameters!$C$21), 1), 0)</f>
        <v>0</v>
      </c>
      <c r="L216" s="25">
        <f>MAX(MIN(1, (Fuzzy_Parameters!$C$28 - Sheet6!F216)/(Fuzzy_Parameters!$C$28 - Fuzzy_Parameters!$C$27)), 0)</f>
        <v>0</v>
      </c>
      <c r="M216" s="25">
        <f>MAX(MIN((Sheet6!F216 - Fuzzy_Parameters!$C$27)/(Fuzzy_Parameters!$C$28 - Fuzzy_Parameters!$C$27), 1, (Fuzzy_Parameters!$C$30 - Sheet6!F216)/(Fuzzy_Parameters!$C$30 - Fuzzy_Parameters!$C$29)), 0)</f>
        <v>0.6537571569</v>
      </c>
      <c r="N216" s="25">
        <f>MAX(MIN((Sheet6!F216 - Fuzzy_Parameters!$C$29)/(Fuzzy_Parameters!$C$30 - Fuzzy_Parameters!$C$29), 1), 0)</f>
        <v>0.3462428431</v>
      </c>
    </row>
    <row r="217">
      <c r="A217" s="56" t="s">
        <v>24</v>
      </c>
      <c r="B217" s="57">
        <v>2014.0</v>
      </c>
      <c r="C217" s="25">
        <f>MAX(MIN(1, (Fuzzy_Parameters!$C$4 - Sheet6!C217)/(Fuzzy_Parameters!$C$4 - Fuzzy_Parameters!$C$3)), 0)</f>
        <v>0</v>
      </c>
      <c r="D217" s="25">
        <f>MAX(MIN((Sheet6!C217 - Fuzzy_Parameters!$C$3)/(Fuzzy_Parameters!$C$4 - Fuzzy_Parameters!$C$3), 1, (Fuzzy_Parameters!$C$6 - Sheet6!C217)/(Fuzzy_Parameters!$C$6 - Fuzzy_Parameters!$C$5)), 0)</f>
        <v>1</v>
      </c>
      <c r="E217" s="25">
        <f>MAX(MIN((Sheet6!C217 - Fuzzy_Parameters!$C$5)/(Fuzzy_Parameters!$C$6 - Fuzzy_Parameters!$C$5), 1), 0)</f>
        <v>0</v>
      </c>
      <c r="F217" s="25">
        <f>MAX(MIN(1, (Fuzzy_Parameters!$C$12 - Sheet6!D217)/(Fuzzy_Parameters!$C$12 - Fuzzy_Parameters!$C$11)), 0)</f>
        <v>0</v>
      </c>
      <c r="G217" s="25">
        <f>MAX(MIN((Sheet6!D217 - Fuzzy_Parameters!$C$11)/(Fuzzy_Parameters!$C$12 - Fuzzy_Parameters!$C$11), 1, (Fuzzy_Parameters!$C$14 - Sheet6!D217)/(Fuzzy_Parameters!$C$14 - Fuzzy_Parameters!$C$13)), 0)</f>
        <v>0.8646827717</v>
      </c>
      <c r="H217" s="25">
        <f>MAX(MIN((Sheet6!D217 - Fuzzy_Parameters!$C$13)/(Fuzzy_Parameters!$C$14 - Fuzzy_Parameters!$C$13), 1), 0)</f>
        <v>0.1353172283</v>
      </c>
      <c r="I217" s="25">
        <f>MAX(MIN(1, (Fuzzy_Parameters!$C$20 - Sheet6!E217)/(Fuzzy_Parameters!$C$20 - Fuzzy_Parameters!$C$19)), 0)</f>
        <v>1</v>
      </c>
      <c r="J217" s="25">
        <f>MAX(MIN((Sheet6!E217 - Fuzzy_Parameters!$C$19)/(Fuzzy_Parameters!$C$20 - Fuzzy_Parameters!$C$19), 1, (Fuzzy_Parameters!$C$22 - Sheet6!E217)/(Fuzzy_Parameters!$C$22 - Fuzzy_Parameters!$C$21)), 0)</f>
        <v>0</v>
      </c>
      <c r="K217" s="25">
        <f>MAX(MIN((Sheet6!E217 - Fuzzy_Parameters!$C$21)/(Fuzzy_Parameters!$C$22 - Fuzzy_Parameters!$C$21), 1), 0)</f>
        <v>0</v>
      </c>
      <c r="L217" s="25">
        <f>MAX(MIN(1, (Fuzzy_Parameters!$C$28 - Sheet6!F217)/(Fuzzy_Parameters!$C$28 - Fuzzy_Parameters!$C$27)), 0)</f>
        <v>0</v>
      </c>
      <c r="M217" s="25">
        <f>MAX(MIN((Sheet6!F217 - Fuzzy_Parameters!$C$27)/(Fuzzy_Parameters!$C$28 - Fuzzy_Parameters!$C$27), 1, (Fuzzy_Parameters!$C$30 - Sheet6!F217)/(Fuzzy_Parameters!$C$30 - Fuzzy_Parameters!$C$29)), 0)</f>
        <v>0.8598971731</v>
      </c>
      <c r="N217" s="25">
        <f>MAX(MIN((Sheet6!F217 - Fuzzy_Parameters!$C$29)/(Fuzzy_Parameters!$C$30 - Fuzzy_Parameters!$C$29), 1), 0)</f>
        <v>0.1401028269</v>
      </c>
    </row>
    <row r="218">
      <c r="A218" s="6" t="s">
        <v>25</v>
      </c>
      <c r="B218" s="26">
        <v>2022.0</v>
      </c>
      <c r="C218" s="25">
        <f>MAX(MIN(1, (Fuzzy_Parameters!$C$4 - Sheet6!C218)/(Fuzzy_Parameters!$C$4 - Fuzzy_Parameters!$C$3)), 0)</f>
        <v>0</v>
      </c>
      <c r="D218" s="25">
        <f>MAX(MIN((Sheet6!C218 - Fuzzy_Parameters!$C$3)/(Fuzzy_Parameters!$C$4 - Fuzzy_Parameters!$C$3), 1, (Fuzzy_Parameters!$C$6 - Sheet6!C218)/(Fuzzy_Parameters!$C$6 - Fuzzy_Parameters!$C$5)), 0)</f>
        <v>0</v>
      </c>
      <c r="E218" s="25">
        <f>MAX(MIN((Sheet6!C218 - Fuzzy_Parameters!$C$5)/(Fuzzy_Parameters!$C$6 - Fuzzy_Parameters!$C$5), 1), 0)</f>
        <v>1</v>
      </c>
      <c r="F218" s="25">
        <f>MAX(MIN(1, (Fuzzy_Parameters!$C$12 - Sheet6!D218)/(Fuzzy_Parameters!$C$12 - Fuzzy_Parameters!$C$11)), 0)</f>
        <v>0</v>
      </c>
      <c r="G218" s="25">
        <f>MAX(MIN((Sheet6!D218 - Fuzzy_Parameters!$C$11)/(Fuzzy_Parameters!$C$12 - Fuzzy_Parameters!$C$11), 1, (Fuzzy_Parameters!$C$14 - Sheet6!D218)/(Fuzzy_Parameters!$C$14 - Fuzzy_Parameters!$C$13)), 0)</f>
        <v>0.430656839</v>
      </c>
      <c r="H218" s="25">
        <f>MAX(MIN((Sheet6!D218 - Fuzzy_Parameters!$C$13)/(Fuzzy_Parameters!$C$14 - Fuzzy_Parameters!$C$13), 1), 0)</f>
        <v>0.569343161</v>
      </c>
      <c r="I218" s="25">
        <f>MAX(MIN(1, (Fuzzy_Parameters!$C$20 - Sheet6!E218)/(Fuzzy_Parameters!$C$20 - Fuzzy_Parameters!$C$19)), 0)</f>
        <v>0</v>
      </c>
      <c r="J218" s="25">
        <f>MAX(MIN((Sheet6!E218 - Fuzzy_Parameters!$C$19)/(Fuzzy_Parameters!$C$20 - Fuzzy_Parameters!$C$19), 1, (Fuzzy_Parameters!$C$22 - Sheet6!E218)/(Fuzzy_Parameters!$C$22 - Fuzzy_Parameters!$C$21)), 0)</f>
        <v>0</v>
      </c>
      <c r="K218" s="25">
        <f>MAX(MIN((Sheet6!E218 - Fuzzy_Parameters!$C$21)/(Fuzzy_Parameters!$C$22 - Fuzzy_Parameters!$C$21), 1), 0)</f>
        <v>1</v>
      </c>
      <c r="L218" s="25">
        <f>MAX(MIN(1, (Fuzzy_Parameters!$C$28 - Sheet6!F218)/(Fuzzy_Parameters!$C$28 - Fuzzy_Parameters!$C$27)), 0)</f>
        <v>0.1210053244</v>
      </c>
      <c r="M218" s="25">
        <f>MAX(MIN((Sheet6!F218 - Fuzzy_Parameters!$C$27)/(Fuzzy_Parameters!$C$28 - Fuzzy_Parameters!$C$27), 1, (Fuzzy_Parameters!$C$30 - Sheet6!F218)/(Fuzzy_Parameters!$C$30 - Fuzzy_Parameters!$C$29)), 0)</f>
        <v>0.8789946756</v>
      </c>
      <c r="N218" s="25">
        <f>MAX(MIN((Sheet6!F218 - Fuzzy_Parameters!$C$29)/(Fuzzy_Parameters!$C$30 - Fuzzy_Parameters!$C$29), 1), 0)</f>
        <v>0</v>
      </c>
    </row>
    <row r="219">
      <c r="A219" s="6" t="s">
        <v>25</v>
      </c>
      <c r="B219" s="26">
        <v>2021.0</v>
      </c>
      <c r="C219" s="25">
        <f>MAX(MIN(1, (Fuzzy_Parameters!$C$4 - Sheet6!C219)/(Fuzzy_Parameters!$C$4 - Fuzzy_Parameters!$C$3)), 0)</f>
        <v>0</v>
      </c>
      <c r="D219" s="25">
        <f>MAX(MIN((Sheet6!C219 - Fuzzy_Parameters!$C$3)/(Fuzzy_Parameters!$C$4 - Fuzzy_Parameters!$C$3), 1, (Fuzzy_Parameters!$C$6 - Sheet6!C219)/(Fuzzy_Parameters!$C$6 - Fuzzy_Parameters!$C$5)), 0)</f>
        <v>0</v>
      </c>
      <c r="E219" s="25">
        <f>MAX(MIN((Sheet6!C219 - Fuzzy_Parameters!$C$5)/(Fuzzy_Parameters!$C$6 - Fuzzy_Parameters!$C$5), 1), 0)</f>
        <v>1</v>
      </c>
      <c r="F219" s="25">
        <f>MAX(MIN(1, (Fuzzy_Parameters!$C$12 - Sheet6!D219)/(Fuzzy_Parameters!$C$12 - Fuzzy_Parameters!$C$11)), 0)</f>
        <v>0</v>
      </c>
      <c r="G219" s="25">
        <f>MAX(MIN((Sheet6!D219 - Fuzzy_Parameters!$C$11)/(Fuzzy_Parameters!$C$12 - Fuzzy_Parameters!$C$11), 1, (Fuzzy_Parameters!$C$14 - Sheet6!D219)/(Fuzzy_Parameters!$C$14 - Fuzzy_Parameters!$C$13)), 0)</f>
        <v>0.5030882717</v>
      </c>
      <c r="H219" s="25">
        <f>MAX(MIN((Sheet6!D219 - Fuzzy_Parameters!$C$13)/(Fuzzy_Parameters!$C$14 - Fuzzy_Parameters!$C$13), 1), 0)</f>
        <v>0.4969117283</v>
      </c>
      <c r="I219" s="25">
        <f>MAX(MIN(1, (Fuzzy_Parameters!$C$20 - Sheet6!E219)/(Fuzzy_Parameters!$C$20 - Fuzzy_Parameters!$C$19)), 0)</f>
        <v>0</v>
      </c>
      <c r="J219" s="25">
        <f>MAX(MIN((Sheet6!E219 - Fuzzy_Parameters!$C$19)/(Fuzzy_Parameters!$C$20 - Fuzzy_Parameters!$C$19), 1, (Fuzzy_Parameters!$C$22 - Sheet6!E219)/(Fuzzy_Parameters!$C$22 - Fuzzy_Parameters!$C$21)), 0)</f>
        <v>0</v>
      </c>
      <c r="K219" s="25">
        <f>MAX(MIN((Sheet6!E219 - Fuzzy_Parameters!$C$21)/(Fuzzy_Parameters!$C$22 - Fuzzy_Parameters!$C$21), 1), 0)</f>
        <v>1</v>
      </c>
      <c r="L219" s="25">
        <f>MAX(MIN(1, (Fuzzy_Parameters!$C$28 - Sheet6!F219)/(Fuzzy_Parameters!$C$28 - Fuzzy_Parameters!$C$27)), 0)</f>
        <v>0.322816274</v>
      </c>
      <c r="M219" s="25">
        <f>MAX(MIN((Sheet6!F219 - Fuzzy_Parameters!$C$27)/(Fuzzy_Parameters!$C$28 - Fuzzy_Parameters!$C$27), 1, (Fuzzy_Parameters!$C$30 - Sheet6!F219)/(Fuzzy_Parameters!$C$30 - Fuzzy_Parameters!$C$29)), 0)</f>
        <v>0.677183726</v>
      </c>
      <c r="N219" s="25">
        <f>MAX(MIN((Sheet6!F219 - Fuzzy_Parameters!$C$29)/(Fuzzy_Parameters!$C$30 - Fuzzy_Parameters!$C$29), 1), 0)</f>
        <v>0</v>
      </c>
    </row>
    <row r="220">
      <c r="A220" s="6" t="s">
        <v>25</v>
      </c>
      <c r="B220" s="26">
        <v>2020.0</v>
      </c>
      <c r="C220" s="25">
        <f>MAX(MIN(1, (Fuzzy_Parameters!$C$4 - Sheet6!C220)/(Fuzzy_Parameters!$C$4 - Fuzzy_Parameters!$C$3)), 0)</f>
        <v>0</v>
      </c>
      <c r="D220" s="25">
        <f>MAX(MIN((Sheet6!C220 - Fuzzy_Parameters!$C$3)/(Fuzzy_Parameters!$C$4 - Fuzzy_Parameters!$C$3), 1, (Fuzzy_Parameters!$C$6 - Sheet6!C220)/(Fuzzy_Parameters!$C$6 - Fuzzy_Parameters!$C$5)), 0)</f>
        <v>0</v>
      </c>
      <c r="E220" s="25">
        <f>MAX(MIN((Sheet6!C220 - Fuzzy_Parameters!$C$5)/(Fuzzy_Parameters!$C$6 - Fuzzy_Parameters!$C$5), 1), 0)</f>
        <v>1</v>
      </c>
      <c r="F220" s="25">
        <f>MAX(MIN(1, (Fuzzy_Parameters!$C$12 - Sheet6!D220)/(Fuzzy_Parameters!$C$12 - Fuzzy_Parameters!$C$11)), 0)</f>
        <v>0</v>
      </c>
      <c r="G220" s="25">
        <f>MAX(MIN((Sheet6!D220 - Fuzzy_Parameters!$C$11)/(Fuzzy_Parameters!$C$12 - Fuzzy_Parameters!$C$11), 1, (Fuzzy_Parameters!$C$14 - Sheet6!D220)/(Fuzzy_Parameters!$C$14 - Fuzzy_Parameters!$C$13)), 0)</f>
        <v>0</v>
      </c>
      <c r="H220" s="25">
        <f>MAX(MIN((Sheet6!D220 - Fuzzy_Parameters!$C$13)/(Fuzzy_Parameters!$C$14 - Fuzzy_Parameters!$C$13), 1), 0)</f>
        <v>1</v>
      </c>
      <c r="I220" s="25">
        <f>MAX(MIN(1, (Fuzzy_Parameters!$C$20 - Sheet6!E220)/(Fuzzy_Parameters!$C$20 - Fuzzy_Parameters!$C$19)), 0)</f>
        <v>0</v>
      </c>
      <c r="J220" s="25">
        <f>MAX(MIN((Sheet6!E220 - Fuzzy_Parameters!$C$19)/(Fuzzy_Parameters!$C$20 - Fuzzy_Parameters!$C$19), 1, (Fuzzy_Parameters!$C$22 - Sheet6!E220)/(Fuzzy_Parameters!$C$22 - Fuzzy_Parameters!$C$21)), 0)</f>
        <v>0.7302325581</v>
      </c>
      <c r="K220" s="25">
        <f>MAX(MIN((Sheet6!E220 - Fuzzy_Parameters!$C$21)/(Fuzzy_Parameters!$C$22 - Fuzzy_Parameters!$C$21), 1), 0)</f>
        <v>0.2697674419</v>
      </c>
      <c r="L220" s="25">
        <f>MAX(MIN(1, (Fuzzy_Parameters!$C$28 - Sheet6!F220)/(Fuzzy_Parameters!$C$28 - Fuzzy_Parameters!$C$27)), 0)</f>
        <v>0.535689405</v>
      </c>
      <c r="M220" s="25">
        <f>MAX(MIN((Sheet6!F220 - Fuzzy_Parameters!$C$27)/(Fuzzy_Parameters!$C$28 - Fuzzy_Parameters!$C$27), 1, (Fuzzy_Parameters!$C$30 - Sheet6!F220)/(Fuzzy_Parameters!$C$30 - Fuzzy_Parameters!$C$29)), 0)</f>
        <v>0.464310595</v>
      </c>
      <c r="N220" s="25">
        <f>MAX(MIN((Sheet6!F220 - Fuzzy_Parameters!$C$29)/(Fuzzy_Parameters!$C$30 - Fuzzy_Parameters!$C$29), 1), 0)</f>
        <v>0</v>
      </c>
    </row>
    <row r="221">
      <c r="A221" s="6" t="s">
        <v>25</v>
      </c>
      <c r="B221" s="26">
        <v>2019.0</v>
      </c>
      <c r="C221" s="25">
        <f>MAX(MIN(1, (Fuzzy_Parameters!$C$4 - Sheet6!C221)/(Fuzzy_Parameters!$C$4 - Fuzzy_Parameters!$C$3)), 0)</f>
        <v>0</v>
      </c>
      <c r="D221" s="25">
        <f>MAX(MIN((Sheet6!C221 - Fuzzy_Parameters!$C$3)/(Fuzzy_Parameters!$C$4 - Fuzzy_Parameters!$C$3), 1, (Fuzzy_Parameters!$C$6 - Sheet6!C221)/(Fuzzy_Parameters!$C$6 - Fuzzy_Parameters!$C$5)), 0)</f>
        <v>0</v>
      </c>
      <c r="E221" s="25">
        <f>MAX(MIN((Sheet6!C221 - Fuzzy_Parameters!$C$5)/(Fuzzy_Parameters!$C$6 - Fuzzy_Parameters!$C$5), 1), 0)</f>
        <v>1</v>
      </c>
      <c r="F221" s="25">
        <f>MAX(MIN(1, (Fuzzy_Parameters!$C$12 - Sheet6!D221)/(Fuzzy_Parameters!$C$12 - Fuzzy_Parameters!$C$11)), 0)</f>
        <v>0</v>
      </c>
      <c r="G221" s="25">
        <f>MAX(MIN((Sheet6!D221 - Fuzzy_Parameters!$C$11)/(Fuzzy_Parameters!$C$12 - Fuzzy_Parameters!$C$11), 1, (Fuzzy_Parameters!$C$14 - Sheet6!D221)/(Fuzzy_Parameters!$C$14 - Fuzzy_Parameters!$C$13)), 0)</f>
        <v>0.5828185212</v>
      </c>
      <c r="H221" s="25">
        <f>MAX(MIN((Sheet6!D221 - Fuzzy_Parameters!$C$13)/(Fuzzy_Parameters!$C$14 - Fuzzy_Parameters!$C$13), 1), 0)</f>
        <v>0.4171814788</v>
      </c>
      <c r="I221" s="25">
        <f>MAX(MIN(1, (Fuzzy_Parameters!$C$20 - Sheet6!E221)/(Fuzzy_Parameters!$C$20 - Fuzzy_Parameters!$C$19)), 0)</f>
        <v>0</v>
      </c>
      <c r="J221" s="25">
        <f>MAX(MIN((Sheet6!E221 - Fuzzy_Parameters!$C$19)/(Fuzzy_Parameters!$C$20 - Fuzzy_Parameters!$C$19), 1, (Fuzzy_Parameters!$C$22 - Sheet6!E221)/(Fuzzy_Parameters!$C$22 - Fuzzy_Parameters!$C$21)), 0)</f>
        <v>0.376744186</v>
      </c>
      <c r="K221" s="25">
        <f>MAX(MIN((Sheet6!E221 - Fuzzy_Parameters!$C$21)/(Fuzzy_Parameters!$C$22 - Fuzzy_Parameters!$C$21), 1), 0)</f>
        <v>0.623255814</v>
      </c>
      <c r="L221" s="25">
        <f>MAX(MIN(1, (Fuzzy_Parameters!$C$28 - Sheet6!F221)/(Fuzzy_Parameters!$C$28 - Fuzzy_Parameters!$C$27)), 0)</f>
        <v>1</v>
      </c>
      <c r="M221" s="25">
        <f>MAX(MIN((Sheet6!F221 - Fuzzy_Parameters!$C$27)/(Fuzzy_Parameters!$C$28 - Fuzzy_Parameters!$C$27), 1, (Fuzzy_Parameters!$C$30 - Sheet6!F221)/(Fuzzy_Parameters!$C$30 - Fuzzy_Parameters!$C$29)), 0)</f>
        <v>0</v>
      </c>
      <c r="N221" s="25">
        <f>MAX(MIN((Sheet6!F221 - Fuzzy_Parameters!$C$29)/(Fuzzy_Parameters!$C$30 - Fuzzy_Parameters!$C$29), 1), 0)</f>
        <v>0</v>
      </c>
    </row>
    <row r="222">
      <c r="A222" s="6" t="s">
        <v>25</v>
      </c>
      <c r="B222" s="26">
        <v>2018.0</v>
      </c>
      <c r="C222" s="25">
        <f>MAX(MIN(1, (Fuzzy_Parameters!$C$4 - Sheet6!C222)/(Fuzzy_Parameters!$C$4 - Fuzzy_Parameters!$C$3)), 0)</f>
        <v>0</v>
      </c>
      <c r="D222" s="25">
        <f>MAX(MIN((Sheet6!C222 - Fuzzy_Parameters!$C$3)/(Fuzzy_Parameters!$C$4 - Fuzzy_Parameters!$C$3), 1, (Fuzzy_Parameters!$C$6 - Sheet6!C222)/(Fuzzy_Parameters!$C$6 - Fuzzy_Parameters!$C$5)), 0)</f>
        <v>0</v>
      </c>
      <c r="E222" s="25">
        <f>MAX(MIN((Sheet6!C222 - Fuzzy_Parameters!$C$5)/(Fuzzy_Parameters!$C$6 - Fuzzy_Parameters!$C$5), 1), 0)</f>
        <v>1</v>
      </c>
      <c r="F222" s="25">
        <f>MAX(MIN(1, (Fuzzy_Parameters!$C$12 - Sheet6!D222)/(Fuzzy_Parameters!$C$12 - Fuzzy_Parameters!$C$11)), 0)</f>
        <v>0</v>
      </c>
      <c r="G222" s="25">
        <f>MAX(MIN((Sheet6!D222 - Fuzzy_Parameters!$C$11)/(Fuzzy_Parameters!$C$12 - Fuzzy_Parameters!$C$11), 1, (Fuzzy_Parameters!$C$14 - Sheet6!D222)/(Fuzzy_Parameters!$C$14 - Fuzzy_Parameters!$C$13)), 0)</f>
        <v>0.3632790033</v>
      </c>
      <c r="H222" s="25">
        <f>MAX(MIN((Sheet6!D222 - Fuzzy_Parameters!$C$13)/(Fuzzy_Parameters!$C$14 - Fuzzy_Parameters!$C$13), 1), 0)</f>
        <v>0.6367209967</v>
      </c>
      <c r="I222" s="25">
        <f>MAX(MIN(1, (Fuzzy_Parameters!$C$20 - Sheet6!E222)/(Fuzzy_Parameters!$C$20 - Fuzzy_Parameters!$C$19)), 0)</f>
        <v>0</v>
      </c>
      <c r="J222" s="25">
        <f>MAX(MIN((Sheet6!E222 - Fuzzy_Parameters!$C$19)/(Fuzzy_Parameters!$C$20 - Fuzzy_Parameters!$C$19), 1, (Fuzzy_Parameters!$C$22 - Sheet6!E222)/(Fuzzy_Parameters!$C$22 - Fuzzy_Parameters!$C$21)), 0)</f>
        <v>0.7023255814</v>
      </c>
      <c r="K222" s="25">
        <f>MAX(MIN((Sheet6!E222 - Fuzzy_Parameters!$C$21)/(Fuzzy_Parameters!$C$22 - Fuzzy_Parameters!$C$21), 1), 0)</f>
        <v>0.2976744186</v>
      </c>
      <c r="L222" s="25">
        <f>MAX(MIN(1, (Fuzzy_Parameters!$C$28 - Sheet6!F222)/(Fuzzy_Parameters!$C$28 - Fuzzy_Parameters!$C$27)), 0)</f>
        <v>1</v>
      </c>
      <c r="M222" s="25">
        <f>MAX(MIN((Sheet6!F222 - Fuzzy_Parameters!$C$27)/(Fuzzy_Parameters!$C$28 - Fuzzy_Parameters!$C$27), 1, (Fuzzy_Parameters!$C$30 - Sheet6!F222)/(Fuzzy_Parameters!$C$30 - Fuzzy_Parameters!$C$29)), 0)</f>
        <v>0</v>
      </c>
      <c r="N222" s="25">
        <f>MAX(MIN((Sheet6!F222 - Fuzzy_Parameters!$C$29)/(Fuzzy_Parameters!$C$30 - Fuzzy_Parameters!$C$29), 1), 0)</f>
        <v>0</v>
      </c>
    </row>
    <row r="223">
      <c r="A223" s="6" t="s">
        <v>25</v>
      </c>
      <c r="B223" s="26">
        <v>2017.0</v>
      </c>
      <c r="C223" s="25">
        <f>MAX(MIN(1, (Fuzzy_Parameters!$C$4 - Sheet6!C223)/(Fuzzy_Parameters!$C$4 - Fuzzy_Parameters!$C$3)), 0)</f>
        <v>0</v>
      </c>
      <c r="D223" s="25">
        <f>MAX(MIN((Sheet6!C223 - Fuzzy_Parameters!$C$3)/(Fuzzy_Parameters!$C$4 - Fuzzy_Parameters!$C$3), 1, (Fuzzy_Parameters!$C$6 - Sheet6!C223)/(Fuzzy_Parameters!$C$6 - Fuzzy_Parameters!$C$5)), 0)</f>
        <v>0</v>
      </c>
      <c r="E223" s="25">
        <f>MAX(MIN((Sheet6!C223 - Fuzzy_Parameters!$C$5)/(Fuzzy_Parameters!$C$6 - Fuzzy_Parameters!$C$5), 1), 0)</f>
        <v>1</v>
      </c>
      <c r="F223" s="25">
        <f>MAX(MIN(1, (Fuzzy_Parameters!$C$12 - Sheet6!D223)/(Fuzzy_Parameters!$C$12 - Fuzzy_Parameters!$C$11)), 0)</f>
        <v>0</v>
      </c>
      <c r="G223" s="25">
        <f>MAX(MIN((Sheet6!D223 - Fuzzy_Parameters!$C$11)/(Fuzzy_Parameters!$C$12 - Fuzzy_Parameters!$C$11), 1, (Fuzzy_Parameters!$C$14 - Sheet6!D223)/(Fuzzy_Parameters!$C$14 - Fuzzy_Parameters!$C$13)), 0)</f>
        <v>0.424480385</v>
      </c>
      <c r="H223" s="25">
        <f>MAX(MIN((Sheet6!D223 - Fuzzy_Parameters!$C$13)/(Fuzzy_Parameters!$C$14 - Fuzzy_Parameters!$C$13), 1), 0)</f>
        <v>0.575519615</v>
      </c>
      <c r="I223" s="25">
        <f>MAX(MIN(1, (Fuzzy_Parameters!$C$20 - Sheet6!E223)/(Fuzzy_Parameters!$C$20 - Fuzzy_Parameters!$C$19)), 0)</f>
        <v>0</v>
      </c>
      <c r="J223" s="25">
        <f>MAX(MIN((Sheet6!E223 - Fuzzy_Parameters!$C$19)/(Fuzzy_Parameters!$C$20 - Fuzzy_Parameters!$C$19), 1, (Fuzzy_Parameters!$C$22 - Sheet6!E223)/(Fuzzy_Parameters!$C$22 - Fuzzy_Parameters!$C$21)), 0)</f>
        <v>0.8697674419</v>
      </c>
      <c r="K223" s="25">
        <f>MAX(MIN((Sheet6!E223 - Fuzzy_Parameters!$C$21)/(Fuzzy_Parameters!$C$22 - Fuzzy_Parameters!$C$21), 1), 0)</f>
        <v>0.1302325581</v>
      </c>
      <c r="L223" s="25">
        <f>MAX(MIN(1, (Fuzzy_Parameters!$C$28 - Sheet6!F223)/(Fuzzy_Parameters!$C$28 - Fuzzy_Parameters!$C$27)), 0)</f>
        <v>1</v>
      </c>
      <c r="M223" s="25">
        <f>MAX(MIN((Sheet6!F223 - Fuzzy_Parameters!$C$27)/(Fuzzy_Parameters!$C$28 - Fuzzy_Parameters!$C$27), 1, (Fuzzy_Parameters!$C$30 - Sheet6!F223)/(Fuzzy_Parameters!$C$30 - Fuzzy_Parameters!$C$29)), 0)</f>
        <v>0</v>
      </c>
      <c r="N223" s="25">
        <f>MAX(MIN((Sheet6!F223 - Fuzzy_Parameters!$C$29)/(Fuzzy_Parameters!$C$30 - Fuzzy_Parameters!$C$29), 1), 0)</f>
        <v>0</v>
      </c>
    </row>
    <row r="224">
      <c r="A224" s="6" t="s">
        <v>25</v>
      </c>
      <c r="B224" s="26">
        <v>2016.0</v>
      </c>
      <c r="C224" s="25">
        <f>MAX(MIN(1, (Fuzzy_Parameters!$C$4 - Sheet6!C224)/(Fuzzy_Parameters!$C$4 - Fuzzy_Parameters!$C$3)), 0)</f>
        <v>0</v>
      </c>
      <c r="D224" s="25">
        <f>MAX(MIN((Sheet6!C224 - Fuzzy_Parameters!$C$3)/(Fuzzy_Parameters!$C$4 - Fuzzy_Parameters!$C$3), 1, (Fuzzy_Parameters!$C$6 - Sheet6!C224)/(Fuzzy_Parameters!$C$6 - Fuzzy_Parameters!$C$5)), 0)</f>
        <v>0</v>
      </c>
      <c r="E224" s="25">
        <f>MAX(MIN((Sheet6!C224 - Fuzzy_Parameters!$C$5)/(Fuzzy_Parameters!$C$6 - Fuzzy_Parameters!$C$5), 1), 0)</f>
        <v>1</v>
      </c>
      <c r="F224" s="25">
        <f>MAX(MIN(1, (Fuzzy_Parameters!$C$12 - Sheet6!D224)/(Fuzzy_Parameters!$C$12 - Fuzzy_Parameters!$C$11)), 0)</f>
        <v>0</v>
      </c>
      <c r="G224" s="25">
        <f>MAX(MIN((Sheet6!D224 - Fuzzy_Parameters!$C$11)/(Fuzzy_Parameters!$C$12 - Fuzzy_Parameters!$C$11), 1, (Fuzzy_Parameters!$C$14 - Sheet6!D224)/(Fuzzy_Parameters!$C$14 - Fuzzy_Parameters!$C$13)), 0)</f>
        <v>0.5322850209</v>
      </c>
      <c r="H224" s="25">
        <f>MAX(MIN((Sheet6!D224 - Fuzzy_Parameters!$C$13)/(Fuzzy_Parameters!$C$14 - Fuzzy_Parameters!$C$13), 1), 0)</f>
        <v>0.4677149791</v>
      </c>
      <c r="I224" s="25">
        <f>MAX(MIN(1, (Fuzzy_Parameters!$C$20 - Sheet6!E224)/(Fuzzy_Parameters!$C$20 - Fuzzy_Parameters!$C$19)), 0)</f>
        <v>0</v>
      </c>
      <c r="J224" s="25">
        <f>MAX(MIN((Sheet6!E224 - Fuzzy_Parameters!$C$19)/(Fuzzy_Parameters!$C$20 - Fuzzy_Parameters!$C$19), 1, (Fuzzy_Parameters!$C$22 - Sheet6!E224)/(Fuzzy_Parameters!$C$22 - Fuzzy_Parameters!$C$21)), 0)</f>
        <v>0.6372093023</v>
      </c>
      <c r="K224" s="25">
        <f>MAX(MIN((Sheet6!E224 - Fuzzy_Parameters!$C$21)/(Fuzzy_Parameters!$C$22 - Fuzzy_Parameters!$C$21), 1), 0)</f>
        <v>0.3627906977</v>
      </c>
      <c r="L224" s="25">
        <f>MAX(MIN(1, (Fuzzy_Parameters!$C$28 - Sheet6!F224)/(Fuzzy_Parameters!$C$28 - Fuzzy_Parameters!$C$27)), 0)</f>
        <v>1</v>
      </c>
      <c r="M224" s="25">
        <f>MAX(MIN((Sheet6!F224 - Fuzzy_Parameters!$C$27)/(Fuzzy_Parameters!$C$28 - Fuzzy_Parameters!$C$27), 1, (Fuzzy_Parameters!$C$30 - Sheet6!F224)/(Fuzzy_Parameters!$C$30 - Fuzzy_Parameters!$C$29)), 0)</f>
        <v>0</v>
      </c>
      <c r="N224" s="25">
        <f>MAX(MIN((Sheet6!F224 - Fuzzy_Parameters!$C$29)/(Fuzzy_Parameters!$C$30 - Fuzzy_Parameters!$C$29), 1), 0)</f>
        <v>0</v>
      </c>
    </row>
    <row r="225">
      <c r="A225" s="6" t="s">
        <v>25</v>
      </c>
      <c r="B225" s="26">
        <v>2015.0</v>
      </c>
      <c r="C225" s="25">
        <f>MAX(MIN(1, (Fuzzy_Parameters!$C$4 - Sheet6!C225)/(Fuzzy_Parameters!$C$4 - Fuzzy_Parameters!$C$3)), 0)</f>
        <v>0</v>
      </c>
      <c r="D225" s="25">
        <f>MAX(MIN((Sheet6!C225 - Fuzzy_Parameters!$C$3)/(Fuzzy_Parameters!$C$4 - Fuzzy_Parameters!$C$3), 1, (Fuzzy_Parameters!$C$6 - Sheet6!C225)/(Fuzzy_Parameters!$C$6 - Fuzzy_Parameters!$C$5)), 0)</f>
        <v>0</v>
      </c>
      <c r="E225" s="25">
        <f>MAX(MIN((Sheet6!C225 - Fuzzy_Parameters!$C$5)/(Fuzzy_Parameters!$C$6 - Fuzzy_Parameters!$C$5), 1), 0)</f>
        <v>1</v>
      </c>
      <c r="F225" s="25">
        <f>MAX(MIN(1, (Fuzzy_Parameters!$C$12 - Sheet6!D225)/(Fuzzy_Parameters!$C$12 - Fuzzy_Parameters!$C$11)), 0)</f>
        <v>0</v>
      </c>
      <c r="G225" s="25">
        <f>MAX(MIN((Sheet6!D225 - Fuzzy_Parameters!$C$11)/(Fuzzy_Parameters!$C$12 - Fuzzy_Parameters!$C$11), 1, (Fuzzy_Parameters!$C$14 - Sheet6!D225)/(Fuzzy_Parameters!$C$14 - Fuzzy_Parameters!$C$13)), 0)</f>
        <v>0</v>
      </c>
      <c r="H225" s="25">
        <f>MAX(MIN((Sheet6!D225 - Fuzzy_Parameters!$C$13)/(Fuzzy_Parameters!$C$14 - Fuzzy_Parameters!$C$13), 1), 0)</f>
        <v>1</v>
      </c>
      <c r="I225" s="25">
        <f>MAX(MIN(1, (Fuzzy_Parameters!$C$20 - Sheet6!E225)/(Fuzzy_Parameters!$C$20 - Fuzzy_Parameters!$C$19)), 0)</f>
        <v>0</v>
      </c>
      <c r="J225" s="25">
        <f>MAX(MIN((Sheet6!E225 - Fuzzy_Parameters!$C$19)/(Fuzzy_Parameters!$C$20 - Fuzzy_Parameters!$C$19), 1, (Fuzzy_Parameters!$C$22 - Sheet6!E225)/(Fuzzy_Parameters!$C$22 - Fuzzy_Parameters!$C$21)), 0)</f>
        <v>0.3069767442</v>
      </c>
      <c r="K225" s="25">
        <f>MAX(MIN((Sheet6!E225 - Fuzzy_Parameters!$C$21)/(Fuzzy_Parameters!$C$22 - Fuzzy_Parameters!$C$21), 1), 0)</f>
        <v>0.6930232558</v>
      </c>
      <c r="L225" s="25">
        <f>MAX(MIN(1, (Fuzzy_Parameters!$C$28 - Sheet6!F225)/(Fuzzy_Parameters!$C$28 - Fuzzy_Parameters!$C$27)), 0)</f>
        <v>1</v>
      </c>
      <c r="M225" s="25">
        <f>MAX(MIN((Sheet6!F225 - Fuzzy_Parameters!$C$27)/(Fuzzy_Parameters!$C$28 - Fuzzy_Parameters!$C$27), 1, (Fuzzy_Parameters!$C$30 - Sheet6!F225)/(Fuzzy_Parameters!$C$30 - Fuzzy_Parameters!$C$29)), 0)</f>
        <v>0</v>
      </c>
      <c r="N225" s="25">
        <f>MAX(MIN((Sheet6!F225 - Fuzzy_Parameters!$C$29)/(Fuzzy_Parameters!$C$30 - Fuzzy_Parameters!$C$29), 1), 0)</f>
        <v>0</v>
      </c>
    </row>
    <row r="226">
      <c r="A226" s="56" t="s">
        <v>25</v>
      </c>
      <c r="B226" s="57">
        <v>2014.0</v>
      </c>
      <c r="C226" s="25">
        <f>MAX(MIN(1, (Fuzzy_Parameters!$C$4 - Sheet6!C226)/(Fuzzy_Parameters!$C$4 - Fuzzy_Parameters!$C$3)), 0)</f>
        <v>0</v>
      </c>
      <c r="D226" s="25">
        <f>MAX(MIN((Sheet6!C226 - Fuzzy_Parameters!$C$3)/(Fuzzy_Parameters!$C$4 - Fuzzy_Parameters!$C$3), 1, (Fuzzy_Parameters!$C$6 - Sheet6!C226)/(Fuzzy_Parameters!$C$6 - Fuzzy_Parameters!$C$5)), 0)</f>
        <v>0</v>
      </c>
      <c r="E226" s="25">
        <f>MAX(MIN((Sheet6!C226 - Fuzzy_Parameters!$C$5)/(Fuzzy_Parameters!$C$6 - Fuzzy_Parameters!$C$5), 1), 0)</f>
        <v>1</v>
      </c>
      <c r="F226" s="25">
        <f>MAX(MIN(1, (Fuzzy_Parameters!$C$12 - Sheet6!D226)/(Fuzzy_Parameters!$C$12 - Fuzzy_Parameters!$C$11)), 0)</f>
        <v>0</v>
      </c>
      <c r="G226" s="25">
        <f>MAX(MIN((Sheet6!D226 - Fuzzy_Parameters!$C$11)/(Fuzzy_Parameters!$C$12 - Fuzzy_Parameters!$C$11), 1, (Fuzzy_Parameters!$C$14 - Sheet6!D226)/(Fuzzy_Parameters!$C$14 - Fuzzy_Parameters!$C$13)), 0)</f>
        <v>0.5451991102</v>
      </c>
      <c r="H226" s="25">
        <f>MAX(MIN((Sheet6!D226 - Fuzzy_Parameters!$C$13)/(Fuzzy_Parameters!$C$14 - Fuzzy_Parameters!$C$13), 1), 0)</f>
        <v>0.4548008898</v>
      </c>
      <c r="I226" s="25">
        <f>MAX(MIN(1, (Fuzzy_Parameters!$C$20 - Sheet6!E226)/(Fuzzy_Parameters!$C$20 - Fuzzy_Parameters!$C$19)), 0)</f>
        <v>0</v>
      </c>
      <c r="J226" s="25">
        <f>MAX(MIN((Sheet6!E226 - Fuzzy_Parameters!$C$19)/(Fuzzy_Parameters!$C$20 - Fuzzy_Parameters!$C$19), 1, (Fuzzy_Parameters!$C$22 - Sheet6!E226)/(Fuzzy_Parameters!$C$22 - Fuzzy_Parameters!$C$21)), 0)</f>
        <v>0.3860465116</v>
      </c>
      <c r="K226" s="25">
        <f>MAX(MIN((Sheet6!E226 - Fuzzy_Parameters!$C$21)/(Fuzzy_Parameters!$C$22 - Fuzzy_Parameters!$C$21), 1), 0)</f>
        <v>0.6139534884</v>
      </c>
      <c r="L226" s="25">
        <f>MAX(MIN(1, (Fuzzy_Parameters!$C$28 - Sheet6!F226)/(Fuzzy_Parameters!$C$28 - Fuzzy_Parameters!$C$27)), 0)</f>
        <v>0.9692959534</v>
      </c>
      <c r="M226" s="25">
        <f>MAX(MIN((Sheet6!F226 - Fuzzy_Parameters!$C$27)/(Fuzzy_Parameters!$C$28 - Fuzzy_Parameters!$C$27), 1, (Fuzzy_Parameters!$C$30 - Sheet6!F226)/(Fuzzy_Parameters!$C$30 - Fuzzy_Parameters!$C$29)), 0)</f>
        <v>0.03070404658</v>
      </c>
      <c r="N226" s="25">
        <f>MAX(MIN((Sheet6!F226 - Fuzzy_Parameters!$C$29)/(Fuzzy_Parameters!$C$30 - Fuzzy_Parameters!$C$29), 1), 0)</f>
        <v>0</v>
      </c>
    </row>
    <row r="227">
      <c r="A227" s="6" t="s">
        <v>26</v>
      </c>
      <c r="B227" s="26">
        <v>2022.0</v>
      </c>
      <c r="C227" s="25">
        <f>MAX(MIN(1, (Fuzzy_Parameters!$C$4 - Sheet6!C227)/(Fuzzy_Parameters!$C$4 - Fuzzy_Parameters!$C$3)), 0)</f>
        <v>0</v>
      </c>
      <c r="D227" s="25">
        <f>MAX(MIN((Sheet6!C227 - Fuzzy_Parameters!$C$3)/(Fuzzy_Parameters!$C$4 - Fuzzy_Parameters!$C$3), 1, (Fuzzy_Parameters!$C$6 - Sheet6!C227)/(Fuzzy_Parameters!$C$6 - Fuzzy_Parameters!$C$5)), 0)</f>
        <v>0.3490990171</v>
      </c>
      <c r="E227" s="25">
        <f>MAX(MIN((Sheet6!C227 - Fuzzy_Parameters!$C$5)/(Fuzzy_Parameters!$C$6 - Fuzzy_Parameters!$C$5), 1), 0)</f>
        <v>0.6509009829</v>
      </c>
      <c r="F227" s="25">
        <f>MAX(MIN(1, (Fuzzy_Parameters!$C$12 - Sheet6!D227)/(Fuzzy_Parameters!$C$12 - Fuzzy_Parameters!$C$11)), 0)</f>
        <v>0</v>
      </c>
      <c r="G227" s="25">
        <f>MAX(MIN((Sheet6!D227 - Fuzzy_Parameters!$C$11)/(Fuzzy_Parameters!$C$12 - Fuzzy_Parameters!$C$11), 1, (Fuzzy_Parameters!$C$14 - Sheet6!D227)/(Fuzzy_Parameters!$C$14 - Fuzzy_Parameters!$C$13)), 0)</f>
        <v>0</v>
      </c>
      <c r="H227" s="25">
        <f>MAX(MIN((Sheet6!D227 - Fuzzy_Parameters!$C$13)/(Fuzzy_Parameters!$C$14 - Fuzzy_Parameters!$C$13), 1), 0)</f>
        <v>1</v>
      </c>
      <c r="I227" s="25">
        <f>MAX(MIN(1, (Fuzzy_Parameters!$C$20 - Sheet6!E227)/(Fuzzy_Parameters!$C$20 - Fuzzy_Parameters!$C$19)), 0)</f>
        <v>0</v>
      </c>
      <c r="J227" s="25">
        <f>MAX(MIN((Sheet6!E227 - Fuzzy_Parameters!$C$19)/(Fuzzy_Parameters!$C$20 - Fuzzy_Parameters!$C$19), 1, (Fuzzy_Parameters!$C$22 - Sheet6!E227)/(Fuzzy_Parameters!$C$22 - Fuzzy_Parameters!$C$21)), 0)</f>
        <v>1</v>
      </c>
      <c r="K227" s="25">
        <f>MAX(MIN((Sheet6!E227 - Fuzzy_Parameters!$C$21)/(Fuzzy_Parameters!$C$22 - Fuzzy_Parameters!$C$21), 1), 0)</f>
        <v>0</v>
      </c>
      <c r="L227" s="25">
        <f>MAX(MIN(1, (Fuzzy_Parameters!$C$28 - Sheet6!F227)/(Fuzzy_Parameters!$C$28 - Fuzzy_Parameters!$C$27)), 0)</f>
        <v>1</v>
      </c>
      <c r="M227" s="25">
        <f>MAX(MIN((Sheet6!F227 - Fuzzy_Parameters!$C$27)/(Fuzzy_Parameters!$C$28 - Fuzzy_Parameters!$C$27), 1, (Fuzzy_Parameters!$C$30 - Sheet6!F227)/(Fuzzy_Parameters!$C$30 - Fuzzy_Parameters!$C$29)), 0)</f>
        <v>0</v>
      </c>
      <c r="N227" s="25">
        <f>MAX(MIN((Sheet6!F227 - Fuzzy_Parameters!$C$29)/(Fuzzy_Parameters!$C$30 - Fuzzy_Parameters!$C$29), 1), 0)</f>
        <v>0</v>
      </c>
    </row>
    <row r="228">
      <c r="A228" s="6" t="s">
        <v>26</v>
      </c>
      <c r="B228" s="26">
        <v>2021.0</v>
      </c>
      <c r="C228" s="25">
        <f>MAX(MIN(1, (Fuzzy_Parameters!$C$4 - Sheet6!C228)/(Fuzzy_Parameters!$C$4 - Fuzzy_Parameters!$C$3)), 0)</f>
        <v>0</v>
      </c>
      <c r="D228" s="25">
        <f>MAX(MIN((Sheet6!C228 - Fuzzy_Parameters!$C$3)/(Fuzzy_Parameters!$C$4 - Fuzzy_Parameters!$C$3), 1, (Fuzzy_Parameters!$C$6 - Sheet6!C228)/(Fuzzy_Parameters!$C$6 - Fuzzy_Parameters!$C$5)), 0)</f>
        <v>0.7043919635</v>
      </c>
      <c r="E228" s="25">
        <f>MAX(MIN((Sheet6!C228 - Fuzzy_Parameters!$C$5)/(Fuzzy_Parameters!$C$6 - Fuzzy_Parameters!$C$5), 1), 0)</f>
        <v>0.2956080365</v>
      </c>
      <c r="F228" s="25">
        <f>MAX(MIN(1, (Fuzzy_Parameters!$C$12 - Sheet6!D228)/(Fuzzy_Parameters!$C$12 - Fuzzy_Parameters!$C$11)), 0)</f>
        <v>0</v>
      </c>
      <c r="G228" s="25">
        <f>MAX(MIN((Sheet6!D228 - Fuzzy_Parameters!$C$11)/(Fuzzy_Parameters!$C$12 - Fuzzy_Parameters!$C$11), 1, (Fuzzy_Parameters!$C$14 - Sheet6!D228)/(Fuzzy_Parameters!$C$14 - Fuzzy_Parameters!$C$13)), 0)</f>
        <v>0.1510387962</v>
      </c>
      <c r="H228" s="25">
        <f>MAX(MIN((Sheet6!D228 - Fuzzy_Parameters!$C$13)/(Fuzzy_Parameters!$C$14 - Fuzzy_Parameters!$C$13), 1), 0)</f>
        <v>0.8489612038</v>
      </c>
      <c r="I228" s="25">
        <f>MAX(MIN(1, (Fuzzy_Parameters!$C$20 - Sheet6!E228)/(Fuzzy_Parameters!$C$20 - Fuzzy_Parameters!$C$19)), 0)</f>
        <v>0.2661290323</v>
      </c>
      <c r="J228" s="25">
        <f>MAX(MIN((Sheet6!E228 - Fuzzy_Parameters!$C$19)/(Fuzzy_Parameters!$C$20 - Fuzzy_Parameters!$C$19), 1, (Fuzzy_Parameters!$C$22 - Sheet6!E228)/(Fuzzy_Parameters!$C$22 - Fuzzy_Parameters!$C$21)), 0)</f>
        <v>0.7338709677</v>
      </c>
      <c r="K228" s="25">
        <f>MAX(MIN((Sheet6!E228 - Fuzzy_Parameters!$C$21)/(Fuzzy_Parameters!$C$22 - Fuzzy_Parameters!$C$21), 1), 0)</f>
        <v>0</v>
      </c>
      <c r="L228" s="25">
        <f>MAX(MIN(1, (Fuzzy_Parameters!$C$28 - Sheet6!F228)/(Fuzzy_Parameters!$C$28 - Fuzzy_Parameters!$C$27)), 0)</f>
        <v>1</v>
      </c>
      <c r="M228" s="25">
        <f>MAX(MIN((Sheet6!F228 - Fuzzy_Parameters!$C$27)/(Fuzzy_Parameters!$C$28 - Fuzzy_Parameters!$C$27), 1, (Fuzzy_Parameters!$C$30 - Sheet6!F228)/(Fuzzy_Parameters!$C$30 - Fuzzy_Parameters!$C$29)), 0)</f>
        <v>0</v>
      </c>
      <c r="N228" s="25">
        <f>MAX(MIN((Sheet6!F228 - Fuzzy_Parameters!$C$29)/(Fuzzy_Parameters!$C$30 - Fuzzy_Parameters!$C$29), 1), 0)</f>
        <v>0</v>
      </c>
    </row>
    <row r="229">
      <c r="A229" s="6" t="s">
        <v>26</v>
      </c>
      <c r="B229" s="26">
        <v>2020.0</v>
      </c>
      <c r="C229" s="25">
        <f>MAX(MIN(1, (Fuzzy_Parameters!$C$4 - Sheet6!C229)/(Fuzzy_Parameters!$C$4 - Fuzzy_Parameters!$C$3)), 0)</f>
        <v>0</v>
      </c>
      <c r="D229" s="25">
        <f>MAX(MIN((Sheet6!C229 - Fuzzy_Parameters!$C$3)/(Fuzzy_Parameters!$C$4 - Fuzzy_Parameters!$C$3), 1, (Fuzzy_Parameters!$C$6 - Sheet6!C229)/(Fuzzy_Parameters!$C$6 - Fuzzy_Parameters!$C$5)), 0)</f>
        <v>0.8265766508</v>
      </c>
      <c r="E229" s="25">
        <f>MAX(MIN((Sheet6!C229 - Fuzzy_Parameters!$C$5)/(Fuzzy_Parameters!$C$6 - Fuzzy_Parameters!$C$5), 1), 0)</f>
        <v>0.1734233492</v>
      </c>
      <c r="F229" s="25">
        <f>MAX(MIN(1, (Fuzzy_Parameters!$C$12 - Sheet6!D229)/(Fuzzy_Parameters!$C$12 - Fuzzy_Parameters!$C$11)), 0)</f>
        <v>0</v>
      </c>
      <c r="G229" s="25">
        <f>MAX(MIN((Sheet6!D229 - Fuzzy_Parameters!$C$11)/(Fuzzy_Parameters!$C$12 - Fuzzy_Parameters!$C$11), 1, (Fuzzy_Parameters!$C$14 - Sheet6!D229)/(Fuzzy_Parameters!$C$14 - Fuzzy_Parameters!$C$13)), 0)</f>
        <v>0</v>
      </c>
      <c r="H229" s="25">
        <f>MAX(MIN((Sheet6!D229 - Fuzzy_Parameters!$C$13)/(Fuzzy_Parameters!$C$14 - Fuzzy_Parameters!$C$13), 1), 0)</f>
        <v>1</v>
      </c>
      <c r="I229" s="25">
        <f>MAX(MIN(1, (Fuzzy_Parameters!$C$20 - Sheet6!E229)/(Fuzzy_Parameters!$C$20 - Fuzzy_Parameters!$C$19)), 0)</f>
        <v>1</v>
      </c>
      <c r="J229" s="25">
        <f>MAX(MIN((Sheet6!E229 - Fuzzy_Parameters!$C$19)/(Fuzzy_Parameters!$C$20 - Fuzzy_Parameters!$C$19), 1, (Fuzzy_Parameters!$C$22 - Sheet6!E229)/(Fuzzy_Parameters!$C$22 - Fuzzy_Parameters!$C$21)), 0)</f>
        <v>0</v>
      </c>
      <c r="K229" s="25">
        <f>MAX(MIN((Sheet6!E229 - Fuzzy_Parameters!$C$21)/(Fuzzy_Parameters!$C$22 - Fuzzy_Parameters!$C$21), 1), 0)</f>
        <v>0</v>
      </c>
      <c r="L229" s="25">
        <f>MAX(MIN(1, (Fuzzy_Parameters!$C$28 - Sheet6!F229)/(Fuzzy_Parameters!$C$28 - Fuzzy_Parameters!$C$27)), 0)</f>
        <v>1</v>
      </c>
      <c r="M229" s="25">
        <f>MAX(MIN((Sheet6!F229 - Fuzzy_Parameters!$C$27)/(Fuzzy_Parameters!$C$28 - Fuzzy_Parameters!$C$27), 1, (Fuzzy_Parameters!$C$30 - Sheet6!F229)/(Fuzzy_Parameters!$C$30 - Fuzzy_Parameters!$C$29)), 0)</f>
        <v>0</v>
      </c>
      <c r="N229" s="25">
        <f>MAX(MIN((Sheet6!F229 - Fuzzy_Parameters!$C$29)/(Fuzzy_Parameters!$C$30 - Fuzzy_Parameters!$C$29), 1), 0)</f>
        <v>0</v>
      </c>
    </row>
    <row r="230">
      <c r="A230" s="6" t="s">
        <v>26</v>
      </c>
      <c r="B230" s="26">
        <v>2019.0</v>
      </c>
      <c r="C230" s="25">
        <f>MAX(MIN(1, (Fuzzy_Parameters!$C$4 - Sheet6!C230)/(Fuzzy_Parameters!$C$4 - Fuzzy_Parameters!$C$3)), 0)</f>
        <v>0</v>
      </c>
      <c r="D230" s="25">
        <f>MAX(MIN((Sheet6!C230 - Fuzzy_Parameters!$C$3)/(Fuzzy_Parameters!$C$4 - Fuzzy_Parameters!$C$3), 1, (Fuzzy_Parameters!$C$6 - Sheet6!C230)/(Fuzzy_Parameters!$C$6 - Fuzzy_Parameters!$C$5)), 0)</f>
        <v>0.7739301438</v>
      </c>
      <c r="E230" s="25">
        <f>MAX(MIN((Sheet6!C230 - Fuzzy_Parameters!$C$5)/(Fuzzy_Parameters!$C$6 - Fuzzy_Parameters!$C$5), 1), 0)</f>
        <v>0.2260698562</v>
      </c>
      <c r="F230" s="25">
        <f>MAX(MIN(1, (Fuzzy_Parameters!$C$12 - Sheet6!D230)/(Fuzzy_Parameters!$C$12 - Fuzzy_Parameters!$C$11)), 0)</f>
        <v>0</v>
      </c>
      <c r="G230" s="25">
        <f>MAX(MIN((Sheet6!D230 - Fuzzy_Parameters!$C$11)/(Fuzzy_Parameters!$C$12 - Fuzzy_Parameters!$C$11), 1, (Fuzzy_Parameters!$C$14 - Sheet6!D230)/(Fuzzy_Parameters!$C$14 - Fuzzy_Parameters!$C$13)), 0)</f>
        <v>0.4340259036</v>
      </c>
      <c r="H230" s="25">
        <f>MAX(MIN((Sheet6!D230 - Fuzzy_Parameters!$C$13)/(Fuzzy_Parameters!$C$14 - Fuzzy_Parameters!$C$13), 1), 0)</f>
        <v>0.5659740964</v>
      </c>
      <c r="I230" s="25">
        <f>MAX(MIN(1, (Fuzzy_Parameters!$C$20 - Sheet6!E230)/(Fuzzy_Parameters!$C$20 - Fuzzy_Parameters!$C$19)), 0)</f>
        <v>0.5161290323</v>
      </c>
      <c r="J230" s="25">
        <f>MAX(MIN((Sheet6!E230 - Fuzzy_Parameters!$C$19)/(Fuzzy_Parameters!$C$20 - Fuzzy_Parameters!$C$19), 1, (Fuzzy_Parameters!$C$22 - Sheet6!E230)/(Fuzzy_Parameters!$C$22 - Fuzzy_Parameters!$C$21)), 0)</f>
        <v>0.4838709677</v>
      </c>
      <c r="K230" s="25">
        <f>MAX(MIN((Sheet6!E230 - Fuzzy_Parameters!$C$21)/(Fuzzy_Parameters!$C$22 - Fuzzy_Parameters!$C$21), 1), 0)</f>
        <v>0</v>
      </c>
      <c r="L230" s="25">
        <f>MAX(MIN(1, (Fuzzy_Parameters!$C$28 - Sheet6!F230)/(Fuzzy_Parameters!$C$28 - Fuzzy_Parameters!$C$27)), 0)</f>
        <v>1</v>
      </c>
      <c r="M230" s="25">
        <f>MAX(MIN((Sheet6!F230 - Fuzzy_Parameters!$C$27)/(Fuzzy_Parameters!$C$28 - Fuzzy_Parameters!$C$27), 1, (Fuzzy_Parameters!$C$30 - Sheet6!F230)/(Fuzzy_Parameters!$C$30 - Fuzzy_Parameters!$C$29)), 0)</f>
        <v>0</v>
      </c>
      <c r="N230" s="25">
        <f>MAX(MIN((Sheet6!F230 - Fuzzy_Parameters!$C$29)/(Fuzzy_Parameters!$C$30 - Fuzzy_Parameters!$C$29), 1), 0)</f>
        <v>0</v>
      </c>
    </row>
    <row r="231">
      <c r="A231" s="6" t="s">
        <v>26</v>
      </c>
      <c r="B231" s="26">
        <v>2018.0</v>
      </c>
      <c r="C231" s="25">
        <f>MAX(MIN(1, (Fuzzy_Parameters!$C$4 - Sheet6!C231)/(Fuzzy_Parameters!$C$4 - Fuzzy_Parameters!$C$3)), 0)</f>
        <v>0</v>
      </c>
      <c r="D231" s="25">
        <f>MAX(MIN((Sheet6!C231 - Fuzzy_Parameters!$C$3)/(Fuzzy_Parameters!$C$4 - Fuzzy_Parameters!$C$3), 1, (Fuzzy_Parameters!$C$6 - Sheet6!C231)/(Fuzzy_Parameters!$C$6 - Fuzzy_Parameters!$C$5)), 0)</f>
        <v>0.9163853669</v>
      </c>
      <c r="E231" s="25">
        <f>MAX(MIN((Sheet6!C231 - Fuzzy_Parameters!$C$5)/(Fuzzy_Parameters!$C$6 - Fuzzy_Parameters!$C$5), 1), 0)</f>
        <v>0.08361463305</v>
      </c>
      <c r="F231" s="25">
        <f>MAX(MIN(1, (Fuzzy_Parameters!$C$12 - Sheet6!D231)/(Fuzzy_Parameters!$C$12 - Fuzzy_Parameters!$C$11)), 0)</f>
        <v>0</v>
      </c>
      <c r="G231" s="25">
        <f>MAX(MIN((Sheet6!D231 - Fuzzy_Parameters!$C$11)/(Fuzzy_Parameters!$C$12 - Fuzzy_Parameters!$C$11), 1, (Fuzzy_Parameters!$C$14 - Sheet6!D231)/(Fuzzy_Parameters!$C$14 - Fuzzy_Parameters!$C$13)), 0)</f>
        <v>0.9870860292</v>
      </c>
      <c r="H231" s="25">
        <f>MAX(MIN((Sheet6!D231 - Fuzzy_Parameters!$C$13)/(Fuzzy_Parameters!$C$14 - Fuzzy_Parameters!$C$13), 1), 0)</f>
        <v>0.0129139708</v>
      </c>
      <c r="I231" s="25">
        <f>MAX(MIN(1, (Fuzzy_Parameters!$C$20 - Sheet6!E231)/(Fuzzy_Parameters!$C$20 - Fuzzy_Parameters!$C$19)), 0)</f>
        <v>0.6370967742</v>
      </c>
      <c r="J231" s="25">
        <f>MAX(MIN((Sheet6!E231 - Fuzzy_Parameters!$C$19)/(Fuzzy_Parameters!$C$20 - Fuzzy_Parameters!$C$19), 1, (Fuzzy_Parameters!$C$22 - Sheet6!E231)/(Fuzzy_Parameters!$C$22 - Fuzzy_Parameters!$C$21)), 0)</f>
        <v>0.3629032258</v>
      </c>
      <c r="K231" s="25">
        <f>MAX(MIN((Sheet6!E231 - Fuzzy_Parameters!$C$21)/(Fuzzy_Parameters!$C$22 - Fuzzy_Parameters!$C$21), 1), 0)</f>
        <v>0</v>
      </c>
      <c r="L231" s="25">
        <f>MAX(MIN(1, (Fuzzy_Parameters!$C$28 - Sheet6!F231)/(Fuzzy_Parameters!$C$28 - Fuzzy_Parameters!$C$27)), 0)</f>
        <v>1</v>
      </c>
      <c r="M231" s="25">
        <f>MAX(MIN((Sheet6!F231 - Fuzzy_Parameters!$C$27)/(Fuzzy_Parameters!$C$28 - Fuzzy_Parameters!$C$27), 1, (Fuzzy_Parameters!$C$30 - Sheet6!F231)/(Fuzzy_Parameters!$C$30 - Fuzzy_Parameters!$C$29)), 0)</f>
        <v>0</v>
      </c>
      <c r="N231" s="25">
        <f>MAX(MIN((Sheet6!F231 - Fuzzy_Parameters!$C$29)/(Fuzzy_Parameters!$C$30 - Fuzzy_Parameters!$C$29), 1), 0)</f>
        <v>0</v>
      </c>
    </row>
    <row r="232">
      <c r="A232" s="6" t="s">
        <v>26</v>
      </c>
      <c r="B232" s="26">
        <v>2017.0</v>
      </c>
      <c r="C232" s="25">
        <f>MAX(MIN(1, (Fuzzy_Parameters!$C$4 - Sheet6!C232)/(Fuzzy_Parameters!$C$4 - Fuzzy_Parameters!$C$3)), 0)</f>
        <v>0</v>
      </c>
      <c r="D232" s="25">
        <f>MAX(MIN((Sheet6!C232 - Fuzzy_Parameters!$C$3)/(Fuzzy_Parameters!$C$4 - Fuzzy_Parameters!$C$3), 1, (Fuzzy_Parameters!$C$6 - Sheet6!C232)/(Fuzzy_Parameters!$C$6 - Fuzzy_Parameters!$C$5)), 0)</f>
        <v>1</v>
      </c>
      <c r="E232" s="25">
        <f>MAX(MIN((Sheet6!C232 - Fuzzy_Parameters!$C$5)/(Fuzzy_Parameters!$C$6 - Fuzzy_Parameters!$C$5), 1), 0)</f>
        <v>0</v>
      </c>
      <c r="F232" s="25">
        <f>MAX(MIN(1, (Fuzzy_Parameters!$C$12 - Sheet6!D232)/(Fuzzy_Parameters!$C$12 - Fuzzy_Parameters!$C$11)), 0)</f>
        <v>0</v>
      </c>
      <c r="G232" s="25">
        <f>MAX(MIN((Sheet6!D232 - Fuzzy_Parameters!$C$11)/(Fuzzy_Parameters!$C$12 - Fuzzy_Parameters!$C$11), 1, (Fuzzy_Parameters!$C$14 - Sheet6!D232)/(Fuzzy_Parameters!$C$14 - Fuzzy_Parameters!$C$13)), 0)</f>
        <v>0</v>
      </c>
      <c r="H232" s="25">
        <f>MAX(MIN((Sheet6!D232 - Fuzzy_Parameters!$C$13)/(Fuzzy_Parameters!$C$14 - Fuzzy_Parameters!$C$13), 1), 0)</f>
        <v>1</v>
      </c>
      <c r="I232" s="25">
        <f>MAX(MIN(1, (Fuzzy_Parameters!$C$20 - Sheet6!E232)/(Fuzzy_Parameters!$C$20 - Fuzzy_Parameters!$C$19)), 0)</f>
        <v>1</v>
      </c>
      <c r="J232" s="25">
        <f>MAX(MIN((Sheet6!E232 - Fuzzy_Parameters!$C$19)/(Fuzzy_Parameters!$C$20 - Fuzzy_Parameters!$C$19), 1, (Fuzzy_Parameters!$C$22 - Sheet6!E232)/(Fuzzy_Parameters!$C$22 - Fuzzy_Parameters!$C$21)), 0)</f>
        <v>0</v>
      </c>
      <c r="K232" s="25">
        <f>MAX(MIN((Sheet6!E232 - Fuzzy_Parameters!$C$21)/(Fuzzy_Parameters!$C$22 - Fuzzy_Parameters!$C$21), 1), 0)</f>
        <v>0</v>
      </c>
      <c r="L232" s="25">
        <f>MAX(MIN(1, (Fuzzy_Parameters!$C$28 - Sheet6!F232)/(Fuzzy_Parameters!$C$28 - Fuzzy_Parameters!$C$27)), 0)</f>
        <v>1</v>
      </c>
      <c r="M232" s="25">
        <f>MAX(MIN((Sheet6!F232 - Fuzzy_Parameters!$C$27)/(Fuzzy_Parameters!$C$28 - Fuzzy_Parameters!$C$27), 1, (Fuzzy_Parameters!$C$30 - Sheet6!F232)/(Fuzzy_Parameters!$C$30 - Fuzzy_Parameters!$C$29)), 0)</f>
        <v>0</v>
      </c>
      <c r="N232" s="25">
        <f>MAX(MIN((Sheet6!F232 - Fuzzy_Parameters!$C$29)/(Fuzzy_Parameters!$C$30 - Fuzzy_Parameters!$C$29), 1), 0)</f>
        <v>0</v>
      </c>
    </row>
    <row r="233">
      <c r="A233" s="6" t="s">
        <v>26</v>
      </c>
      <c r="B233" s="26">
        <v>2016.0</v>
      </c>
      <c r="C233" s="25">
        <f>MAX(MIN(1, (Fuzzy_Parameters!$C$4 - Sheet6!C233)/(Fuzzy_Parameters!$C$4 - Fuzzy_Parameters!$C$3)), 0)</f>
        <v>0</v>
      </c>
      <c r="D233" s="25">
        <f>MAX(MIN((Sheet6!C233 - Fuzzy_Parameters!$C$3)/(Fuzzy_Parameters!$C$4 - Fuzzy_Parameters!$C$3), 1, (Fuzzy_Parameters!$C$6 - Sheet6!C233)/(Fuzzy_Parameters!$C$6 - Fuzzy_Parameters!$C$5)), 0)</f>
        <v>1</v>
      </c>
      <c r="E233" s="25">
        <f>MAX(MIN((Sheet6!C233 - Fuzzy_Parameters!$C$5)/(Fuzzy_Parameters!$C$6 - Fuzzy_Parameters!$C$5), 1), 0)</f>
        <v>0</v>
      </c>
      <c r="F233" s="25">
        <f>MAX(MIN(1, (Fuzzy_Parameters!$C$12 - Sheet6!D233)/(Fuzzy_Parameters!$C$12 - Fuzzy_Parameters!$C$11)), 0)</f>
        <v>0</v>
      </c>
      <c r="G233" s="25">
        <f>MAX(MIN((Sheet6!D233 - Fuzzy_Parameters!$C$11)/(Fuzzy_Parameters!$C$12 - Fuzzy_Parameters!$C$11), 1, (Fuzzy_Parameters!$C$14 - Sheet6!D233)/(Fuzzy_Parameters!$C$14 - Fuzzy_Parameters!$C$13)), 0)</f>
        <v>1</v>
      </c>
      <c r="H233" s="25">
        <f>MAX(MIN((Sheet6!D233 - Fuzzy_Parameters!$C$13)/(Fuzzy_Parameters!$C$14 - Fuzzy_Parameters!$C$13), 1), 0)</f>
        <v>0</v>
      </c>
      <c r="I233" s="25">
        <f>MAX(MIN(1, (Fuzzy_Parameters!$C$20 - Sheet6!E233)/(Fuzzy_Parameters!$C$20 - Fuzzy_Parameters!$C$19)), 0)</f>
        <v>0.8548387097</v>
      </c>
      <c r="J233" s="25">
        <f>MAX(MIN((Sheet6!E233 - Fuzzy_Parameters!$C$19)/(Fuzzy_Parameters!$C$20 - Fuzzy_Parameters!$C$19), 1, (Fuzzy_Parameters!$C$22 - Sheet6!E233)/(Fuzzy_Parameters!$C$22 - Fuzzy_Parameters!$C$21)), 0)</f>
        <v>0.1451612903</v>
      </c>
      <c r="K233" s="25">
        <f>MAX(MIN((Sheet6!E233 - Fuzzy_Parameters!$C$21)/(Fuzzy_Parameters!$C$22 - Fuzzy_Parameters!$C$21), 1), 0)</f>
        <v>0</v>
      </c>
      <c r="L233" s="25">
        <f>MAX(MIN(1, (Fuzzy_Parameters!$C$28 - Sheet6!F233)/(Fuzzy_Parameters!$C$28 - Fuzzy_Parameters!$C$27)), 0)</f>
        <v>1</v>
      </c>
      <c r="M233" s="25">
        <f>MAX(MIN((Sheet6!F233 - Fuzzy_Parameters!$C$27)/(Fuzzy_Parameters!$C$28 - Fuzzy_Parameters!$C$27), 1, (Fuzzy_Parameters!$C$30 - Sheet6!F233)/(Fuzzy_Parameters!$C$30 - Fuzzy_Parameters!$C$29)), 0)</f>
        <v>0</v>
      </c>
      <c r="N233" s="25">
        <f>MAX(MIN((Sheet6!F233 - Fuzzy_Parameters!$C$29)/(Fuzzy_Parameters!$C$30 - Fuzzy_Parameters!$C$29), 1), 0)</f>
        <v>0</v>
      </c>
    </row>
    <row r="234">
      <c r="A234" s="6" t="s">
        <v>26</v>
      </c>
      <c r="B234" s="26">
        <v>2015.0</v>
      </c>
      <c r="C234" s="25">
        <f>MAX(MIN(1, (Fuzzy_Parameters!$C$4 - Sheet6!C234)/(Fuzzy_Parameters!$C$4 - Fuzzy_Parameters!$C$3)), 0)</f>
        <v>0</v>
      </c>
      <c r="D234" s="25">
        <f>MAX(MIN((Sheet6!C234 - Fuzzy_Parameters!$C$3)/(Fuzzy_Parameters!$C$4 - Fuzzy_Parameters!$C$3), 1, (Fuzzy_Parameters!$C$6 - Sheet6!C234)/(Fuzzy_Parameters!$C$6 - Fuzzy_Parameters!$C$5)), 0)</f>
        <v>1</v>
      </c>
      <c r="E234" s="25">
        <f>MAX(MIN((Sheet6!C234 - Fuzzy_Parameters!$C$5)/(Fuzzy_Parameters!$C$6 - Fuzzy_Parameters!$C$5), 1), 0)</f>
        <v>0</v>
      </c>
      <c r="F234" s="25">
        <f>MAX(MIN(1, (Fuzzy_Parameters!$C$12 - Sheet6!D234)/(Fuzzy_Parameters!$C$12 - Fuzzy_Parameters!$C$11)), 0)</f>
        <v>0</v>
      </c>
      <c r="G234" s="25">
        <f>MAX(MIN((Sheet6!D234 - Fuzzy_Parameters!$C$11)/(Fuzzy_Parameters!$C$12 - Fuzzy_Parameters!$C$11), 1, (Fuzzy_Parameters!$C$14 - Sheet6!D234)/(Fuzzy_Parameters!$C$14 - Fuzzy_Parameters!$C$13)), 0)</f>
        <v>1</v>
      </c>
      <c r="H234" s="25">
        <f>MAX(MIN((Sheet6!D234 - Fuzzy_Parameters!$C$13)/(Fuzzy_Parameters!$C$14 - Fuzzy_Parameters!$C$13), 1), 0)</f>
        <v>0</v>
      </c>
      <c r="I234" s="25">
        <f>MAX(MIN(1, (Fuzzy_Parameters!$C$20 - Sheet6!E234)/(Fuzzy_Parameters!$C$20 - Fuzzy_Parameters!$C$19)), 0)</f>
        <v>0</v>
      </c>
      <c r="J234" s="25">
        <f>MAX(MIN((Sheet6!E234 - Fuzzy_Parameters!$C$19)/(Fuzzy_Parameters!$C$20 - Fuzzy_Parameters!$C$19), 1, (Fuzzy_Parameters!$C$22 - Sheet6!E234)/(Fuzzy_Parameters!$C$22 - Fuzzy_Parameters!$C$21)), 0)</f>
        <v>1</v>
      </c>
      <c r="K234" s="25">
        <f>MAX(MIN((Sheet6!E234 - Fuzzy_Parameters!$C$21)/(Fuzzy_Parameters!$C$22 - Fuzzy_Parameters!$C$21), 1), 0)</f>
        <v>0</v>
      </c>
      <c r="L234" s="25">
        <f>MAX(MIN(1, (Fuzzy_Parameters!$C$28 - Sheet6!F234)/(Fuzzy_Parameters!$C$28 - Fuzzy_Parameters!$C$27)), 0)</f>
        <v>1</v>
      </c>
      <c r="M234" s="25">
        <f>MAX(MIN((Sheet6!F234 - Fuzzy_Parameters!$C$27)/(Fuzzy_Parameters!$C$28 - Fuzzy_Parameters!$C$27), 1, (Fuzzy_Parameters!$C$30 - Sheet6!F234)/(Fuzzy_Parameters!$C$30 - Fuzzy_Parameters!$C$29)), 0)</f>
        <v>0</v>
      </c>
      <c r="N234" s="25">
        <f>MAX(MIN((Sheet6!F234 - Fuzzy_Parameters!$C$29)/(Fuzzy_Parameters!$C$30 - Fuzzy_Parameters!$C$29), 1), 0)</f>
        <v>0</v>
      </c>
    </row>
    <row r="235">
      <c r="A235" s="56" t="s">
        <v>26</v>
      </c>
      <c r="B235" s="57">
        <v>2014.0</v>
      </c>
      <c r="C235" s="25">
        <f>MAX(MIN(1, (Fuzzy_Parameters!$C$4 - Sheet6!C235)/(Fuzzy_Parameters!$C$4 - Fuzzy_Parameters!$C$3)), 0)</f>
        <v>0</v>
      </c>
      <c r="D235" s="25">
        <f>MAX(MIN((Sheet6!C235 - Fuzzy_Parameters!$C$3)/(Fuzzy_Parameters!$C$4 - Fuzzy_Parameters!$C$3), 1, (Fuzzy_Parameters!$C$6 - Sheet6!C235)/(Fuzzy_Parameters!$C$6 - Fuzzy_Parameters!$C$5)), 0)</f>
        <v>0</v>
      </c>
      <c r="E235" s="25">
        <f>MAX(MIN((Sheet6!C235 - Fuzzy_Parameters!$C$5)/(Fuzzy_Parameters!$C$6 - Fuzzy_Parameters!$C$5), 1), 0)</f>
        <v>1</v>
      </c>
      <c r="F235" s="25">
        <f>MAX(MIN(1, (Fuzzy_Parameters!$C$12 - Sheet6!D235)/(Fuzzy_Parameters!$C$12 - Fuzzy_Parameters!$C$11)), 0)</f>
        <v>0</v>
      </c>
      <c r="G235" s="25">
        <f>MAX(MIN((Sheet6!D235 - Fuzzy_Parameters!$C$11)/(Fuzzy_Parameters!$C$12 - Fuzzy_Parameters!$C$11), 1, (Fuzzy_Parameters!$C$14 - Sheet6!D235)/(Fuzzy_Parameters!$C$14 - Fuzzy_Parameters!$C$13)), 0)</f>
        <v>1</v>
      </c>
      <c r="H235" s="25">
        <f>MAX(MIN((Sheet6!D235 - Fuzzy_Parameters!$C$13)/(Fuzzy_Parameters!$C$14 - Fuzzy_Parameters!$C$13), 1), 0)</f>
        <v>0</v>
      </c>
      <c r="I235" s="25">
        <f>MAX(MIN(1, (Fuzzy_Parameters!$C$20 - Sheet6!E235)/(Fuzzy_Parameters!$C$20 - Fuzzy_Parameters!$C$19)), 0)</f>
        <v>0.314516129</v>
      </c>
      <c r="J235" s="25">
        <f>MAX(MIN((Sheet6!E235 - Fuzzy_Parameters!$C$19)/(Fuzzy_Parameters!$C$20 - Fuzzy_Parameters!$C$19), 1, (Fuzzy_Parameters!$C$22 - Sheet6!E235)/(Fuzzy_Parameters!$C$22 - Fuzzy_Parameters!$C$21)), 0)</f>
        <v>0.685483871</v>
      </c>
      <c r="K235" s="25">
        <f>MAX(MIN((Sheet6!E235 - Fuzzy_Parameters!$C$21)/(Fuzzy_Parameters!$C$22 - Fuzzy_Parameters!$C$21), 1), 0)</f>
        <v>0</v>
      </c>
      <c r="L235" s="25">
        <f>MAX(MIN(1, (Fuzzy_Parameters!$C$28 - Sheet6!F235)/(Fuzzy_Parameters!$C$28 - Fuzzy_Parameters!$C$27)), 0)</f>
        <v>1</v>
      </c>
      <c r="M235" s="25">
        <f>MAX(MIN((Sheet6!F235 - Fuzzy_Parameters!$C$27)/(Fuzzy_Parameters!$C$28 - Fuzzy_Parameters!$C$27), 1, (Fuzzy_Parameters!$C$30 - Sheet6!F235)/(Fuzzy_Parameters!$C$30 - Fuzzy_Parameters!$C$29)), 0)</f>
        <v>0</v>
      </c>
      <c r="N235" s="25">
        <f>MAX(MIN((Sheet6!F235 - Fuzzy_Parameters!$C$29)/(Fuzzy_Parameters!$C$30 - Fuzzy_Parameters!$C$29), 1), 0)</f>
        <v>0</v>
      </c>
    </row>
    <row r="236">
      <c r="A236" s="6" t="s">
        <v>27</v>
      </c>
      <c r="B236" s="26">
        <v>2022.0</v>
      </c>
      <c r="C236" s="25">
        <f>MAX(MIN(1, (Fuzzy_Parameters!$C$4 - Sheet6!C236)/(Fuzzy_Parameters!$C$4 - Fuzzy_Parameters!$C$3)), 0)</f>
        <v>0</v>
      </c>
      <c r="D236" s="25">
        <f>MAX(MIN((Sheet6!C236 - Fuzzy_Parameters!$C$3)/(Fuzzy_Parameters!$C$4 - Fuzzy_Parameters!$C$3), 1, (Fuzzy_Parameters!$C$6 - Sheet6!C236)/(Fuzzy_Parameters!$C$6 - Fuzzy_Parameters!$C$5)), 0)</f>
        <v>1</v>
      </c>
      <c r="E236" s="25">
        <f>MAX(MIN((Sheet6!C236 - Fuzzy_Parameters!$C$5)/(Fuzzy_Parameters!$C$6 - Fuzzy_Parameters!$C$5), 1), 0)</f>
        <v>0</v>
      </c>
      <c r="F236" s="25">
        <f>MAX(MIN(1, (Fuzzy_Parameters!$C$12 - Sheet6!D236)/(Fuzzy_Parameters!$C$12 - Fuzzy_Parameters!$C$11)), 0)</f>
        <v>0</v>
      </c>
      <c r="G236" s="25">
        <f>MAX(MIN((Sheet6!D236 - Fuzzy_Parameters!$C$11)/(Fuzzy_Parameters!$C$12 - Fuzzy_Parameters!$C$11), 1, (Fuzzy_Parameters!$C$14 - Sheet6!D236)/(Fuzzy_Parameters!$C$14 - Fuzzy_Parameters!$C$13)), 0)</f>
        <v>1</v>
      </c>
      <c r="H236" s="25">
        <f>MAX(MIN((Sheet6!D236 - Fuzzy_Parameters!$C$13)/(Fuzzy_Parameters!$C$14 - Fuzzy_Parameters!$C$13), 1), 0)</f>
        <v>0</v>
      </c>
      <c r="I236" s="25">
        <f>MAX(MIN(1, (Fuzzy_Parameters!$C$20 - Sheet6!E236)/(Fuzzy_Parameters!$C$20 - Fuzzy_Parameters!$C$19)), 0)</f>
        <v>0</v>
      </c>
      <c r="J236" s="25">
        <f>MAX(MIN((Sheet6!E236 - Fuzzy_Parameters!$C$19)/(Fuzzy_Parameters!$C$20 - Fuzzy_Parameters!$C$19), 1, (Fuzzy_Parameters!$C$22 - Sheet6!E236)/(Fuzzy_Parameters!$C$22 - Fuzzy_Parameters!$C$21)), 0)</f>
        <v>0</v>
      </c>
      <c r="K236" s="25">
        <f>MAX(MIN((Sheet6!E236 - Fuzzy_Parameters!$C$21)/(Fuzzy_Parameters!$C$22 - Fuzzy_Parameters!$C$21), 1), 0)</f>
        <v>1</v>
      </c>
      <c r="L236" s="25">
        <f>MAX(MIN(1, (Fuzzy_Parameters!$C$28 - Sheet6!F236)/(Fuzzy_Parameters!$C$28 - Fuzzy_Parameters!$C$27)), 0)</f>
        <v>1</v>
      </c>
      <c r="M236" s="25">
        <f>MAX(MIN((Sheet6!F236 - Fuzzy_Parameters!$C$27)/(Fuzzy_Parameters!$C$28 - Fuzzy_Parameters!$C$27), 1, (Fuzzy_Parameters!$C$30 - Sheet6!F236)/(Fuzzy_Parameters!$C$30 - Fuzzy_Parameters!$C$29)), 0)</f>
        <v>0</v>
      </c>
      <c r="N236" s="25">
        <f>MAX(MIN((Sheet6!F236 - Fuzzy_Parameters!$C$29)/(Fuzzy_Parameters!$C$30 - Fuzzy_Parameters!$C$29), 1), 0)</f>
        <v>0</v>
      </c>
    </row>
    <row r="237">
      <c r="A237" s="6" t="s">
        <v>27</v>
      </c>
      <c r="B237" s="26">
        <v>2021.0</v>
      </c>
      <c r="C237" s="25">
        <f>MAX(MIN(1, (Fuzzy_Parameters!$C$4 - Sheet6!C237)/(Fuzzy_Parameters!$C$4 - Fuzzy_Parameters!$C$3)), 0)</f>
        <v>0.9264204924</v>
      </c>
      <c r="D237" s="25">
        <f>MAX(MIN((Sheet6!C237 - Fuzzy_Parameters!$C$3)/(Fuzzy_Parameters!$C$4 - Fuzzy_Parameters!$C$3), 1, (Fuzzy_Parameters!$C$6 - Sheet6!C237)/(Fuzzy_Parameters!$C$6 - Fuzzy_Parameters!$C$5)), 0)</f>
        <v>0.07357950765</v>
      </c>
      <c r="E237" s="25">
        <f>MAX(MIN((Sheet6!C237 - Fuzzy_Parameters!$C$5)/(Fuzzy_Parameters!$C$6 - Fuzzy_Parameters!$C$5), 1), 0)</f>
        <v>0</v>
      </c>
      <c r="F237" s="25">
        <f>MAX(MIN(1, (Fuzzy_Parameters!$C$12 - Sheet6!D237)/(Fuzzy_Parameters!$C$12 - Fuzzy_Parameters!$C$11)), 0)</f>
        <v>0</v>
      </c>
      <c r="G237" s="25">
        <f>MAX(MIN((Sheet6!D237 - Fuzzy_Parameters!$C$11)/(Fuzzy_Parameters!$C$12 - Fuzzy_Parameters!$C$11), 1, (Fuzzy_Parameters!$C$14 - Sheet6!D237)/(Fuzzy_Parameters!$C$14 - Fuzzy_Parameters!$C$13)), 0)</f>
        <v>0.3329589031</v>
      </c>
      <c r="H237" s="25">
        <f>MAX(MIN((Sheet6!D237 - Fuzzy_Parameters!$C$13)/(Fuzzy_Parameters!$C$14 - Fuzzy_Parameters!$C$13), 1), 0)</f>
        <v>0.6670410969</v>
      </c>
      <c r="I237" s="25">
        <f>MAX(MIN(1, (Fuzzy_Parameters!$C$20 - Sheet6!E237)/(Fuzzy_Parameters!$C$20 - Fuzzy_Parameters!$C$19)), 0)</f>
        <v>0</v>
      </c>
      <c r="J237" s="25">
        <f>MAX(MIN((Sheet6!E237 - Fuzzy_Parameters!$C$19)/(Fuzzy_Parameters!$C$20 - Fuzzy_Parameters!$C$19), 1, (Fuzzy_Parameters!$C$22 - Sheet6!E237)/(Fuzzy_Parameters!$C$22 - Fuzzy_Parameters!$C$21)), 0)</f>
        <v>0</v>
      </c>
      <c r="K237" s="25">
        <f>MAX(MIN((Sheet6!E237 - Fuzzy_Parameters!$C$21)/(Fuzzy_Parameters!$C$22 - Fuzzy_Parameters!$C$21), 1), 0)</f>
        <v>1</v>
      </c>
      <c r="L237" s="25">
        <f>MAX(MIN(1, (Fuzzy_Parameters!$C$28 - Sheet6!F237)/(Fuzzy_Parameters!$C$28 - Fuzzy_Parameters!$C$27)), 0)</f>
        <v>0.1210053244</v>
      </c>
      <c r="M237" s="25">
        <f>MAX(MIN((Sheet6!F237 - Fuzzy_Parameters!$C$27)/(Fuzzy_Parameters!$C$28 - Fuzzy_Parameters!$C$27), 1, (Fuzzy_Parameters!$C$30 - Sheet6!F237)/(Fuzzy_Parameters!$C$30 - Fuzzy_Parameters!$C$29)), 0)</f>
        <v>0.8789946756</v>
      </c>
      <c r="N237" s="25">
        <f>MAX(MIN((Sheet6!F237 - Fuzzy_Parameters!$C$29)/(Fuzzy_Parameters!$C$30 - Fuzzy_Parameters!$C$29), 1), 0)</f>
        <v>0</v>
      </c>
    </row>
    <row r="238">
      <c r="A238" s="6" t="s">
        <v>27</v>
      </c>
      <c r="B238" s="26">
        <v>2020.0</v>
      </c>
      <c r="C238" s="25">
        <f>MAX(MIN(1, (Fuzzy_Parameters!$C$4 - Sheet6!C238)/(Fuzzy_Parameters!$C$4 - Fuzzy_Parameters!$C$3)), 0)</f>
        <v>0.2630995737</v>
      </c>
      <c r="D238" s="25">
        <f>MAX(MIN((Sheet6!C238 - Fuzzy_Parameters!$C$3)/(Fuzzy_Parameters!$C$4 - Fuzzy_Parameters!$C$3), 1, (Fuzzy_Parameters!$C$6 - Sheet6!C238)/(Fuzzy_Parameters!$C$6 - Fuzzy_Parameters!$C$5)), 0)</f>
        <v>0.7369004263</v>
      </c>
      <c r="E238" s="25">
        <f>MAX(MIN((Sheet6!C238 - Fuzzy_Parameters!$C$5)/(Fuzzy_Parameters!$C$6 - Fuzzy_Parameters!$C$5), 1), 0)</f>
        <v>0</v>
      </c>
      <c r="F238" s="25">
        <f>MAX(MIN(1, (Fuzzy_Parameters!$C$12 - Sheet6!D238)/(Fuzzy_Parameters!$C$12 - Fuzzy_Parameters!$C$11)), 0)</f>
        <v>0</v>
      </c>
      <c r="G238" s="25">
        <f>MAX(MIN((Sheet6!D238 - Fuzzy_Parameters!$C$11)/(Fuzzy_Parameters!$C$12 - Fuzzy_Parameters!$C$11), 1, (Fuzzy_Parameters!$C$14 - Sheet6!D238)/(Fuzzy_Parameters!$C$14 - Fuzzy_Parameters!$C$13)), 0)</f>
        <v>0.7215049326</v>
      </c>
      <c r="H238" s="25">
        <f>MAX(MIN((Sheet6!D238 - Fuzzy_Parameters!$C$13)/(Fuzzy_Parameters!$C$14 - Fuzzy_Parameters!$C$13), 1), 0)</f>
        <v>0.2784950674</v>
      </c>
      <c r="I238" s="25">
        <f>MAX(MIN(1, (Fuzzy_Parameters!$C$20 - Sheet6!E238)/(Fuzzy_Parameters!$C$20 - Fuzzy_Parameters!$C$19)), 0)</f>
        <v>0</v>
      </c>
      <c r="J238" s="25">
        <f>MAX(MIN((Sheet6!E238 - Fuzzy_Parameters!$C$19)/(Fuzzy_Parameters!$C$20 - Fuzzy_Parameters!$C$19), 1, (Fuzzy_Parameters!$C$22 - Sheet6!E238)/(Fuzzy_Parameters!$C$22 - Fuzzy_Parameters!$C$21)), 0)</f>
        <v>0.9255813953</v>
      </c>
      <c r="K238" s="25">
        <f>MAX(MIN((Sheet6!E238 - Fuzzy_Parameters!$C$21)/(Fuzzy_Parameters!$C$22 - Fuzzy_Parameters!$C$21), 1), 0)</f>
        <v>0.07441860465</v>
      </c>
      <c r="L238" s="25">
        <f>MAX(MIN(1, (Fuzzy_Parameters!$C$28 - Sheet6!F238)/(Fuzzy_Parameters!$C$28 - Fuzzy_Parameters!$C$27)), 0)</f>
        <v>0.7320330401</v>
      </c>
      <c r="M238" s="25">
        <f>MAX(MIN((Sheet6!F238 - Fuzzy_Parameters!$C$27)/(Fuzzy_Parameters!$C$28 - Fuzzy_Parameters!$C$27), 1, (Fuzzy_Parameters!$C$30 - Sheet6!F238)/(Fuzzy_Parameters!$C$30 - Fuzzy_Parameters!$C$29)), 0)</f>
        <v>0.2679669599</v>
      </c>
      <c r="N238" s="25">
        <f>MAX(MIN((Sheet6!F238 - Fuzzy_Parameters!$C$29)/(Fuzzy_Parameters!$C$30 - Fuzzy_Parameters!$C$29), 1), 0)</f>
        <v>0</v>
      </c>
    </row>
    <row r="239">
      <c r="A239" s="6" t="s">
        <v>27</v>
      </c>
      <c r="B239" s="26">
        <v>2019.0</v>
      </c>
      <c r="C239" s="25">
        <f>MAX(MIN(1, (Fuzzy_Parameters!$C$4 - Sheet6!C239)/(Fuzzy_Parameters!$C$4 - Fuzzy_Parameters!$C$3)), 0)</f>
        <v>0.3846152117</v>
      </c>
      <c r="D239" s="25">
        <f>MAX(MIN((Sheet6!C239 - Fuzzy_Parameters!$C$3)/(Fuzzy_Parameters!$C$4 - Fuzzy_Parameters!$C$3), 1, (Fuzzy_Parameters!$C$6 - Sheet6!C239)/(Fuzzy_Parameters!$C$6 - Fuzzy_Parameters!$C$5)), 0)</f>
        <v>0.6153847883</v>
      </c>
      <c r="E239" s="25">
        <f>MAX(MIN((Sheet6!C239 - Fuzzy_Parameters!$C$5)/(Fuzzy_Parameters!$C$6 - Fuzzy_Parameters!$C$5), 1), 0)</f>
        <v>0</v>
      </c>
      <c r="F239" s="25">
        <f>MAX(MIN(1, (Fuzzy_Parameters!$C$12 - Sheet6!D239)/(Fuzzy_Parameters!$C$12 - Fuzzy_Parameters!$C$11)), 0)</f>
        <v>0</v>
      </c>
      <c r="G239" s="25">
        <f>MAX(MIN((Sheet6!D239 - Fuzzy_Parameters!$C$11)/(Fuzzy_Parameters!$C$12 - Fuzzy_Parameters!$C$11), 1, (Fuzzy_Parameters!$C$14 - Sheet6!D239)/(Fuzzy_Parameters!$C$14 - Fuzzy_Parameters!$C$13)), 0)</f>
        <v>1</v>
      </c>
      <c r="H239" s="25">
        <f>MAX(MIN((Sheet6!D239 - Fuzzy_Parameters!$C$13)/(Fuzzy_Parameters!$C$14 - Fuzzy_Parameters!$C$13), 1), 0)</f>
        <v>0</v>
      </c>
      <c r="I239" s="25">
        <f>MAX(MIN(1, (Fuzzy_Parameters!$C$20 - Sheet6!E239)/(Fuzzy_Parameters!$C$20 - Fuzzy_Parameters!$C$19)), 0)</f>
        <v>0</v>
      </c>
      <c r="J239" s="25">
        <f>MAX(MIN((Sheet6!E239 - Fuzzy_Parameters!$C$19)/(Fuzzy_Parameters!$C$20 - Fuzzy_Parameters!$C$19), 1, (Fuzzy_Parameters!$C$22 - Sheet6!E239)/(Fuzzy_Parameters!$C$22 - Fuzzy_Parameters!$C$21)), 0)</f>
        <v>0.3813953488</v>
      </c>
      <c r="K239" s="25">
        <f>MAX(MIN((Sheet6!E239 - Fuzzy_Parameters!$C$21)/(Fuzzy_Parameters!$C$22 - Fuzzy_Parameters!$C$21), 1), 0)</f>
        <v>0.6186046512</v>
      </c>
      <c r="L239" s="25">
        <f>MAX(MIN(1, (Fuzzy_Parameters!$C$28 - Sheet6!F239)/(Fuzzy_Parameters!$C$28 - Fuzzy_Parameters!$C$27)), 0)</f>
        <v>0.6186246948</v>
      </c>
      <c r="M239" s="25">
        <f>MAX(MIN((Sheet6!F239 - Fuzzy_Parameters!$C$27)/(Fuzzy_Parameters!$C$28 - Fuzzy_Parameters!$C$27), 1, (Fuzzy_Parameters!$C$30 - Sheet6!F239)/(Fuzzy_Parameters!$C$30 - Fuzzy_Parameters!$C$29)), 0)</f>
        <v>0.3813753052</v>
      </c>
      <c r="N239" s="25">
        <f>MAX(MIN((Sheet6!F239 - Fuzzy_Parameters!$C$29)/(Fuzzy_Parameters!$C$30 - Fuzzy_Parameters!$C$29), 1), 0)</f>
        <v>0</v>
      </c>
    </row>
    <row r="240">
      <c r="A240" s="6" t="s">
        <v>27</v>
      </c>
      <c r="B240" s="26">
        <v>2018.0</v>
      </c>
      <c r="C240" s="25">
        <f>MAX(MIN(1, (Fuzzy_Parameters!$C$4 - Sheet6!C240)/(Fuzzy_Parameters!$C$4 - Fuzzy_Parameters!$C$3)), 0)</f>
        <v>0.7268679597</v>
      </c>
      <c r="D240" s="25">
        <f>MAX(MIN((Sheet6!C240 - Fuzzy_Parameters!$C$3)/(Fuzzy_Parameters!$C$4 - Fuzzy_Parameters!$C$3), 1, (Fuzzy_Parameters!$C$6 - Sheet6!C240)/(Fuzzy_Parameters!$C$6 - Fuzzy_Parameters!$C$5)), 0)</f>
        <v>0.2731320403</v>
      </c>
      <c r="E240" s="25">
        <f>MAX(MIN((Sheet6!C240 - Fuzzy_Parameters!$C$5)/(Fuzzy_Parameters!$C$6 - Fuzzy_Parameters!$C$5), 1), 0)</f>
        <v>0</v>
      </c>
      <c r="F240" s="25">
        <f>MAX(MIN(1, (Fuzzy_Parameters!$C$12 - Sheet6!D240)/(Fuzzy_Parameters!$C$12 - Fuzzy_Parameters!$C$11)), 0)</f>
        <v>0</v>
      </c>
      <c r="G240" s="25">
        <f>MAX(MIN((Sheet6!D240 - Fuzzy_Parameters!$C$11)/(Fuzzy_Parameters!$C$12 - Fuzzy_Parameters!$C$11), 1, (Fuzzy_Parameters!$C$14 - Sheet6!D240)/(Fuzzy_Parameters!$C$14 - Fuzzy_Parameters!$C$13)), 0)</f>
        <v>1</v>
      </c>
      <c r="H240" s="25">
        <f>MAX(MIN((Sheet6!D240 - Fuzzy_Parameters!$C$13)/(Fuzzy_Parameters!$C$14 - Fuzzy_Parameters!$C$13), 1), 0)</f>
        <v>0</v>
      </c>
      <c r="I240" s="25">
        <f>MAX(MIN(1, (Fuzzy_Parameters!$C$20 - Sheet6!E240)/(Fuzzy_Parameters!$C$20 - Fuzzy_Parameters!$C$19)), 0)</f>
        <v>0</v>
      </c>
      <c r="J240" s="25">
        <f>MAX(MIN((Sheet6!E240 - Fuzzy_Parameters!$C$19)/(Fuzzy_Parameters!$C$20 - Fuzzy_Parameters!$C$19), 1, (Fuzzy_Parameters!$C$22 - Sheet6!E240)/(Fuzzy_Parameters!$C$22 - Fuzzy_Parameters!$C$21)), 0)</f>
        <v>0.3488372093</v>
      </c>
      <c r="K240" s="25">
        <f>MAX(MIN((Sheet6!E240 - Fuzzy_Parameters!$C$21)/(Fuzzy_Parameters!$C$22 - Fuzzy_Parameters!$C$21), 1), 0)</f>
        <v>0.6511627907</v>
      </c>
      <c r="L240" s="25">
        <f>MAX(MIN(1, (Fuzzy_Parameters!$C$28 - Sheet6!F240)/(Fuzzy_Parameters!$C$28 - Fuzzy_Parameters!$C$27)), 0)</f>
        <v>0.7900040162</v>
      </c>
      <c r="M240" s="25">
        <f>MAX(MIN((Sheet6!F240 - Fuzzy_Parameters!$C$27)/(Fuzzy_Parameters!$C$28 - Fuzzy_Parameters!$C$27), 1, (Fuzzy_Parameters!$C$30 - Sheet6!F240)/(Fuzzy_Parameters!$C$30 - Fuzzy_Parameters!$C$29)), 0)</f>
        <v>0.2099959838</v>
      </c>
      <c r="N240" s="25">
        <f>MAX(MIN((Sheet6!F240 - Fuzzy_Parameters!$C$29)/(Fuzzy_Parameters!$C$30 - Fuzzy_Parameters!$C$29), 1), 0)</f>
        <v>0</v>
      </c>
    </row>
    <row r="241">
      <c r="A241" s="6" t="s">
        <v>27</v>
      </c>
      <c r="B241" s="26">
        <v>2017.0</v>
      </c>
      <c r="C241" s="25">
        <f>MAX(MIN(1, (Fuzzy_Parameters!$C$4 - Sheet6!C241)/(Fuzzy_Parameters!$C$4 - Fuzzy_Parameters!$C$3)), 0)</f>
        <v>1</v>
      </c>
      <c r="D241" s="25">
        <f>MAX(MIN((Sheet6!C241 - Fuzzy_Parameters!$C$3)/(Fuzzy_Parameters!$C$4 - Fuzzy_Parameters!$C$3), 1, (Fuzzy_Parameters!$C$6 - Sheet6!C241)/(Fuzzy_Parameters!$C$6 - Fuzzy_Parameters!$C$5)), 0)</f>
        <v>0</v>
      </c>
      <c r="E241" s="25">
        <f>MAX(MIN((Sheet6!C241 - Fuzzy_Parameters!$C$5)/(Fuzzy_Parameters!$C$6 - Fuzzy_Parameters!$C$5), 1), 0)</f>
        <v>0</v>
      </c>
      <c r="F241" s="25">
        <f>MAX(MIN(1, (Fuzzy_Parameters!$C$12 - Sheet6!D241)/(Fuzzy_Parameters!$C$12 - Fuzzy_Parameters!$C$11)), 0)</f>
        <v>1</v>
      </c>
      <c r="G241" s="25">
        <f>MAX(MIN((Sheet6!D241 - Fuzzy_Parameters!$C$11)/(Fuzzy_Parameters!$C$12 - Fuzzy_Parameters!$C$11), 1, (Fuzzy_Parameters!$C$14 - Sheet6!D241)/(Fuzzy_Parameters!$C$14 - Fuzzy_Parameters!$C$13)), 0)</f>
        <v>0</v>
      </c>
      <c r="H241" s="25">
        <f>MAX(MIN((Sheet6!D241 - Fuzzy_Parameters!$C$13)/(Fuzzy_Parameters!$C$14 - Fuzzy_Parameters!$C$13), 1), 0)</f>
        <v>0</v>
      </c>
      <c r="I241" s="25">
        <f>MAX(MIN(1, (Fuzzy_Parameters!$C$20 - Sheet6!E241)/(Fuzzy_Parameters!$C$20 - Fuzzy_Parameters!$C$19)), 0)</f>
        <v>0</v>
      </c>
      <c r="J241" s="25">
        <f>MAX(MIN((Sheet6!E241 - Fuzzy_Parameters!$C$19)/(Fuzzy_Parameters!$C$20 - Fuzzy_Parameters!$C$19), 1, (Fuzzy_Parameters!$C$22 - Sheet6!E241)/(Fuzzy_Parameters!$C$22 - Fuzzy_Parameters!$C$21)), 0)</f>
        <v>1</v>
      </c>
      <c r="K241" s="25">
        <f>MAX(MIN((Sheet6!E241 - Fuzzy_Parameters!$C$21)/(Fuzzy_Parameters!$C$22 - Fuzzy_Parameters!$C$21), 1), 0)</f>
        <v>0</v>
      </c>
      <c r="L241" s="25">
        <f>MAX(MIN(1, (Fuzzy_Parameters!$C$28 - Sheet6!F241)/(Fuzzy_Parameters!$C$28 - Fuzzy_Parameters!$C$27)), 0)</f>
        <v>0.4813673025</v>
      </c>
      <c r="M241" s="25">
        <f>MAX(MIN((Sheet6!F241 - Fuzzy_Parameters!$C$27)/(Fuzzy_Parameters!$C$28 - Fuzzy_Parameters!$C$27), 1, (Fuzzy_Parameters!$C$30 - Sheet6!F241)/(Fuzzy_Parameters!$C$30 - Fuzzy_Parameters!$C$29)), 0)</f>
        <v>0.5186326975</v>
      </c>
      <c r="N241" s="25">
        <f>MAX(MIN((Sheet6!F241 - Fuzzy_Parameters!$C$29)/(Fuzzy_Parameters!$C$30 - Fuzzy_Parameters!$C$29), 1), 0)</f>
        <v>0</v>
      </c>
    </row>
    <row r="242">
      <c r="A242" s="6" t="s">
        <v>27</v>
      </c>
      <c r="B242" s="26">
        <v>2016.0</v>
      </c>
      <c r="C242" s="25">
        <f>MAX(MIN(1, (Fuzzy_Parameters!$C$4 - Sheet6!C242)/(Fuzzy_Parameters!$C$4 - Fuzzy_Parameters!$C$3)), 0)</f>
        <v>1</v>
      </c>
      <c r="D242" s="25">
        <f>MAX(MIN((Sheet6!C242 - Fuzzy_Parameters!$C$3)/(Fuzzy_Parameters!$C$4 - Fuzzy_Parameters!$C$3), 1, (Fuzzy_Parameters!$C$6 - Sheet6!C242)/(Fuzzy_Parameters!$C$6 - Fuzzy_Parameters!$C$5)), 0)</f>
        <v>0</v>
      </c>
      <c r="E242" s="25">
        <f>MAX(MIN((Sheet6!C242 - Fuzzy_Parameters!$C$5)/(Fuzzy_Parameters!$C$6 - Fuzzy_Parameters!$C$5), 1), 0)</f>
        <v>0</v>
      </c>
      <c r="F242" s="25">
        <f>MAX(MIN(1, (Fuzzy_Parameters!$C$12 - Sheet6!D242)/(Fuzzy_Parameters!$C$12 - Fuzzy_Parameters!$C$11)), 0)</f>
        <v>0</v>
      </c>
      <c r="G242" s="25">
        <f>MAX(MIN((Sheet6!D242 - Fuzzy_Parameters!$C$11)/(Fuzzy_Parameters!$C$12 - Fuzzy_Parameters!$C$11), 1, (Fuzzy_Parameters!$C$14 - Sheet6!D242)/(Fuzzy_Parameters!$C$14 - Fuzzy_Parameters!$C$13)), 0)</f>
        <v>0</v>
      </c>
      <c r="H242" s="25">
        <f>MAX(MIN((Sheet6!D242 - Fuzzy_Parameters!$C$13)/(Fuzzy_Parameters!$C$14 - Fuzzy_Parameters!$C$13), 1), 0)</f>
        <v>1</v>
      </c>
      <c r="I242" s="25">
        <f>MAX(MIN(1, (Fuzzy_Parameters!$C$20 - Sheet6!E242)/(Fuzzy_Parameters!$C$20 - Fuzzy_Parameters!$C$19)), 0)</f>
        <v>0</v>
      </c>
      <c r="J242" s="25">
        <f>MAX(MIN((Sheet6!E242 - Fuzzy_Parameters!$C$19)/(Fuzzy_Parameters!$C$20 - Fuzzy_Parameters!$C$19), 1, (Fuzzy_Parameters!$C$22 - Sheet6!E242)/(Fuzzy_Parameters!$C$22 - Fuzzy_Parameters!$C$21)), 0)</f>
        <v>1</v>
      </c>
      <c r="K242" s="25">
        <f>MAX(MIN((Sheet6!E242 - Fuzzy_Parameters!$C$21)/(Fuzzy_Parameters!$C$22 - Fuzzy_Parameters!$C$21), 1), 0)</f>
        <v>0</v>
      </c>
      <c r="L242" s="25">
        <f>MAX(MIN(1, (Fuzzy_Parameters!$C$28 - Sheet6!F242)/(Fuzzy_Parameters!$C$28 - Fuzzy_Parameters!$C$27)), 0)</f>
        <v>1</v>
      </c>
      <c r="M242" s="25">
        <f>MAX(MIN((Sheet6!F242 - Fuzzy_Parameters!$C$27)/(Fuzzy_Parameters!$C$28 - Fuzzy_Parameters!$C$27), 1, (Fuzzy_Parameters!$C$30 - Sheet6!F242)/(Fuzzy_Parameters!$C$30 - Fuzzy_Parameters!$C$29)), 0)</f>
        <v>0</v>
      </c>
      <c r="N242" s="25">
        <f>MAX(MIN((Sheet6!F242 - Fuzzy_Parameters!$C$29)/(Fuzzy_Parameters!$C$30 - Fuzzy_Parameters!$C$29), 1), 0)</f>
        <v>0</v>
      </c>
    </row>
    <row r="243">
      <c r="A243" s="6" t="s">
        <v>27</v>
      </c>
      <c r="B243" s="26">
        <v>2015.0</v>
      </c>
      <c r="C243" s="25">
        <f>MAX(MIN(1, (Fuzzy_Parameters!$C$4 - Sheet6!C243)/(Fuzzy_Parameters!$C$4 - Fuzzy_Parameters!$C$3)), 0)</f>
        <v>1</v>
      </c>
      <c r="D243" s="25">
        <f>MAX(MIN((Sheet6!C243 - Fuzzy_Parameters!$C$3)/(Fuzzy_Parameters!$C$4 - Fuzzy_Parameters!$C$3), 1, (Fuzzy_Parameters!$C$6 - Sheet6!C243)/(Fuzzy_Parameters!$C$6 - Fuzzy_Parameters!$C$5)), 0)</f>
        <v>0</v>
      </c>
      <c r="E243" s="25">
        <f>MAX(MIN((Sheet6!C243 - Fuzzy_Parameters!$C$5)/(Fuzzy_Parameters!$C$6 - Fuzzy_Parameters!$C$5), 1), 0)</f>
        <v>0</v>
      </c>
      <c r="F243" s="25">
        <f>MAX(MIN(1, (Fuzzy_Parameters!$C$12 - Sheet6!D243)/(Fuzzy_Parameters!$C$12 - Fuzzy_Parameters!$C$11)), 0)</f>
        <v>0</v>
      </c>
      <c r="G243" s="25">
        <f>MAX(MIN((Sheet6!D243 - Fuzzy_Parameters!$C$11)/(Fuzzy_Parameters!$C$12 - Fuzzy_Parameters!$C$11), 1, (Fuzzy_Parameters!$C$14 - Sheet6!D243)/(Fuzzy_Parameters!$C$14 - Fuzzy_Parameters!$C$13)), 0)</f>
        <v>0.9769793291</v>
      </c>
      <c r="H243" s="25">
        <f>MAX(MIN((Sheet6!D243 - Fuzzy_Parameters!$C$13)/(Fuzzy_Parameters!$C$14 - Fuzzy_Parameters!$C$13), 1), 0)</f>
        <v>0.02302067085</v>
      </c>
      <c r="I243" s="25">
        <f>MAX(MIN(1, (Fuzzy_Parameters!$C$20 - Sheet6!E243)/(Fuzzy_Parameters!$C$20 - Fuzzy_Parameters!$C$19)), 0)</f>
        <v>0</v>
      </c>
      <c r="J243" s="25">
        <f>MAX(MIN((Sheet6!E243 - Fuzzy_Parameters!$C$19)/(Fuzzy_Parameters!$C$20 - Fuzzy_Parameters!$C$19), 1, (Fuzzy_Parameters!$C$22 - Sheet6!E243)/(Fuzzy_Parameters!$C$22 - Fuzzy_Parameters!$C$21)), 0)</f>
        <v>1</v>
      </c>
      <c r="K243" s="25">
        <f>MAX(MIN((Sheet6!E243 - Fuzzy_Parameters!$C$21)/(Fuzzy_Parameters!$C$22 - Fuzzy_Parameters!$C$21), 1), 0)</f>
        <v>0</v>
      </c>
      <c r="L243" s="25">
        <f>MAX(MIN(1, (Fuzzy_Parameters!$C$28 - Sheet6!F243)/(Fuzzy_Parameters!$C$28 - Fuzzy_Parameters!$C$27)), 0)</f>
        <v>1</v>
      </c>
      <c r="M243" s="25">
        <f>MAX(MIN((Sheet6!F243 - Fuzzy_Parameters!$C$27)/(Fuzzy_Parameters!$C$28 - Fuzzy_Parameters!$C$27), 1, (Fuzzy_Parameters!$C$30 - Sheet6!F243)/(Fuzzy_Parameters!$C$30 - Fuzzy_Parameters!$C$29)), 0)</f>
        <v>0</v>
      </c>
      <c r="N243" s="25">
        <f>MAX(MIN((Sheet6!F243 - Fuzzy_Parameters!$C$29)/(Fuzzy_Parameters!$C$30 - Fuzzy_Parameters!$C$29), 1), 0)</f>
        <v>0</v>
      </c>
    </row>
    <row r="244">
      <c r="A244" s="56" t="s">
        <v>27</v>
      </c>
      <c r="B244" s="57">
        <v>2014.0</v>
      </c>
      <c r="C244" s="25">
        <f>MAX(MIN(1, (Fuzzy_Parameters!$C$4 - Sheet6!C244)/(Fuzzy_Parameters!$C$4 - Fuzzy_Parameters!$C$3)), 0)</f>
        <v>1</v>
      </c>
      <c r="D244" s="25">
        <f>MAX(MIN((Sheet6!C244 - Fuzzy_Parameters!$C$3)/(Fuzzy_Parameters!$C$4 - Fuzzy_Parameters!$C$3), 1, (Fuzzy_Parameters!$C$6 - Sheet6!C244)/(Fuzzy_Parameters!$C$6 - Fuzzy_Parameters!$C$5)), 0)</f>
        <v>0</v>
      </c>
      <c r="E244" s="25">
        <f>MAX(MIN((Sheet6!C244 - Fuzzy_Parameters!$C$5)/(Fuzzy_Parameters!$C$6 - Fuzzy_Parameters!$C$5), 1), 0)</f>
        <v>0</v>
      </c>
      <c r="F244" s="25">
        <f>MAX(MIN(1, (Fuzzy_Parameters!$C$12 - Sheet6!D244)/(Fuzzy_Parameters!$C$12 - Fuzzy_Parameters!$C$11)), 0)</f>
        <v>0</v>
      </c>
      <c r="G244" s="25">
        <f>MAX(MIN((Sheet6!D244 - Fuzzy_Parameters!$C$11)/(Fuzzy_Parameters!$C$12 - Fuzzy_Parameters!$C$11), 1, (Fuzzy_Parameters!$C$14 - Sheet6!D244)/(Fuzzy_Parameters!$C$14 - Fuzzy_Parameters!$C$13)), 0)</f>
        <v>0.9573271105</v>
      </c>
      <c r="H244" s="25">
        <f>MAX(MIN((Sheet6!D244 - Fuzzy_Parameters!$C$13)/(Fuzzy_Parameters!$C$14 - Fuzzy_Parameters!$C$13), 1), 0)</f>
        <v>0.04267288951</v>
      </c>
      <c r="I244" s="25">
        <f>MAX(MIN(1, (Fuzzy_Parameters!$C$20 - Sheet6!E244)/(Fuzzy_Parameters!$C$20 - Fuzzy_Parameters!$C$19)), 0)</f>
        <v>0.3951612903</v>
      </c>
      <c r="J244" s="25">
        <f>MAX(MIN((Sheet6!E244 - Fuzzy_Parameters!$C$19)/(Fuzzy_Parameters!$C$20 - Fuzzy_Parameters!$C$19), 1, (Fuzzy_Parameters!$C$22 - Sheet6!E244)/(Fuzzy_Parameters!$C$22 - Fuzzy_Parameters!$C$21)), 0)</f>
        <v>0.6048387097</v>
      </c>
      <c r="K244" s="25">
        <f>MAX(MIN((Sheet6!E244 - Fuzzy_Parameters!$C$21)/(Fuzzy_Parameters!$C$22 - Fuzzy_Parameters!$C$21), 1), 0)</f>
        <v>0</v>
      </c>
      <c r="L244" s="25">
        <f>MAX(MIN(1, (Fuzzy_Parameters!$C$28 - Sheet6!F244)/(Fuzzy_Parameters!$C$28 - Fuzzy_Parameters!$C$27)), 0)</f>
        <v>0.8193171071</v>
      </c>
      <c r="M244" s="25">
        <f>MAX(MIN((Sheet6!F244 - Fuzzy_Parameters!$C$27)/(Fuzzy_Parameters!$C$28 - Fuzzy_Parameters!$C$27), 1, (Fuzzy_Parameters!$C$30 - Sheet6!F244)/(Fuzzy_Parameters!$C$30 - Fuzzy_Parameters!$C$29)), 0)</f>
        <v>0.1806828929</v>
      </c>
      <c r="N244" s="25">
        <f>MAX(MIN((Sheet6!F244 - Fuzzy_Parameters!$C$29)/(Fuzzy_Parameters!$C$30 - Fuzzy_Parameters!$C$29), 1), 0)</f>
        <v>0</v>
      </c>
    </row>
    <row r="245">
      <c r="A245" s="6" t="s">
        <v>28</v>
      </c>
      <c r="B245" s="26">
        <v>2022.0</v>
      </c>
      <c r="C245" s="25">
        <f>MAX(MIN(1, (Fuzzy_Parameters!$C$4 - Sheet6!C245)/(Fuzzy_Parameters!$C$4 - Fuzzy_Parameters!$C$3)), 0)</f>
        <v>1</v>
      </c>
      <c r="D245" s="25">
        <f>MAX(MIN((Sheet6!C245 - Fuzzy_Parameters!$C$3)/(Fuzzy_Parameters!$C$4 - Fuzzy_Parameters!$C$3), 1, (Fuzzy_Parameters!$C$6 - Sheet6!C245)/(Fuzzy_Parameters!$C$6 - Fuzzy_Parameters!$C$5)), 0)</f>
        <v>0</v>
      </c>
      <c r="E245" s="25">
        <f>MAX(MIN((Sheet6!C245 - Fuzzy_Parameters!$C$5)/(Fuzzy_Parameters!$C$6 - Fuzzy_Parameters!$C$5), 1), 0)</f>
        <v>0</v>
      </c>
      <c r="F245" s="25">
        <f>MAX(MIN(1, (Fuzzy_Parameters!$C$12 - Sheet6!D245)/(Fuzzy_Parameters!$C$12 - Fuzzy_Parameters!$C$11)), 0)</f>
        <v>0</v>
      </c>
      <c r="G245" s="25">
        <f>MAX(MIN((Sheet6!D245 - Fuzzy_Parameters!$C$11)/(Fuzzy_Parameters!$C$12 - Fuzzy_Parameters!$C$11), 1, (Fuzzy_Parameters!$C$14 - Sheet6!D245)/(Fuzzy_Parameters!$C$14 - Fuzzy_Parameters!$C$13)), 0)</f>
        <v>0.1184729823</v>
      </c>
      <c r="H245" s="25">
        <f>MAX(MIN((Sheet6!D245 - Fuzzy_Parameters!$C$13)/(Fuzzy_Parameters!$C$14 - Fuzzy_Parameters!$C$13), 1), 0)</f>
        <v>0.8815270177</v>
      </c>
      <c r="I245" s="25">
        <f>MAX(MIN(1, (Fuzzy_Parameters!$C$20 - Sheet6!E245)/(Fuzzy_Parameters!$C$20 - Fuzzy_Parameters!$C$19)), 0)</f>
        <v>0</v>
      </c>
      <c r="J245" s="25">
        <f>MAX(MIN((Sheet6!E245 - Fuzzy_Parameters!$C$19)/(Fuzzy_Parameters!$C$20 - Fuzzy_Parameters!$C$19), 1, (Fuzzy_Parameters!$C$22 - Sheet6!E245)/(Fuzzy_Parameters!$C$22 - Fuzzy_Parameters!$C$21)), 0)</f>
        <v>0</v>
      </c>
      <c r="K245" s="25">
        <f>MAX(MIN((Sheet6!E245 - Fuzzy_Parameters!$C$21)/(Fuzzy_Parameters!$C$22 - Fuzzy_Parameters!$C$21), 1), 0)</f>
        <v>1</v>
      </c>
      <c r="L245" s="25">
        <f>MAX(MIN(1, (Fuzzy_Parameters!$C$28 - Sheet6!F245)/(Fuzzy_Parameters!$C$28 - Fuzzy_Parameters!$C$27)), 0)</f>
        <v>1</v>
      </c>
      <c r="M245" s="25">
        <f>MAX(MIN((Sheet6!F245 - Fuzzy_Parameters!$C$27)/(Fuzzy_Parameters!$C$28 - Fuzzy_Parameters!$C$27), 1, (Fuzzy_Parameters!$C$30 - Sheet6!F245)/(Fuzzy_Parameters!$C$30 - Fuzzy_Parameters!$C$29)), 0)</f>
        <v>0</v>
      </c>
      <c r="N245" s="25">
        <f>MAX(MIN((Sheet6!F245 - Fuzzy_Parameters!$C$29)/(Fuzzy_Parameters!$C$30 - Fuzzy_Parameters!$C$29), 1), 0)</f>
        <v>0</v>
      </c>
    </row>
    <row r="246">
      <c r="A246" s="6" t="s">
        <v>28</v>
      </c>
      <c r="B246" s="26">
        <v>2021.0</v>
      </c>
      <c r="C246" s="25">
        <f>MAX(MIN(1, (Fuzzy_Parameters!$C$4 - Sheet6!C246)/(Fuzzy_Parameters!$C$4 - Fuzzy_Parameters!$C$3)), 0)</f>
        <v>1</v>
      </c>
      <c r="D246" s="25">
        <f>MAX(MIN((Sheet6!C246 - Fuzzy_Parameters!$C$3)/(Fuzzy_Parameters!$C$4 - Fuzzy_Parameters!$C$3), 1, (Fuzzy_Parameters!$C$6 - Sheet6!C246)/(Fuzzy_Parameters!$C$6 - Fuzzy_Parameters!$C$5)), 0)</f>
        <v>0</v>
      </c>
      <c r="E246" s="25">
        <f>MAX(MIN((Sheet6!C246 - Fuzzy_Parameters!$C$5)/(Fuzzy_Parameters!$C$6 - Fuzzy_Parameters!$C$5), 1), 0)</f>
        <v>0</v>
      </c>
      <c r="F246" s="25">
        <f>MAX(MIN(1, (Fuzzy_Parameters!$C$12 - Sheet6!D246)/(Fuzzy_Parameters!$C$12 - Fuzzy_Parameters!$C$11)), 0)</f>
        <v>1</v>
      </c>
      <c r="G246" s="25">
        <f>MAX(MIN((Sheet6!D246 - Fuzzy_Parameters!$C$11)/(Fuzzy_Parameters!$C$12 - Fuzzy_Parameters!$C$11), 1, (Fuzzy_Parameters!$C$14 - Sheet6!D246)/(Fuzzy_Parameters!$C$14 - Fuzzy_Parameters!$C$13)), 0)</f>
        <v>0</v>
      </c>
      <c r="H246" s="25">
        <f>MAX(MIN((Sheet6!D246 - Fuzzy_Parameters!$C$13)/(Fuzzy_Parameters!$C$14 - Fuzzy_Parameters!$C$13), 1), 0)</f>
        <v>0</v>
      </c>
      <c r="I246" s="25">
        <f>MAX(MIN(1, (Fuzzy_Parameters!$C$20 - Sheet6!E246)/(Fuzzy_Parameters!$C$20 - Fuzzy_Parameters!$C$19)), 0)</f>
        <v>0</v>
      </c>
      <c r="J246" s="25">
        <f>MAX(MIN((Sheet6!E246 - Fuzzy_Parameters!$C$19)/(Fuzzy_Parameters!$C$20 - Fuzzy_Parameters!$C$19), 1, (Fuzzy_Parameters!$C$22 - Sheet6!E246)/(Fuzzy_Parameters!$C$22 - Fuzzy_Parameters!$C$21)), 0)</f>
        <v>0</v>
      </c>
      <c r="K246" s="25">
        <f>MAX(MIN((Sheet6!E246 - Fuzzy_Parameters!$C$21)/(Fuzzy_Parameters!$C$22 - Fuzzy_Parameters!$C$21), 1), 0)</f>
        <v>1</v>
      </c>
      <c r="L246" s="25">
        <f>MAX(MIN(1, (Fuzzy_Parameters!$C$28 - Sheet6!F246)/(Fuzzy_Parameters!$C$28 - Fuzzy_Parameters!$C$27)), 0)</f>
        <v>1</v>
      </c>
      <c r="M246" s="25">
        <f>MAX(MIN((Sheet6!F246 - Fuzzy_Parameters!$C$27)/(Fuzzy_Parameters!$C$28 - Fuzzy_Parameters!$C$27), 1, (Fuzzy_Parameters!$C$30 - Sheet6!F246)/(Fuzzy_Parameters!$C$30 - Fuzzy_Parameters!$C$29)), 0)</f>
        <v>0</v>
      </c>
      <c r="N246" s="25">
        <f>MAX(MIN((Sheet6!F246 - Fuzzy_Parameters!$C$29)/(Fuzzy_Parameters!$C$30 - Fuzzy_Parameters!$C$29), 1), 0)</f>
        <v>0</v>
      </c>
    </row>
    <row r="247">
      <c r="A247" s="6" t="s">
        <v>28</v>
      </c>
      <c r="B247" s="26">
        <v>2020.0</v>
      </c>
      <c r="C247" s="25">
        <f>MAX(MIN(1, (Fuzzy_Parameters!$C$4 - Sheet6!C247)/(Fuzzy_Parameters!$C$4 - Fuzzy_Parameters!$C$3)), 0)</f>
        <v>1</v>
      </c>
      <c r="D247" s="25">
        <f>MAX(MIN((Sheet6!C247 - Fuzzy_Parameters!$C$3)/(Fuzzy_Parameters!$C$4 - Fuzzy_Parameters!$C$3), 1, (Fuzzy_Parameters!$C$6 - Sheet6!C247)/(Fuzzy_Parameters!$C$6 - Fuzzy_Parameters!$C$5)), 0)</f>
        <v>0</v>
      </c>
      <c r="E247" s="25">
        <f>MAX(MIN((Sheet6!C247 - Fuzzy_Parameters!$C$5)/(Fuzzy_Parameters!$C$6 - Fuzzy_Parameters!$C$5), 1), 0)</f>
        <v>0</v>
      </c>
      <c r="F247" s="25">
        <f>MAX(MIN(1, (Fuzzy_Parameters!$C$12 - Sheet6!D247)/(Fuzzy_Parameters!$C$12 - Fuzzy_Parameters!$C$11)), 0)</f>
        <v>0</v>
      </c>
      <c r="G247" s="25">
        <f>MAX(MIN((Sheet6!D247 - Fuzzy_Parameters!$C$11)/(Fuzzy_Parameters!$C$12 - Fuzzy_Parameters!$C$11), 1, (Fuzzy_Parameters!$C$14 - Sheet6!D247)/(Fuzzy_Parameters!$C$14 - Fuzzy_Parameters!$C$13)), 0)</f>
        <v>0</v>
      </c>
      <c r="H247" s="25">
        <f>MAX(MIN((Sheet6!D247 - Fuzzy_Parameters!$C$13)/(Fuzzy_Parameters!$C$14 - Fuzzy_Parameters!$C$13), 1), 0)</f>
        <v>1</v>
      </c>
      <c r="I247" s="25">
        <f>MAX(MIN(1, (Fuzzy_Parameters!$C$20 - Sheet6!E247)/(Fuzzy_Parameters!$C$20 - Fuzzy_Parameters!$C$19)), 0)</f>
        <v>0</v>
      </c>
      <c r="J247" s="25">
        <f>MAX(MIN((Sheet6!E247 - Fuzzy_Parameters!$C$19)/(Fuzzy_Parameters!$C$20 - Fuzzy_Parameters!$C$19), 1, (Fuzzy_Parameters!$C$22 - Sheet6!E247)/(Fuzzy_Parameters!$C$22 - Fuzzy_Parameters!$C$21)), 0)</f>
        <v>0.4837209302</v>
      </c>
      <c r="K247" s="25">
        <f>MAX(MIN((Sheet6!E247 - Fuzzy_Parameters!$C$21)/(Fuzzy_Parameters!$C$22 - Fuzzy_Parameters!$C$21), 1), 0)</f>
        <v>0.5162790698</v>
      </c>
      <c r="L247" s="25">
        <f>MAX(MIN(1, (Fuzzy_Parameters!$C$28 - Sheet6!F247)/(Fuzzy_Parameters!$C$28 - Fuzzy_Parameters!$C$27)), 0)</f>
        <v>1</v>
      </c>
      <c r="M247" s="25">
        <f>MAX(MIN((Sheet6!F247 - Fuzzy_Parameters!$C$27)/(Fuzzy_Parameters!$C$28 - Fuzzy_Parameters!$C$27), 1, (Fuzzy_Parameters!$C$30 - Sheet6!F247)/(Fuzzy_Parameters!$C$30 - Fuzzy_Parameters!$C$29)), 0)</f>
        <v>0</v>
      </c>
      <c r="N247" s="25">
        <f>MAX(MIN((Sheet6!F247 - Fuzzy_Parameters!$C$29)/(Fuzzy_Parameters!$C$30 - Fuzzy_Parameters!$C$29), 1), 0)</f>
        <v>0</v>
      </c>
    </row>
    <row r="248">
      <c r="A248" s="6" t="s">
        <v>28</v>
      </c>
      <c r="B248" s="26">
        <v>2019.0</v>
      </c>
      <c r="C248" s="25">
        <f>MAX(MIN(1, (Fuzzy_Parameters!$C$4 - Sheet6!C248)/(Fuzzy_Parameters!$C$4 - Fuzzy_Parameters!$C$3)), 0)</f>
        <v>1</v>
      </c>
      <c r="D248" s="25">
        <f>MAX(MIN((Sheet6!C248 - Fuzzy_Parameters!$C$3)/(Fuzzy_Parameters!$C$4 - Fuzzy_Parameters!$C$3), 1, (Fuzzy_Parameters!$C$6 - Sheet6!C248)/(Fuzzy_Parameters!$C$6 - Fuzzy_Parameters!$C$5)), 0)</f>
        <v>0</v>
      </c>
      <c r="E248" s="25">
        <f>MAX(MIN((Sheet6!C248 - Fuzzy_Parameters!$C$5)/(Fuzzy_Parameters!$C$6 - Fuzzy_Parameters!$C$5), 1), 0)</f>
        <v>0</v>
      </c>
      <c r="F248" s="25">
        <f>MAX(MIN(1, (Fuzzy_Parameters!$C$12 - Sheet6!D248)/(Fuzzy_Parameters!$C$12 - Fuzzy_Parameters!$C$11)), 0)</f>
        <v>0</v>
      </c>
      <c r="G248" s="25">
        <f>MAX(MIN((Sheet6!D248 - Fuzzy_Parameters!$C$11)/(Fuzzy_Parameters!$C$12 - Fuzzy_Parameters!$C$11), 1, (Fuzzy_Parameters!$C$14 - Sheet6!D248)/(Fuzzy_Parameters!$C$14 - Fuzzy_Parameters!$C$13)), 0)</f>
        <v>0</v>
      </c>
      <c r="H248" s="25">
        <f>MAX(MIN((Sheet6!D248 - Fuzzy_Parameters!$C$13)/(Fuzzy_Parameters!$C$14 - Fuzzy_Parameters!$C$13), 1), 0)</f>
        <v>1</v>
      </c>
      <c r="I248" s="25">
        <f>MAX(MIN(1, (Fuzzy_Parameters!$C$20 - Sheet6!E248)/(Fuzzy_Parameters!$C$20 - Fuzzy_Parameters!$C$19)), 0)</f>
        <v>0</v>
      </c>
      <c r="J248" s="25">
        <f>MAX(MIN((Sheet6!E248 - Fuzzy_Parameters!$C$19)/(Fuzzy_Parameters!$C$20 - Fuzzy_Parameters!$C$19), 1, (Fuzzy_Parameters!$C$22 - Sheet6!E248)/(Fuzzy_Parameters!$C$22 - Fuzzy_Parameters!$C$21)), 0)</f>
        <v>0.6418604651</v>
      </c>
      <c r="K248" s="25">
        <f>MAX(MIN((Sheet6!E248 - Fuzzy_Parameters!$C$21)/(Fuzzy_Parameters!$C$22 - Fuzzy_Parameters!$C$21), 1), 0)</f>
        <v>0.3581395349</v>
      </c>
      <c r="L248" s="25">
        <f>MAX(MIN(1, (Fuzzy_Parameters!$C$28 - Sheet6!F248)/(Fuzzy_Parameters!$C$28 - Fuzzy_Parameters!$C$27)), 0)</f>
        <v>1</v>
      </c>
      <c r="M248" s="25">
        <f>MAX(MIN((Sheet6!F248 - Fuzzy_Parameters!$C$27)/(Fuzzy_Parameters!$C$28 - Fuzzy_Parameters!$C$27), 1, (Fuzzy_Parameters!$C$30 - Sheet6!F248)/(Fuzzy_Parameters!$C$30 - Fuzzy_Parameters!$C$29)), 0)</f>
        <v>0</v>
      </c>
      <c r="N248" s="25">
        <f>MAX(MIN((Sheet6!F248 - Fuzzy_Parameters!$C$29)/(Fuzzy_Parameters!$C$30 - Fuzzy_Parameters!$C$29), 1), 0)</f>
        <v>0</v>
      </c>
    </row>
    <row r="249">
      <c r="A249" s="6" t="s">
        <v>28</v>
      </c>
      <c r="B249" s="26">
        <v>2018.0</v>
      </c>
      <c r="C249" s="25">
        <f>MAX(MIN(1, (Fuzzy_Parameters!$C$4 - Sheet6!C249)/(Fuzzy_Parameters!$C$4 - Fuzzy_Parameters!$C$3)), 0)</f>
        <v>1</v>
      </c>
      <c r="D249" s="25">
        <f>MAX(MIN((Sheet6!C249 - Fuzzy_Parameters!$C$3)/(Fuzzy_Parameters!$C$4 - Fuzzy_Parameters!$C$3), 1, (Fuzzy_Parameters!$C$6 - Sheet6!C249)/(Fuzzy_Parameters!$C$6 - Fuzzy_Parameters!$C$5)), 0)</f>
        <v>0</v>
      </c>
      <c r="E249" s="25">
        <f>MAX(MIN((Sheet6!C249 - Fuzzy_Parameters!$C$5)/(Fuzzy_Parameters!$C$6 - Fuzzy_Parameters!$C$5), 1), 0)</f>
        <v>0</v>
      </c>
      <c r="F249" s="25">
        <f>MAX(MIN(1, (Fuzzy_Parameters!$C$12 - Sheet6!D249)/(Fuzzy_Parameters!$C$12 - Fuzzy_Parameters!$C$11)), 0)</f>
        <v>0</v>
      </c>
      <c r="G249" s="25">
        <f>MAX(MIN((Sheet6!D249 - Fuzzy_Parameters!$C$11)/(Fuzzy_Parameters!$C$12 - Fuzzy_Parameters!$C$11), 1, (Fuzzy_Parameters!$C$14 - Sheet6!D249)/(Fuzzy_Parameters!$C$14 - Fuzzy_Parameters!$C$13)), 0)</f>
        <v>0</v>
      </c>
      <c r="H249" s="25">
        <f>MAX(MIN((Sheet6!D249 - Fuzzy_Parameters!$C$13)/(Fuzzy_Parameters!$C$14 - Fuzzy_Parameters!$C$13), 1), 0)</f>
        <v>1</v>
      </c>
      <c r="I249" s="25">
        <f>MAX(MIN(1, (Fuzzy_Parameters!$C$20 - Sheet6!E249)/(Fuzzy_Parameters!$C$20 - Fuzzy_Parameters!$C$19)), 0)</f>
        <v>0</v>
      </c>
      <c r="J249" s="25">
        <f>MAX(MIN((Sheet6!E249 - Fuzzy_Parameters!$C$19)/(Fuzzy_Parameters!$C$20 - Fuzzy_Parameters!$C$19), 1, (Fuzzy_Parameters!$C$22 - Sheet6!E249)/(Fuzzy_Parameters!$C$22 - Fuzzy_Parameters!$C$21)), 0)</f>
        <v>0.2790697674</v>
      </c>
      <c r="K249" s="25">
        <f>MAX(MIN((Sheet6!E249 - Fuzzy_Parameters!$C$21)/(Fuzzy_Parameters!$C$22 - Fuzzy_Parameters!$C$21), 1), 0)</f>
        <v>0.7209302326</v>
      </c>
      <c r="L249" s="25">
        <f>MAX(MIN(1, (Fuzzy_Parameters!$C$28 - Sheet6!F249)/(Fuzzy_Parameters!$C$28 - Fuzzy_Parameters!$C$27)), 0)</f>
        <v>1</v>
      </c>
      <c r="M249" s="25">
        <f>MAX(MIN((Sheet6!F249 - Fuzzy_Parameters!$C$27)/(Fuzzy_Parameters!$C$28 - Fuzzy_Parameters!$C$27), 1, (Fuzzy_Parameters!$C$30 - Sheet6!F249)/(Fuzzy_Parameters!$C$30 - Fuzzy_Parameters!$C$29)), 0)</f>
        <v>0</v>
      </c>
      <c r="N249" s="25">
        <f>MAX(MIN((Sheet6!F249 - Fuzzy_Parameters!$C$29)/(Fuzzy_Parameters!$C$30 - Fuzzy_Parameters!$C$29), 1), 0)</f>
        <v>0</v>
      </c>
    </row>
    <row r="250">
      <c r="A250" s="6" t="s">
        <v>28</v>
      </c>
      <c r="B250" s="26">
        <v>2017.0</v>
      </c>
      <c r="C250" s="25">
        <f>MAX(MIN(1, (Fuzzy_Parameters!$C$4 - Sheet6!C250)/(Fuzzy_Parameters!$C$4 - Fuzzy_Parameters!$C$3)), 0)</f>
        <v>1</v>
      </c>
      <c r="D250" s="25">
        <f>MAX(MIN((Sheet6!C250 - Fuzzy_Parameters!$C$3)/(Fuzzy_Parameters!$C$4 - Fuzzy_Parameters!$C$3), 1, (Fuzzy_Parameters!$C$6 - Sheet6!C250)/(Fuzzy_Parameters!$C$6 - Fuzzy_Parameters!$C$5)), 0)</f>
        <v>0</v>
      </c>
      <c r="E250" s="25">
        <f>MAX(MIN((Sheet6!C250 - Fuzzy_Parameters!$C$5)/(Fuzzy_Parameters!$C$6 - Fuzzy_Parameters!$C$5), 1), 0)</f>
        <v>0</v>
      </c>
      <c r="F250" s="25">
        <f>MAX(MIN(1, (Fuzzy_Parameters!$C$12 - Sheet6!D250)/(Fuzzy_Parameters!$C$12 - Fuzzy_Parameters!$C$11)), 0)</f>
        <v>1</v>
      </c>
      <c r="G250" s="25">
        <f>MAX(MIN((Sheet6!D250 - Fuzzy_Parameters!$C$11)/(Fuzzy_Parameters!$C$12 - Fuzzy_Parameters!$C$11), 1, (Fuzzy_Parameters!$C$14 - Sheet6!D250)/(Fuzzy_Parameters!$C$14 - Fuzzy_Parameters!$C$13)), 0)</f>
        <v>0</v>
      </c>
      <c r="H250" s="25">
        <f>MAX(MIN((Sheet6!D250 - Fuzzy_Parameters!$C$13)/(Fuzzy_Parameters!$C$14 - Fuzzy_Parameters!$C$13), 1), 0)</f>
        <v>0</v>
      </c>
      <c r="I250" s="25">
        <f>MAX(MIN(1, (Fuzzy_Parameters!$C$20 - Sheet6!E250)/(Fuzzy_Parameters!$C$20 - Fuzzy_Parameters!$C$19)), 0)</f>
        <v>0</v>
      </c>
      <c r="J250" s="25">
        <f>MAX(MIN((Sheet6!E250 - Fuzzy_Parameters!$C$19)/(Fuzzy_Parameters!$C$20 - Fuzzy_Parameters!$C$19), 1, (Fuzzy_Parameters!$C$22 - Sheet6!E250)/(Fuzzy_Parameters!$C$22 - Fuzzy_Parameters!$C$21)), 0)</f>
        <v>0.4930232558</v>
      </c>
      <c r="K250" s="25">
        <f>MAX(MIN((Sheet6!E250 - Fuzzy_Parameters!$C$21)/(Fuzzy_Parameters!$C$22 - Fuzzy_Parameters!$C$21), 1), 0)</f>
        <v>0.5069767442</v>
      </c>
      <c r="L250" s="25">
        <f>MAX(MIN(1, (Fuzzy_Parameters!$C$28 - Sheet6!F250)/(Fuzzy_Parameters!$C$28 - Fuzzy_Parameters!$C$27)), 0)</f>
        <v>1</v>
      </c>
      <c r="M250" s="25">
        <f>MAX(MIN((Sheet6!F250 - Fuzzy_Parameters!$C$27)/(Fuzzy_Parameters!$C$28 - Fuzzy_Parameters!$C$27), 1, (Fuzzy_Parameters!$C$30 - Sheet6!F250)/(Fuzzy_Parameters!$C$30 - Fuzzy_Parameters!$C$29)), 0)</f>
        <v>0</v>
      </c>
      <c r="N250" s="25">
        <f>MAX(MIN((Sheet6!F250 - Fuzzy_Parameters!$C$29)/(Fuzzy_Parameters!$C$30 - Fuzzy_Parameters!$C$29), 1), 0)</f>
        <v>0</v>
      </c>
    </row>
    <row r="251">
      <c r="A251" s="6" t="s">
        <v>28</v>
      </c>
      <c r="B251" s="26">
        <v>2016.0</v>
      </c>
      <c r="C251" s="25">
        <f>MAX(MIN(1, (Fuzzy_Parameters!$C$4 - Sheet6!C251)/(Fuzzy_Parameters!$C$4 - Fuzzy_Parameters!$C$3)), 0)</f>
        <v>1</v>
      </c>
      <c r="D251" s="25">
        <f>MAX(MIN((Sheet6!C251 - Fuzzy_Parameters!$C$3)/(Fuzzy_Parameters!$C$4 - Fuzzy_Parameters!$C$3), 1, (Fuzzy_Parameters!$C$6 - Sheet6!C251)/(Fuzzy_Parameters!$C$6 - Fuzzy_Parameters!$C$5)), 0)</f>
        <v>0</v>
      </c>
      <c r="E251" s="25">
        <f>MAX(MIN((Sheet6!C251 - Fuzzy_Parameters!$C$5)/(Fuzzy_Parameters!$C$6 - Fuzzy_Parameters!$C$5), 1), 0)</f>
        <v>0</v>
      </c>
      <c r="F251" s="25">
        <f>MAX(MIN(1, (Fuzzy_Parameters!$C$12 - Sheet6!D251)/(Fuzzy_Parameters!$C$12 - Fuzzy_Parameters!$C$11)), 0)</f>
        <v>0</v>
      </c>
      <c r="G251" s="25">
        <f>MAX(MIN((Sheet6!D251 - Fuzzy_Parameters!$C$11)/(Fuzzy_Parameters!$C$12 - Fuzzy_Parameters!$C$11), 1, (Fuzzy_Parameters!$C$14 - Sheet6!D251)/(Fuzzy_Parameters!$C$14 - Fuzzy_Parameters!$C$13)), 0)</f>
        <v>0</v>
      </c>
      <c r="H251" s="25">
        <f>MAX(MIN((Sheet6!D251 - Fuzzy_Parameters!$C$13)/(Fuzzy_Parameters!$C$14 - Fuzzy_Parameters!$C$13), 1), 0)</f>
        <v>1</v>
      </c>
      <c r="I251" s="25">
        <f>MAX(MIN(1, (Fuzzy_Parameters!$C$20 - Sheet6!E251)/(Fuzzy_Parameters!$C$20 - Fuzzy_Parameters!$C$19)), 0)</f>
        <v>0</v>
      </c>
      <c r="J251" s="25">
        <f>MAX(MIN((Sheet6!E251 - Fuzzy_Parameters!$C$19)/(Fuzzy_Parameters!$C$20 - Fuzzy_Parameters!$C$19), 1, (Fuzzy_Parameters!$C$22 - Sheet6!E251)/(Fuzzy_Parameters!$C$22 - Fuzzy_Parameters!$C$21)), 0)</f>
        <v>1</v>
      </c>
      <c r="K251" s="25">
        <f>MAX(MIN((Sheet6!E251 - Fuzzy_Parameters!$C$21)/(Fuzzy_Parameters!$C$22 - Fuzzy_Parameters!$C$21), 1), 0)</f>
        <v>0</v>
      </c>
      <c r="L251" s="25">
        <f>MAX(MIN(1, (Fuzzy_Parameters!$C$28 - Sheet6!F251)/(Fuzzy_Parameters!$C$28 - Fuzzy_Parameters!$C$27)), 0)</f>
        <v>1</v>
      </c>
      <c r="M251" s="25">
        <f>MAX(MIN((Sheet6!F251 - Fuzzy_Parameters!$C$27)/(Fuzzy_Parameters!$C$28 - Fuzzy_Parameters!$C$27), 1, (Fuzzy_Parameters!$C$30 - Sheet6!F251)/(Fuzzy_Parameters!$C$30 - Fuzzy_Parameters!$C$29)), 0)</f>
        <v>0</v>
      </c>
      <c r="N251" s="25">
        <f>MAX(MIN((Sheet6!F251 - Fuzzy_Parameters!$C$29)/(Fuzzy_Parameters!$C$30 - Fuzzy_Parameters!$C$29), 1), 0)</f>
        <v>0</v>
      </c>
    </row>
    <row r="252">
      <c r="A252" s="6" t="s">
        <v>28</v>
      </c>
      <c r="B252" s="26">
        <v>2015.0</v>
      </c>
      <c r="C252" s="25">
        <f>MAX(MIN(1, (Fuzzy_Parameters!$C$4 - Sheet6!C252)/(Fuzzy_Parameters!$C$4 - Fuzzy_Parameters!$C$3)), 0)</f>
        <v>0</v>
      </c>
      <c r="D252" s="25">
        <f>MAX(MIN((Sheet6!C252 - Fuzzy_Parameters!$C$3)/(Fuzzy_Parameters!$C$4 - Fuzzy_Parameters!$C$3), 1, (Fuzzy_Parameters!$C$6 - Sheet6!C252)/(Fuzzy_Parameters!$C$6 - Fuzzy_Parameters!$C$5)), 0)</f>
        <v>1</v>
      </c>
      <c r="E252" s="25">
        <f>MAX(MIN((Sheet6!C252 - Fuzzy_Parameters!$C$5)/(Fuzzy_Parameters!$C$6 - Fuzzy_Parameters!$C$5), 1), 0)</f>
        <v>0</v>
      </c>
      <c r="F252" s="25">
        <f>MAX(MIN(1, (Fuzzy_Parameters!$C$12 - Sheet6!D252)/(Fuzzy_Parameters!$C$12 - Fuzzy_Parameters!$C$11)), 0)</f>
        <v>0</v>
      </c>
      <c r="G252" s="25">
        <f>MAX(MIN((Sheet6!D252 - Fuzzy_Parameters!$C$11)/(Fuzzy_Parameters!$C$12 - Fuzzy_Parameters!$C$11), 1, (Fuzzy_Parameters!$C$14 - Sheet6!D252)/(Fuzzy_Parameters!$C$14 - Fuzzy_Parameters!$C$13)), 0)</f>
        <v>0.9387982427</v>
      </c>
      <c r="H252" s="25">
        <f>MAX(MIN((Sheet6!D252 - Fuzzy_Parameters!$C$13)/(Fuzzy_Parameters!$C$14 - Fuzzy_Parameters!$C$13), 1), 0)</f>
        <v>0.06120175727</v>
      </c>
      <c r="I252" s="25">
        <f>MAX(MIN(1, (Fuzzy_Parameters!$C$20 - Sheet6!E252)/(Fuzzy_Parameters!$C$20 - Fuzzy_Parameters!$C$19)), 0)</f>
        <v>0.3870967742</v>
      </c>
      <c r="J252" s="25">
        <f>MAX(MIN((Sheet6!E252 - Fuzzy_Parameters!$C$19)/(Fuzzy_Parameters!$C$20 - Fuzzy_Parameters!$C$19), 1, (Fuzzy_Parameters!$C$22 - Sheet6!E252)/(Fuzzy_Parameters!$C$22 - Fuzzy_Parameters!$C$21)), 0)</f>
        <v>0.6129032258</v>
      </c>
      <c r="K252" s="25">
        <f>MAX(MIN((Sheet6!E252 - Fuzzy_Parameters!$C$21)/(Fuzzy_Parameters!$C$22 - Fuzzy_Parameters!$C$21), 1), 0)</f>
        <v>0</v>
      </c>
      <c r="L252" s="25">
        <f>MAX(MIN(1, (Fuzzy_Parameters!$C$28 - Sheet6!F252)/(Fuzzy_Parameters!$C$28 - Fuzzy_Parameters!$C$27)), 0)</f>
        <v>1</v>
      </c>
      <c r="M252" s="25">
        <f>MAX(MIN((Sheet6!F252 - Fuzzy_Parameters!$C$27)/(Fuzzy_Parameters!$C$28 - Fuzzy_Parameters!$C$27), 1, (Fuzzy_Parameters!$C$30 - Sheet6!F252)/(Fuzzy_Parameters!$C$30 - Fuzzy_Parameters!$C$29)), 0)</f>
        <v>0</v>
      </c>
      <c r="N252" s="25">
        <f>MAX(MIN((Sheet6!F252 - Fuzzy_Parameters!$C$29)/(Fuzzy_Parameters!$C$30 - Fuzzy_Parameters!$C$29), 1), 0)</f>
        <v>0</v>
      </c>
    </row>
    <row r="253">
      <c r="A253" s="56" t="s">
        <v>28</v>
      </c>
      <c r="B253" s="57">
        <v>2014.0</v>
      </c>
      <c r="C253" s="25">
        <f>MAX(MIN(1, (Fuzzy_Parameters!$C$4 - Sheet6!C253)/(Fuzzy_Parameters!$C$4 - Fuzzy_Parameters!$C$3)), 0)</f>
        <v>1</v>
      </c>
      <c r="D253" s="25">
        <f>MAX(MIN((Sheet6!C253 - Fuzzy_Parameters!$C$3)/(Fuzzy_Parameters!$C$4 - Fuzzy_Parameters!$C$3), 1, (Fuzzy_Parameters!$C$6 - Sheet6!C253)/(Fuzzy_Parameters!$C$6 - Fuzzy_Parameters!$C$5)), 0)</f>
        <v>0</v>
      </c>
      <c r="E253" s="25">
        <f>MAX(MIN((Sheet6!C253 - Fuzzy_Parameters!$C$5)/(Fuzzy_Parameters!$C$6 - Fuzzy_Parameters!$C$5), 1), 0)</f>
        <v>0</v>
      </c>
      <c r="F253" s="25">
        <f>MAX(MIN(1, (Fuzzy_Parameters!$C$12 - Sheet6!D253)/(Fuzzy_Parameters!$C$12 - Fuzzy_Parameters!$C$11)), 0)</f>
        <v>1</v>
      </c>
      <c r="G253" s="25">
        <f>MAX(MIN((Sheet6!D253 - Fuzzy_Parameters!$C$11)/(Fuzzy_Parameters!$C$12 - Fuzzy_Parameters!$C$11), 1, (Fuzzy_Parameters!$C$14 - Sheet6!D253)/(Fuzzy_Parameters!$C$14 - Fuzzy_Parameters!$C$13)), 0)</f>
        <v>0</v>
      </c>
      <c r="H253" s="25">
        <f>MAX(MIN((Sheet6!D253 - Fuzzy_Parameters!$C$13)/(Fuzzy_Parameters!$C$14 - Fuzzy_Parameters!$C$13), 1), 0)</f>
        <v>0</v>
      </c>
      <c r="I253" s="25">
        <f>MAX(MIN(1, (Fuzzy_Parameters!$C$20 - Sheet6!E253)/(Fuzzy_Parameters!$C$20 - Fuzzy_Parameters!$C$19)), 0)</f>
        <v>0.9516129032</v>
      </c>
      <c r="J253" s="25">
        <f>MAX(MIN((Sheet6!E253 - Fuzzy_Parameters!$C$19)/(Fuzzy_Parameters!$C$20 - Fuzzy_Parameters!$C$19), 1, (Fuzzy_Parameters!$C$22 - Sheet6!E253)/(Fuzzy_Parameters!$C$22 - Fuzzy_Parameters!$C$21)), 0)</f>
        <v>0.04838709677</v>
      </c>
      <c r="K253" s="25">
        <f>MAX(MIN((Sheet6!E253 - Fuzzy_Parameters!$C$21)/(Fuzzy_Parameters!$C$22 - Fuzzy_Parameters!$C$21), 1), 0)</f>
        <v>0</v>
      </c>
      <c r="L253" s="25">
        <f>MAX(MIN(1, (Fuzzy_Parameters!$C$28 - Sheet6!F253)/(Fuzzy_Parameters!$C$28 - Fuzzy_Parameters!$C$27)), 0)</f>
        <v>0.7900040162</v>
      </c>
      <c r="M253" s="25">
        <f>MAX(MIN((Sheet6!F253 - Fuzzy_Parameters!$C$27)/(Fuzzy_Parameters!$C$28 - Fuzzy_Parameters!$C$27), 1, (Fuzzy_Parameters!$C$30 - Sheet6!F253)/(Fuzzy_Parameters!$C$30 - Fuzzy_Parameters!$C$29)), 0)</f>
        <v>0.2099959838</v>
      </c>
      <c r="N253" s="25">
        <f>MAX(MIN((Sheet6!F253 - Fuzzy_Parameters!$C$29)/(Fuzzy_Parameters!$C$30 - Fuzzy_Parameters!$C$29), 1), 0)</f>
        <v>0</v>
      </c>
    </row>
    <row r="254">
      <c r="A254" s="6" t="s">
        <v>29</v>
      </c>
      <c r="B254" s="26">
        <v>2022.0</v>
      </c>
      <c r="C254" s="25">
        <f>MAX(MIN(1, (Fuzzy_Parameters!$C$4 - Sheet6!C254)/(Fuzzy_Parameters!$C$4 - Fuzzy_Parameters!$C$3)), 0)</f>
        <v>0</v>
      </c>
      <c r="D254" s="25">
        <f>MAX(MIN((Sheet6!C254 - Fuzzy_Parameters!$C$3)/(Fuzzy_Parameters!$C$4 - Fuzzy_Parameters!$C$3), 1, (Fuzzy_Parameters!$C$6 - Sheet6!C254)/(Fuzzy_Parameters!$C$6 - Fuzzy_Parameters!$C$5)), 0)</f>
        <v>0</v>
      </c>
      <c r="E254" s="25">
        <f>MAX(MIN((Sheet6!C254 - Fuzzy_Parameters!$C$5)/(Fuzzy_Parameters!$C$6 - Fuzzy_Parameters!$C$5), 1), 0)</f>
        <v>1</v>
      </c>
      <c r="F254" s="25">
        <f>MAX(MIN(1, (Fuzzy_Parameters!$C$12 - Sheet6!D254)/(Fuzzy_Parameters!$C$12 - Fuzzy_Parameters!$C$11)), 0)</f>
        <v>0.02979867453</v>
      </c>
      <c r="G254" s="25">
        <f>MAX(MIN((Sheet6!D254 - Fuzzy_Parameters!$C$11)/(Fuzzy_Parameters!$C$12 - Fuzzy_Parameters!$C$11), 1, (Fuzzy_Parameters!$C$14 - Sheet6!D254)/(Fuzzy_Parameters!$C$14 - Fuzzy_Parameters!$C$13)), 0)</f>
        <v>0.9702013255</v>
      </c>
      <c r="H254" s="25">
        <f>MAX(MIN((Sheet6!D254 - Fuzzy_Parameters!$C$13)/(Fuzzy_Parameters!$C$14 - Fuzzy_Parameters!$C$13), 1), 0)</f>
        <v>0</v>
      </c>
      <c r="I254" s="25">
        <f>MAX(MIN(1, (Fuzzy_Parameters!$C$20 - Sheet6!E254)/(Fuzzy_Parameters!$C$20 - Fuzzy_Parameters!$C$19)), 0)</f>
        <v>0</v>
      </c>
      <c r="J254" s="25">
        <f>MAX(MIN((Sheet6!E254 - Fuzzy_Parameters!$C$19)/(Fuzzy_Parameters!$C$20 - Fuzzy_Parameters!$C$19), 1, (Fuzzy_Parameters!$C$22 - Sheet6!E254)/(Fuzzy_Parameters!$C$22 - Fuzzy_Parameters!$C$21)), 0)</f>
        <v>1</v>
      </c>
      <c r="K254" s="25">
        <f>MAX(MIN((Sheet6!E254 - Fuzzy_Parameters!$C$21)/(Fuzzy_Parameters!$C$22 - Fuzzy_Parameters!$C$21), 1), 0)</f>
        <v>0</v>
      </c>
      <c r="L254" s="25">
        <f>MAX(MIN(1, (Fuzzy_Parameters!$C$28 - Sheet6!F254)/(Fuzzy_Parameters!$C$28 - Fuzzy_Parameters!$C$27)), 0)</f>
        <v>1</v>
      </c>
      <c r="M254" s="25">
        <f>MAX(MIN((Sheet6!F254 - Fuzzy_Parameters!$C$27)/(Fuzzy_Parameters!$C$28 - Fuzzy_Parameters!$C$27), 1, (Fuzzy_Parameters!$C$30 - Sheet6!F254)/(Fuzzy_Parameters!$C$30 - Fuzzy_Parameters!$C$29)), 0)</f>
        <v>0</v>
      </c>
      <c r="N254" s="25">
        <f>MAX(MIN((Sheet6!F254 - Fuzzy_Parameters!$C$29)/(Fuzzy_Parameters!$C$30 - Fuzzy_Parameters!$C$29), 1), 0)</f>
        <v>0</v>
      </c>
    </row>
    <row r="255">
      <c r="A255" s="6" t="s">
        <v>29</v>
      </c>
      <c r="B255" s="26">
        <v>2021.0</v>
      </c>
      <c r="C255" s="25">
        <f>MAX(MIN(1, (Fuzzy_Parameters!$C$4 - Sheet6!C255)/(Fuzzy_Parameters!$C$4 - Fuzzy_Parameters!$C$3)), 0)</f>
        <v>0</v>
      </c>
      <c r="D255" s="25">
        <f>MAX(MIN((Sheet6!C255 - Fuzzy_Parameters!$C$3)/(Fuzzy_Parameters!$C$4 - Fuzzy_Parameters!$C$3), 1, (Fuzzy_Parameters!$C$6 - Sheet6!C255)/(Fuzzy_Parameters!$C$6 - Fuzzy_Parameters!$C$5)), 0)</f>
        <v>0</v>
      </c>
      <c r="E255" s="25">
        <f>MAX(MIN((Sheet6!C255 - Fuzzy_Parameters!$C$5)/(Fuzzy_Parameters!$C$6 - Fuzzy_Parameters!$C$5), 1), 0)</f>
        <v>1</v>
      </c>
      <c r="F255" s="25">
        <f>MAX(MIN(1, (Fuzzy_Parameters!$C$12 - Sheet6!D255)/(Fuzzy_Parameters!$C$12 - Fuzzy_Parameters!$C$11)), 0)</f>
        <v>0.7011391987</v>
      </c>
      <c r="G255" s="25">
        <f>MAX(MIN((Sheet6!D255 - Fuzzy_Parameters!$C$11)/(Fuzzy_Parameters!$C$12 - Fuzzy_Parameters!$C$11), 1, (Fuzzy_Parameters!$C$14 - Sheet6!D255)/(Fuzzy_Parameters!$C$14 - Fuzzy_Parameters!$C$13)), 0)</f>
        <v>0.2988608013</v>
      </c>
      <c r="H255" s="25">
        <f>MAX(MIN((Sheet6!D255 - Fuzzy_Parameters!$C$13)/(Fuzzy_Parameters!$C$14 - Fuzzy_Parameters!$C$13), 1), 0)</f>
        <v>0</v>
      </c>
      <c r="I255" s="25">
        <f>MAX(MIN(1, (Fuzzy_Parameters!$C$20 - Sheet6!E255)/(Fuzzy_Parameters!$C$20 - Fuzzy_Parameters!$C$19)), 0)</f>
        <v>0</v>
      </c>
      <c r="J255" s="25">
        <f>MAX(MIN((Sheet6!E255 - Fuzzy_Parameters!$C$19)/(Fuzzy_Parameters!$C$20 - Fuzzy_Parameters!$C$19), 1, (Fuzzy_Parameters!$C$22 - Sheet6!E255)/(Fuzzy_Parameters!$C$22 - Fuzzy_Parameters!$C$21)), 0)</f>
        <v>0.7348837209</v>
      </c>
      <c r="K255" s="25">
        <f>MAX(MIN((Sheet6!E255 - Fuzzy_Parameters!$C$21)/(Fuzzy_Parameters!$C$22 - Fuzzy_Parameters!$C$21), 1), 0)</f>
        <v>0.2651162791</v>
      </c>
      <c r="L255" s="25">
        <f>MAX(MIN(1, (Fuzzy_Parameters!$C$28 - Sheet6!F255)/(Fuzzy_Parameters!$C$28 - Fuzzy_Parameters!$C$27)), 0)</f>
        <v>0.5907822734</v>
      </c>
      <c r="M255" s="25">
        <f>MAX(MIN((Sheet6!F255 - Fuzzy_Parameters!$C$27)/(Fuzzy_Parameters!$C$28 - Fuzzy_Parameters!$C$27), 1, (Fuzzy_Parameters!$C$30 - Sheet6!F255)/(Fuzzy_Parameters!$C$30 - Fuzzy_Parameters!$C$29)), 0)</f>
        <v>0.4092177266</v>
      </c>
      <c r="N255" s="25">
        <f>MAX(MIN((Sheet6!F255 - Fuzzy_Parameters!$C$29)/(Fuzzy_Parameters!$C$30 - Fuzzy_Parameters!$C$29), 1), 0)</f>
        <v>0</v>
      </c>
    </row>
    <row r="256">
      <c r="A256" s="6" t="s">
        <v>29</v>
      </c>
      <c r="B256" s="26">
        <v>2020.0</v>
      </c>
      <c r="C256" s="25">
        <f>MAX(MIN(1, (Fuzzy_Parameters!$C$4 - Sheet6!C256)/(Fuzzy_Parameters!$C$4 - Fuzzy_Parameters!$C$3)), 0)</f>
        <v>0</v>
      </c>
      <c r="D256" s="25">
        <f>MAX(MIN((Sheet6!C256 - Fuzzy_Parameters!$C$3)/(Fuzzy_Parameters!$C$4 - Fuzzy_Parameters!$C$3), 1, (Fuzzy_Parameters!$C$6 - Sheet6!C256)/(Fuzzy_Parameters!$C$6 - Fuzzy_Parameters!$C$5)), 0)</f>
        <v>0</v>
      </c>
      <c r="E256" s="25">
        <f>MAX(MIN((Sheet6!C256 - Fuzzy_Parameters!$C$5)/(Fuzzy_Parameters!$C$6 - Fuzzy_Parameters!$C$5), 1), 0)</f>
        <v>1</v>
      </c>
      <c r="F256" s="25">
        <f>MAX(MIN(1, (Fuzzy_Parameters!$C$12 - Sheet6!D256)/(Fuzzy_Parameters!$C$12 - Fuzzy_Parameters!$C$11)), 0)</f>
        <v>0.7230496291</v>
      </c>
      <c r="G256" s="25">
        <f>MAX(MIN((Sheet6!D256 - Fuzzy_Parameters!$C$11)/(Fuzzy_Parameters!$C$12 - Fuzzy_Parameters!$C$11), 1, (Fuzzy_Parameters!$C$14 - Sheet6!D256)/(Fuzzy_Parameters!$C$14 - Fuzzy_Parameters!$C$13)), 0)</f>
        <v>0.2769503709</v>
      </c>
      <c r="H256" s="25">
        <f>MAX(MIN((Sheet6!D256 - Fuzzy_Parameters!$C$13)/(Fuzzy_Parameters!$C$14 - Fuzzy_Parameters!$C$13), 1), 0)</f>
        <v>0</v>
      </c>
      <c r="I256" s="25">
        <f>MAX(MIN(1, (Fuzzy_Parameters!$C$20 - Sheet6!E256)/(Fuzzy_Parameters!$C$20 - Fuzzy_Parameters!$C$19)), 0)</f>
        <v>0.3306451613</v>
      </c>
      <c r="J256" s="25">
        <f>MAX(MIN((Sheet6!E256 - Fuzzy_Parameters!$C$19)/(Fuzzy_Parameters!$C$20 - Fuzzy_Parameters!$C$19), 1, (Fuzzy_Parameters!$C$22 - Sheet6!E256)/(Fuzzy_Parameters!$C$22 - Fuzzy_Parameters!$C$21)), 0)</f>
        <v>0.6693548387</v>
      </c>
      <c r="K256" s="25">
        <f>MAX(MIN((Sheet6!E256 - Fuzzy_Parameters!$C$21)/(Fuzzy_Parameters!$C$22 - Fuzzy_Parameters!$C$21), 1), 0)</f>
        <v>0</v>
      </c>
      <c r="L256" s="25">
        <f>MAX(MIN(1, (Fuzzy_Parameters!$C$28 - Sheet6!F256)/(Fuzzy_Parameters!$C$28 - Fuzzy_Parameters!$C$27)), 0)</f>
        <v>0.1954610985</v>
      </c>
      <c r="M256" s="25">
        <f>MAX(MIN((Sheet6!F256 - Fuzzy_Parameters!$C$27)/(Fuzzy_Parameters!$C$28 - Fuzzy_Parameters!$C$27), 1, (Fuzzy_Parameters!$C$30 - Sheet6!F256)/(Fuzzy_Parameters!$C$30 - Fuzzy_Parameters!$C$29)), 0)</f>
        <v>0.8045389015</v>
      </c>
      <c r="N256" s="25">
        <f>MAX(MIN((Sheet6!F256 - Fuzzy_Parameters!$C$29)/(Fuzzy_Parameters!$C$30 - Fuzzy_Parameters!$C$29), 1), 0)</f>
        <v>0</v>
      </c>
    </row>
    <row r="257">
      <c r="A257" s="6" t="s">
        <v>29</v>
      </c>
      <c r="B257" s="26">
        <v>2019.0</v>
      </c>
      <c r="C257" s="25">
        <f>MAX(MIN(1, (Fuzzy_Parameters!$C$4 - Sheet6!C257)/(Fuzzy_Parameters!$C$4 - Fuzzy_Parameters!$C$3)), 0)</f>
        <v>0</v>
      </c>
      <c r="D257" s="25">
        <f>MAX(MIN((Sheet6!C257 - Fuzzy_Parameters!$C$3)/(Fuzzy_Parameters!$C$4 - Fuzzy_Parameters!$C$3), 1, (Fuzzy_Parameters!$C$6 - Sheet6!C257)/(Fuzzy_Parameters!$C$6 - Fuzzy_Parameters!$C$5)), 0)</f>
        <v>0</v>
      </c>
      <c r="E257" s="25">
        <f>MAX(MIN((Sheet6!C257 - Fuzzy_Parameters!$C$5)/(Fuzzy_Parameters!$C$6 - Fuzzy_Parameters!$C$5), 1), 0)</f>
        <v>1</v>
      </c>
      <c r="F257" s="25">
        <f>MAX(MIN(1, (Fuzzy_Parameters!$C$12 - Sheet6!D257)/(Fuzzy_Parameters!$C$12 - Fuzzy_Parameters!$C$11)), 0)</f>
        <v>0.03505671519</v>
      </c>
      <c r="G257" s="25">
        <f>MAX(MIN((Sheet6!D257 - Fuzzy_Parameters!$C$11)/(Fuzzy_Parameters!$C$12 - Fuzzy_Parameters!$C$11), 1, (Fuzzy_Parameters!$C$14 - Sheet6!D257)/(Fuzzy_Parameters!$C$14 - Fuzzy_Parameters!$C$13)), 0)</f>
        <v>0.9649432848</v>
      </c>
      <c r="H257" s="25">
        <f>MAX(MIN((Sheet6!D257 - Fuzzy_Parameters!$C$13)/(Fuzzy_Parameters!$C$14 - Fuzzy_Parameters!$C$13), 1), 0)</f>
        <v>0</v>
      </c>
      <c r="I257" s="25">
        <f>MAX(MIN(1, (Fuzzy_Parameters!$C$20 - Sheet6!E257)/(Fuzzy_Parameters!$C$20 - Fuzzy_Parameters!$C$19)), 0)</f>
        <v>0</v>
      </c>
      <c r="J257" s="25">
        <f>MAX(MIN((Sheet6!E257 - Fuzzy_Parameters!$C$19)/(Fuzzy_Parameters!$C$20 - Fuzzy_Parameters!$C$19), 1, (Fuzzy_Parameters!$C$22 - Sheet6!E257)/(Fuzzy_Parameters!$C$22 - Fuzzy_Parameters!$C$21)), 0)</f>
        <v>1</v>
      </c>
      <c r="K257" s="25">
        <f>MAX(MIN((Sheet6!E257 - Fuzzy_Parameters!$C$21)/(Fuzzy_Parameters!$C$22 - Fuzzy_Parameters!$C$21), 1), 0)</f>
        <v>0</v>
      </c>
      <c r="L257" s="25">
        <f>MAX(MIN(1, (Fuzzy_Parameters!$C$28 - Sheet6!F257)/(Fuzzy_Parameters!$C$28 - Fuzzy_Parameters!$C$27)), 0)</f>
        <v>0</v>
      </c>
      <c r="M257" s="25">
        <f>MAX(MIN((Sheet6!F257 - Fuzzy_Parameters!$C$27)/(Fuzzy_Parameters!$C$28 - Fuzzy_Parameters!$C$27), 1, (Fuzzy_Parameters!$C$30 - Sheet6!F257)/(Fuzzy_Parameters!$C$30 - Fuzzy_Parameters!$C$29)), 0)</f>
        <v>1</v>
      </c>
      <c r="N257" s="25">
        <f>MAX(MIN((Sheet6!F257 - Fuzzy_Parameters!$C$29)/(Fuzzy_Parameters!$C$30 - Fuzzy_Parameters!$C$29), 1), 0)</f>
        <v>0</v>
      </c>
    </row>
    <row r="258">
      <c r="A258" s="6" t="s">
        <v>29</v>
      </c>
      <c r="B258" s="26">
        <v>2018.0</v>
      </c>
      <c r="C258" s="25">
        <f>MAX(MIN(1, (Fuzzy_Parameters!$C$4 - Sheet6!C258)/(Fuzzy_Parameters!$C$4 - Fuzzy_Parameters!$C$3)), 0)</f>
        <v>0</v>
      </c>
      <c r="D258" s="25">
        <f>MAX(MIN((Sheet6!C258 - Fuzzy_Parameters!$C$3)/(Fuzzy_Parameters!$C$4 - Fuzzy_Parameters!$C$3), 1, (Fuzzy_Parameters!$C$6 - Sheet6!C258)/(Fuzzy_Parameters!$C$6 - Fuzzy_Parameters!$C$5)), 0)</f>
        <v>0</v>
      </c>
      <c r="E258" s="25">
        <f>MAX(MIN((Sheet6!C258 - Fuzzy_Parameters!$C$5)/(Fuzzy_Parameters!$C$6 - Fuzzy_Parameters!$C$5), 1), 0)</f>
        <v>1</v>
      </c>
      <c r="F258" s="25">
        <f>MAX(MIN(1, (Fuzzy_Parameters!$C$12 - Sheet6!D258)/(Fuzzy_Parameters!$C$12 - Fuzzy_Parameters!$C$11)), 0)</f>
        <v>0.00000002645924651</v>
      </c>
      <c r="G258" s="25">
        <f>MAX(MIN((Sheet6!D258 - Fuzzy_Parameters!$C$11)/(Fuzzy_Parameters!$C$12 - Fuzzy_Parameters!$C$11), 1, (Fuzzy_Parameters!$C$14 - Sheet6!D258)/(Fuzzy_Parameters!$C$14 - Fuzzy_Parameters!$C$13)), 0)</f>
        <v>0.9999999735</v>
      </c>
      <c r="H258" s="25">
        <f>MAX(MIN((Sheet6!D258 - Fuzzy_Parameters!$C$13)/(Fuzzy_Parameters!$C$14 - Fuzzy_Parameters!$C$13), 1), 0)</f>
        <v>0</v>
      </c>
      <c r="I258" s="25">
        <f>MAX(MIN(1, (Fuzzy_Parameters!$C$20 - Sheet6!E258)/(Fuzzy_Parameters!$C$20 - Fuzzy_Parameters!$C$19)), 0)</f>
        <v>0</v>
      </c>
      <c r="J258" s="25">
        <f>MAX(MIN((Sheet6!E258 - Fuzzy_Parameters!$C$19)/(Fuzzy_Parameters!$C$20 - Fuzzy_Parameters!$C$19), 1, (Fuzzy_Parameters!$C$22 - Sheet6!E258)/(Fuzzy_Parameters!$C$22 - Fuzzy_Parameters!$C$21)), 0)</f>
        <v>1</v>
      </c>
      <c r="K258" s="25">
        <f>MAX(MIN((Sheet6!E258 - Fuzzy_Parameters!$C$21)/(Fuzzy_Parameters!$C$22 - Fuzzy_Parameters!$C$21), 1), 0)</f>
        <v>0</v>
      </c>
      <c r="L258" s="25">
        <f>MAX(MIN(1, (Fuzzy_Parameters!$C$28 - Sheet6!F258)/(Fuzzy_Parameters!$C$28 - Fuzzy_Parameters!$C$27)), 0)</f>
        <v>0</v>
      </c>
      <c r="M258" s="25">
        <f>MAX(MIN((Sheet6!F258 - Fuzzy_Parameters!$C$27)/(Fuzzy_Parameters!$C$28 - Fuzzy_Parameters!$C$27), 1, (Fuzzy_Parameters!$C$30 - Sheet6!F258)/(Fuzzy_Parameters!$C$30 - Fuzzy_Parameters!$C$29)), 0)</f>
        <v>1</v>
      </c>
      <c r="N258" s="25">
        <f>MAX(MIN((Sheet6!F258 - Fuzzy_Parameters!$C$29)/(Fuzzy_Parameters!$C$30 - Fuzzy_Parameters!$C$29), 1), 0)</f>
        <v>0</v>
      </c>
    </row>
    <row r="259">
      <c r="A259" s="6" t="s">
        <v>29</v>
      </c>
      <c r="B259" s="26">
        <v>2017.0</v>
      </c>
      <c r="C259" s="25">
        <f>MAX(MIN(1, (Fuzzy_Parameters!$C$4 - Sheet6!C259)/(Fuzzy_Parameters!$C$4 - Fuzzy_Parameters!$C$3)), 0)</f>
        <v>0</v>
      </c>
      <c r="D259" s="25">
        <f>MAX(MIN((Sheet6!C259 - Fuzzy_Parameters!$C$3)/(Fuzzy_Parameters!$C$4 - Fuzzy_Parameters!$C$3), 1, (Fuzzy_Parameters!$C$6 - Sheet6!C259)/(Fuzzy_Parameters!$C$6 - Fuzzy_Parameters!$C$5)), 0)</f>
        <v>0</v>
      </c>
      <c r="E259" s="25">
        <f>MAX(MIN((Sheet6!C259 - Fuzzy_Parameters!$C$5)/(Fuzzy_Parameters!$C$6 - Fuzzy_Parameters!$C$5), 1), 0)</f>
        <v>1</v>
      </c>
      <c r="F259" s="25">
        <f>MAX(MIN(1, (Fuzzy_Parameters!$C$12 - Sheet6!D259)/(Fuzzy_Parameters!$C$12 - Fuzzy_Parameters!$C$11)), 0)</f>
        <v>0.460998876</v>
      </c>
      <c r="G259" s="25">
        <f>MAX(MIN((Sheet6!D259 - Fuzzy_Parameters!$C$11)/(Fuzzy_Parameters!$C$12 - Fuzzy_Parameters!$C$11), 1, (Fuzzy_Parameters!$C$14 - Sheet6!D259)/(Fuzzy_Parameters!$C$14 - Fuzzy_Parameters!$C$13)), 0)</f>
        <v>0.539001124</v>
      </c>
      <c r="H259" s="25">
        <f>MAX(MIN((Sheet6!D259 - Fuzzy_Parameters!$C$13)/(Fuzzy_Parameters!$C$14 - Fuzzy_Parameters!$C$13), 1), 0)</f>
        <v>0</v>
      </c>
      <c r="I259" s="25">
        <f>MAX(MIN(1, (Fuzzy_Parameters!$C$20 - Sheet6!E259)/(Fuzzy_Parameters!$C$20 - Fuzzy_Parameters!$C$19)), 0)</f>
        <v>0</v>
      </c>
      <c r="J259" s="25">
        <f>MAX(MIN((Sheet6!E259 - Fuzzy_Parameters!$C$19)/(Fuzzy_Parameters!$C$20 - Fuzzy_Parameters!$C$19), 1, (Fuzzy_Parameters!$C$22 - Sheet6!E259)/(Fuzzy_Parameters!$C$22 - Fuzzy_Parameters!$C$21)), 0)</f>
        <v>0.7488372093</v>
      </c>
      <c r="K259" s="25">
        <f>MAX(MIN((Sheet6!E259 - Fuzzy_Parameters!$C$21)/(Fuzzy_Parameters!$C$22 - Fuzzy_Parameters!$C$21), 1), 0)</f>
        <v>0.2511627907</v>
      </c>
      <c r="L259" s="25">
        <f>MAX(MIN(1, (Fuzzy_Parameters!$C$28 - Sheet6!F259)/(Fuzzy_Parameters!$C$28 - Fuzzy_Parameters!$C$27)), 0)</f>
        <v>0.8488536873</v>
      </c>
      <c r="M259" s="25">
        <f>MAX(MIN((Sheet6!F259 - Fuzzy_Parameters!$C$27)/(Fuzzy_Parameters!$C$28 - Fuzzy_Parameters!$C$27), 1, (Fuzzy_Parameters!$C$30 - Sheet6!F259)/(Fuzzy_Parameters!$C$30 - Fuzzy_Parameters!$C$29)), 0)</f>
        <v>0.1511463127</v>
      </c>
      <c r="N259" s="25">
        <f>MAX(MIN((Sheet6!F259 - Fuzzy_Parameters!$C$29)/(Fuzzy_Parameters!$C$30 - Fuzzy_Parameters!$C$29), 1), 0)</f>
        <v>0</v>
      </c>
    </row>
    <row r="260">
      <c r="A260" s="6" t="s">
        <v>29</v>
      </c>
      <c r="B260" s="26">
        <v>2016.0</v>
      </c>
      <c r="C260" s="25">
        <f>MAX(MIN(1, (Fuzzy_Parameters!$C$4 - Sheet6!C260)/(Fuzzy_Parameters!$C$4 - Fuzzy_Parameters!$C$3)), 0)</f>
        <v>0</v>
      </c>
      <c r="D260" s="25">
        <f>MAX(MIN((Sheet6!C260 - Fuzzy_Parameters!$C$3)/(Fuzzy_Parameters!$C$4 - Fuzzy_Parameters!$C$3), 1, (Fuzzy_Parameters!$C$6 - Sheet6!C260)/(Fuzzy_Parameters!$C$6 - Fuzzy_Parameters!$C$5)), 0)</f>
        <v>0</v>
      </c>
      <c r="E260" s="25">
        <f>MAX(MIN((Sheet6!C260 - Fuzzy_Parameters!$C$5)/(Fuzzy_Parameters!$C$6 - Fuzzy_Parameters!$C$5), 1), 0)</f>
        <v>1</v>
      </c>
      <c r="F260" s="25">
        <f>MAX(MIN(1, (Fuzzy_Parameters!$C$12 - Sheet6!D260)/(Fuzzy_Parameters!$C$12 - Fuzzy_Parameters!$C$11)), 0)</f>
        <v>0.2655569111</v>
      </c>
      <c r="G260" s="25">
        <f>MAX(MIN((Sheet6!D260 - Fuzzy_Parameters!$C$11)/(Fuzzy_Parameters!$C$12 - Fuzzy_Parameters!$C$11), 1, (Fuzzy_Parameters!$C$14 - Sheet6!D260)/(Fuzzy_Parameters!$C$14 - Fuzzy_Parameters!$C$13)), 0)</f>
        <v>0.7344430889</v>
      </c>
      <c r="H260" s="25">
        <f>MAX(MIN((Sheet6!D260 - Fuzzy_Parameters!$C$13)/(Fuzzy_Parameters!$C$14 - Fuzzy_Parameters!$C$13), 1), 0)</f>
        <v>0</v>
      </c>
      <c r="I260" s="25">
        <f>MAX(MIN(1, (Fuzzy_Parameters!$C$20 - Sheet6!E260)/(Fuzzy_Parameters!$C$20 - Fuzzy_Parameters!$C$19)), 0)</f>
        <v>0</v>
      </c>
      <c r="J260" s="25">
        <f>MAX(MIN((Sheet6!E260 - Fuzzy_Parameters!$C$19)/(Fuzzy_Parameters!$C$20 - Fuzzy_Parameters!$C$19), 1, (Fuzzy_Parameters!$C$22 - Sheet6!E260)/(Fuzzy_Parameters!$C$22 - Fuzzy_Parameters!$C$21)), 0)</f>
        <v>1</v>
      </c>
      <c r="K260" s="25">
        <f>MAX(MIN((Sheet6!E260 - Fuzzy_Parameters!$C$21)/(Fuzzy_Parameters!$C$22 - Fuzzy_Parameters!$C$21), 1), 0)</f>
        <v>0</v>
      </c>
      <c r="L260" s="25">
        <f>MAX(MIN(1, (Fuzzy_Parameters!$C$28 - Sheet6!F260)/(Fuzzy_Parameters!$C$28 - Fuzzy_Parameters!$C$27)), 0)</f>
        <v>0.7609111442</v>
      </c>
      <c r="M260" s="25">
        <f>MAX(MIN((Sheet6!F260 - Fuzzy_Parameters!$C$27)/(Fuzzy_Parameters!$C$28 - Fuzzy_Parameters!$C$27), 1, (Fuzzy_Parameters!$C$30 - Sheet6!F260)/(Fuzzy_Parameters!$C$30 - Fuzzy_Parameters!$C$29)), 0)</f>
        <v>0.2390888558</v>
      </c>
      <c r="N260" s="25">
        <f>MAX(MIN((Sheet6!F260 - Fuzzy_Parameters!$C$29)/(Fuzzy_Parameters!$C$30 - Fuzzy_Parameters!$C$29), 1), 0)</f>
        <v>0</v>
      </c>
    </row>
    <row r="261">
      <c r="A261" s="6" t="s">
        <v>29</v>
      </c>
      <c r="B261" s="26">
        <v>2015.0</v>
      </c>
      <c r="C261" s="25">
        <f>MAX(MIN(1, (Fuzzy_Parameters!$C$4 - Sheet6!C261)/(Fuzzy_Parameters!$C$4 - Fuzzy_Parameters!$C$3)), 0)</f>
        <v>0</v>
      </c>
      <c r="D261" s="25">
        <f>MAX(MIN((Sheet6!C261 - Fuzzy_Parameters!$C$3)/(Fuzzy_Parameters!$C$4 - Fuzzy_Parameters!$C$3), 1, (Fuzzy_Parameters!$C$6 - Sheet6!C261)/(Fuzzy_Parameters!$C$6 - Fuzzy_Parameters!$C$5)), 0)</f>
        <v>0</v>
      </c>
      <c r="E261" s="25">
        <f>MAX(MIN((Sheet6!C261 - Fuzzy_Parameters!$C$5)/(Fuzzy_Parameters!$C$6 - Fuzzy_Parameters!$C$5), 1), 0)</f>
        <v>1</v>
      </c>
      <c r="F261" s="25">
        <f>MAX(MIN(1, (Fuzzy_Parameters!$C$12 - Sheet6!D261)/(Fuzzy_Parameters!$C$12 - Fuzzy_Parameters!$C$11)), 0)</f>
        <v>0.2708149517</v>
      </c>
      <c r="G261" s="25">
        <f>MAX(MIN((Sheet6!D261 - Fuzzy_Parameters!$C$11)/(Fuzzy_Parameters!$C$12 - Fuzzy_Parameters!$C$11), 1, (Fuzzy_Parameters!$C$14 - Sheet6!D261)/(Fuzzy_Parameters!$C$14 - Fuzzy_Parameters!$C$13)), 0)</f>
        <v>0.7291850483</v>
      </c>
      <c r="H261" s="25">
        <f>MAX(MIN((Sheet6!D261 - Fuzzy_Parameters!$C$13)/(Fuzzy_Parameters!$C$14 - Fuzzy_Parameters!$C$13), 1), 0)</f>
        <v>0</v>
      </c>
      <c r="I261" s="25">
        <f>MAX(MIN(1, (Fuzzy_Parameters!$C$20 - Sheet6!E261)/(Fuzzy_Parameters!$C$20 - Fuzzy_Parameters!$C$19)), 0)</f>
        <v>0</v>
      </c>
      <c r="J261" s="25">
        <f>MAX(MIN((Sheet6!E261 - Fuzzy_Parameters!$C$19)/(Fuzzy_Parameters!$C$20 - Fuzzy_Parameters!$C$19), 1, (Fuzzy_Parameters!$C$22 - Sheet6!E261)/(Fuzzy_Parameters!$C$22 - Fuzzy_Parameters!$C$21)), 0)</f>
        <v>1</v>
      </c>
      <c r="K261" s="25">
        <f>MAX(MIN((Sheet6!E261 - Fuzzy_Parameters!$C$21)/(Fuzzy_Parameters!$C$22 - Fuzzy_Parameters!$C$21), 1), 0)</f>
        <v>0</v>
      </c>
      <c r="L261" s="25">
        <f>MAX(MIN(1, (Fuzzy_Parameters!$C$28 - Sheet6!F261)/(Fuzzy_Parameters!$C$28 - Fuzzy_Parameters!$C$27)), 0)</f>
        <v>0.5907822734</v>
      </c>
      <c r="M261" s="25">
        <f>MAX(MIN((Sheet6!F261 - Fuzzy_Parameters!$C$27)/(Fuzzy_Parameters!$C$28 - Fuzzy_Parameters!$C$27), 1, (Fuzzy_Parameters!$C$30 - Sheet6!F261)/(Fuzzy_Parameters!$C$30 - Fuzzy_Parameters!$C$29)), 0)</f>
        <v>0.4092177266</v>
      </c>
      <c r="N261" s="25">
        <f>MAX(MIN((Sheet6!F261 - Fuzzy_Parameters!$C$29)/(Fuzzy_Parameters!$C$30 - Fuzzy_Parameters!$C$29), 1), 0)</f>
        <v>0</v>
      </c>
    </row>
    <row r="262">
      <c r="A262" s="56" t="s">
        <v>29</v>
      </c>
      <c r="B262" s="57">
        <v>2014.0</v>
      </c>
      <c r="C262" s="25">
        <f>MAX(MIN(1, (Fuzzy_Parameters!$C$4 - Sheet6!C262)/(Fuzzy_Parameters!$C$4 - Fuzzy_Parameters!$C$3)), 0)</f>
        <v>0</v>
      </c>
      <c r="D262" s="25">
        <f>MAX(MIN((Sheet6!C262 - Fuzzy_Parameters!$C$3)/(Fuzzy_Parameters!$C$4 - Fuzzy_Parameters!$C$3), 1, (Fuzzy_Parameters!$C$6 - Sheet6!C262)/(Fuzzy_Parameters!$C$6 - Fuzzy_Parameters!$C$5)), 0)</f>
        <v>0</v>
      </c>
      <c r="E262" s="25">
        <f>MAX(MIN((Sheet6!C262 - Fuzzy_Parameters!$C$5)/(Fuzzy_Parameters!$C$6 - Fuzzy_Parameters!$C$5), 1), 0)</f>
        <v>1</v>
      </c>
      <c r="F262" s="25">
        <f>MAX(MIN(1, (Fuzzy_Parameters!$C$12 - Sheet6!D262)/(Fuzzy_Parameters!$C$12 - Fuzzy_Parameters!$C$11)), 0)</f>
        <v>0.3225240302</v>
      </c>
      <c r="G262" s="25">
        <f>MAX(MIN((Sheet6!D262 - Fuzzy_Parameters!$C$11)/(Fuzzy_Parameters!$C$12 - Fuzzy_Parameters!$C$11), 1, (Fuzzy_Parameters!$C$14 - Sheet6!D262)/(Fuzzy_Parameters!$C$14 - Fuzzy_Parameters!$C$13)), 0)</f>
        <v>0.6774759698</v>
      </c>
      <c r="H262" s="25">
        <f>MAX(MIN((Sheet6!D262 - Fuzzy_Parameters!$C$13)/(Fuzzy_Parameters!$C$14 - Fuzzy_Parameters!$C$13), 1), 0)</f>
        <v>0</v>
      </c>
      <c r="I262" s="25">
        <f>MAX(MIN(1, (Fuzzy_Parameters!$C$20 - Sheet6!E262)/(Fuzzy_Parameters!$C$20 - Fuzzy_Parameters!$C$19)), 0)</f>
        <v>0</v>
      </c>
      <c r="J262" s="25">
        <f>MAX(MIN((Sheet6!E262 - Fuzzy_Parameters!$C$19)/(Fuzzy_Parameters!$C$20 - Fuzzy_Parameters!$C$19), 1, (Fuzzy_Parameters!$C$22 - Sheet6!E262)/(Fuzzy_Parameters!$C$22 - Fuzzy_Parameters!$C$21)), 0)</f>
        <v>1</v>
      </c>
      <c r="K262" s="25">
        <f>MAX(MIN((Sheet6!E262 - Fuzzy_Parameters!$C$21)/(Fuzzy_Parameters!$C$22 - Fuzzy_Parameters!$C$21), 1), 0)</f>
        <v>0</v>
      </c>
      <c r="L262" s="25">
        <f>MAX(MIN(1, (Fuzzy_Parameters!$C$28 - Sheet6!F262)/(Fuzzy_Parameters!$C$28 - Fuzzy_Parameters!$C$27)), 0)</f>
        <v>0.5631382669</v>
      </c>
      <c r="M262" s="25">
        <f>MAX(MIN((Sheet6!F262 - Fuzzy_Parameters!$C$27)/(Fuzzy_Parameters!$C$28 - Fuzzy_Parameters!$C$27), 1, (Fuzzy_Parameters!$C$30 - Sheet6!F262)/(Fuzzy_Parameters!$C$30 - Fuzzy_Parameters!$C$29)), 0)</f>
        <v>0.4368617331</v>
      </c>
      <c r="N262" s="25">
        <f>MAX(MIN((Sheet6!F262 - Fuzzy_Parameters!$C$29)/(Fuzzy_Parameters!$C$30 - Fuzzy_Parameters!$C$29), 1), 0)</f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A1" s="53" t="s">
        <v>93</v>
      </c>
      <c r="B1" s="53" t="s">
        <v>94</v>
      </c>
      <c r="C1" s="53" t="s">
        <v>95</v>
      </c>
      <c r="D1" s="53" t="s">
        <v>96</v>
      </c>
      <c r="E1" s="53" t="s">
        <v>111</v>
      </c>
      <c r="F1" s="53" t="s">
        <v>98</v>
      </c>
    </row>
    <row r="2">
      <c r="A2" s="54" t="s">
        <v>1</v>
      </c>
      <c r="B2" s="55">
        <v>2025.0</v>
      </c>
      <c r="C2" s="25">
        <v>2.739557936181905</v>
      </c>
      <c r="D2" s="25">
        <v>1.3275593594071449</v>
      </c>
      <c r="E2" s="58">
        <v>9.391602399314483</v>
      </c>
      <c r="F2" s="25">
        <v>1.9527646085303059</v>
      </c>
    </row>
    <row r="3">
      <c r="B3" s="26">
        <v>2024.0</v>
      </c>
      <c r="C3" s="25">
        <v>2.0033184129236714</v>
      </c>
      <c r="D3" s="25">
        <v>1.5128266330230393</v>
      </c>
      <c r="E3" s="59">
        <v>10.0</v>
      </c>
      <c r="F3" s="25">
        <v>2.229999405129023</v>
      </c>
    </row>
    <row r="4">
      <c r="B4" s="55">
        <v>2023.0</v>
      </c>
      <c r="C4" s="25">
        <v>1.3113599624411143</v>
      </c>
      <c r="D4" s="25">
        <v>2.2595787726895584</v>
      </c>
      <c r="E4" s="60">
        <v>7.483576121108255</v>
      </c>
      <c r="F4" s="25">
        <v>2.626257388182631</v>
      </c>
    </row>
    <row r="5">
      <c r="A5" s="6" t="s">
        <v>2</v>
      </c>
      <c r="B5" s="55">
        <v>2025.0</v>
      </c>
      <c r="C5" s="25">
        <v>2.040663895987495</v>
      </c>
      <c r="D5" s="25">
        <v>9.631625009945331</v>
      </c>
      <c r="E5" s="27">
        <v>7.552127963439018</v>
      </c>
      <c r="F5" s="25">
        <v>0.13972966459253558</v>
      </c>
    </row>
    <row r="6">
      <c r="B6" s="26">
        <v>2024.0</v>
      </c>
      <c r="C6" s="25">
        <v>3.0377882937915808</v>
      </c>
      <c r="D6" s="25">
        <v>5.270456121207989</v>
      </c>
      <c r="E6" s="25">
        <v>8.786061125392745</v>
      </c>
      <c r="F6" s="25">
        <v>0.20759171197414183</v>
      </c>
    </row>
    <row r="7">
      <c r="B7" s="55">
        <v>2023.0</v>
      </c>
      <c r="C7" s="25">
        <v>2.284476549704171</v>
      </c>
      <c r="D7" s="25">
        <v>5.28295882065446</v>
      </c>
      <c r="E7" s="28">
        <v>8.774635818337618</v>
      </c>
      <c r="F7" s="25">
        <v>0.20759171197414183</v>
      </c>
    </row>
    <row r="8">
      <c r="A8" s="6" t="s">
        <v>3</v>
      </c>
      <c r="B8" s="55">
        <v>2025.0</v>
      </c>
      <c r="C8" s="25">
        <v>4.811165232422282</v>
      </c>
      <c r="D8" s="25">
        <v>0.13525647583000877</v>
      </c>
      <c r="E8" s="27">
        <v>3.0619822907740653</v>
      </c>
      <c r="F8" s="25">
        <v>7.780120109093625</v>
      </c>
    </row>
    <row r="9">
      <c r="B9" s="26">
        <v>2024.0</v>
      </c>
      <c r="C9" s="25">
        <v>4.535342164650901</v>
      </c>
      <c r="D9" s="25">
        <v>0.14207613007353864</v>
      </c>
      <c r="E9" s="25">
        <v>3.2790631248214797</v>
      </c>
      <c r="F9" s="25">
        <v>8.091114028170297</v>
      </c>
    </row>
    <row r="10">
      <c r="B10" s="55">
        <v>2023.0</v>
      </c>
      <c r="C10" s="25">
        <v>1.869408180794819</v>
      </c>
      <c r="D10" s="25">
        <v>0.3693979381912005</v>
      </c>
      <c r="E10" s="28">
        <v>3.4504427306483865</v>
      </c>
      <c r="F10" s="25">
        <v>8.339606637783147</v>
      </c>
    </row>
    <row r="11">
      <c r="A11" s="6" t="s">
        <v>4</v>
      </c>
      <c r="B11" s="55">
        <v>2025.0</v>
      </c>
      <c r="C11" s="25">
        <v>0.5175016938844105</v>
      </c>
      <c r="D11" s="25">
        <v>0.20345301826530732</v>
      </c>
      <c r="E11" s="27">
        <v>2.7306483861753788</v>
      </c>
      <c r="F11" s="25">
        <v>6.317490067604558</v>
      </c>
    </row>
    <row r="12">
      <c r="B12" s="26">
        <v>2024.0</v>
      </c>
      <c r="C12" s="25">
        <v>0.38946003766558723</v>
      </c>
      <c r="D12" s="25">
        <v>0.17731101033177624</v>
      </c>
      <c r="E12" s="25">
        <v>2.707797772065125</v>
      </c>
      <c r="F12" s="25">
        <v>6.244156779981271</v>
      </c>
    </row>
    <row r="13">
      <c r="B13" s="55">
        <v>2023.0</v>
      </c>
      <c r="C13" s="25">
        <v>0.24541317441941116</v>
      </c>
      <c r="D13" s="25">
        <v>0.1125242950182426</v>
      </c>
      <c r="E13" s="28">
        <v>2.8106255355612686</v>
      </c>
      <c r="F13" s="25">
        <v>6.112075201341684</v>
      </c>
    </row>
    <row r="14">
      <c r="A14" s="6" t="s">
        <v>5</v>
      </c>
      <c r="B14" s="55">
        <v>2025.0</v>
      </c>
      <c r="C14" s="25">
        <v>10.0</v>
      </c>
      <c r="D14" s="25">
        <v>1.5207828963071577</v>
      </c>
      <c r="E14" s="27">
        <v>9.105969722936305</v>
      </c>
      <c r="F14" s="25">
        <v>5.543615339581768</v>
      </c>
    </row>
    <row r="15">
      <c r="B15" s="26">
        <v>2024.0</v>
      </c>
      <c r="C15" s="25">
        <v>10.0</v>
      </c>
      <c r="D15" s="25">
        <v>1.4275809549789162</v>
      </c>
      <c r="E15" s="25">
        <v>9.300199942873466</v>
      </c>
      <c r="F15" s="25">
        <v>5.603242668974085</v>
      </c>
    </row>
    <row r="16">
      <c r="B16" s="55">
        <v>2023.0</v>
      </c>
      <c r="C16" s="25">
        <v>10.0</v>
      </c>
      <c r="D16" s="25">
        <v>1.1923028835771363</v>
      </c>
      <c r="E16" s="28">
        <v>9.368751785204227</v>
      </c>
      <c r="F16" s="25">
        <v>5.726731170018251</v>
      </c>
    </row>
    <row r="17">
      <c r="A17" s="6" t="s">
        <v>6</v>
      </c>
      <c r="B17" s="55">
        <v>2025.0</v>
      </c>
      <c r="C17" s="25">
        <v>0.38839302386376373</v>
      </c>
      <c r="D17" s="25">
        <v>3.5905479592184686</v>
      </c>
      <c r="E17" s="27">
        <v>10.0</v>
      </c>
      <c r="F17" s="25">
        <v>2.8089974315012727</v>
      </c>
    </row>
    <row r="18">
      <c r="B18" s="26">
        <v>2024.0</v>
      </c>
      <c r="C18" s="25">
        <v>0.2907612609969111</v>
      </c>
      <c r="D18" s="25">
        <v>4.1702185699185055</v>
      </c>
      <c r="E18" s="25">
        <v>8.306198229077406</v>
      </c>
      <c r="F18" s="25">
        <v>2.6937977951751417</v>
      </c>
    </row>
    <row r="19">
      <c r="B19" s="55">
        <v>2023.0</v>
      </c>
      <c r="C19" s="25">
        <v>0.21820432247291122</v>
      </c>
      <c r="D19" s="25">
        <v>4.7317034359691315</v>
      </c>
      <c r="E19" s="28">
        <v>4.592973436161097</v>
      </c>
      <c r="F19" s="25">
        <v>2.643262908620491</v>
      </c>
    </row>
    <row r="20">
      <c r="A20" s="6" t="s">
        <v>7</v>
      </c>
      <c r="B20" s="55">
        <v>2025.0</v>
      </c>
      <c r="C20" s="25">
        <v>2.989772672709522</v>
      </c>
      <c r="D20" s="25">
        <v>1.567383866971278</v>
      </c>
      <c r="E20" s="27">
        <v>6.626678091973722</v>
      </c>
      <c r="F20" s="25">
        <v>2.6937977951751417</v>
      </c>
    </row>
    <row r="21">
      <c r="B21" s="26">
        <v>2024.0</v>
      </c>
      <c r="C21" s="25">
        <v>0.6828888331670571</v>
      </c>
      <c r="D21" s="25">
        <v>3.4632477466725775</v>
      </c>
      <c r="E21" s="25">
        <v>5.381319622964868</v>
      </c>
      <c r="F21" s="25">
        <v>3.2644229627760604</v>
      </c>
    </row>
    <row r="22">
      <c r="B22" s="55">
        <v>2023.0</v>
      </c>
      <c r="C22" s="25">
        <v>0.7773195546284393</v>
      </c>
      <c r="D22" s="25">
        <v>2.3118627885566205</v>
      </c>
      <c r="E22" s="28">
        <v>3.4847186518137674</v>
      </c>
      <c r="F22" s="25">
        <v>3.6935304220152116</v>
      </c>
    </row>
    <row r="23">
      <c r="A23" s="6" t="s">
        <v>8</v>
      </c>
      <c r="B23" s="55">
        <v>2025.0</v>
      </c>
      <c r="C23" s="25">
        <v>3.419245727943492</v>
      </c>
      <c r="D23" s="25">
        <v>10.0</v>
      </c>
      <c r="E23" s="27">
        <v>4.215938303341902</v>
      </c>
      <c r="F23" s="25">
        <v>0.1053076599302617</v>
      </c>
    </row>
    <row r="24">
      <c r="B24" s="26">
        <v>2024.0</v>
      </c>
      <c r="C24" s="25">
        <v>3.086870928675463</v>
      </c>
      <c r="D24" s="25">
        <v>10.0</v>
      </c>
      <c r="E24" s="25">
        <v>4.353041988003428</v>
      </c>
      <c r="F24" s="25">
        <v>0.1053076599302617</v>
      </c>
    </row>
    <row r="25">
      <c r="B25" s="55">
        <v>2023.0</v>
      </c>
      <c r="C25" s="25">
        <v>2.9230843100955517</v>
      </c>
      <c r="D25" s="25">
        <v>9.945329105147705</v>
      </c>
      <c r="E25" s="28">
        <v>3.3247643530419886</v>
      </c>
      <c r="F25" s="25">
        <v>0.1053076599302617</v>
      </c>
    </row>
    <row r="26">
      <c r="A26" s="6" t="s">
        <v>9</v>
      </c>
      <c r="B26" s="55">
        <v>2025.0</v>
      </c>
      <c r="C26" s="25">
        <v>4.929070257523782</v>
      </c>
      <c r="D26" s="25">
        <v>2.8472056466737143</v>
      </c>
      <c r="E26" s="27">
        <v>5.324193087689232</v>
      </c>
      <c r="F26" s="25">
        <v>7.067428890639238</v>
      </c>
    </row>
    <row r="27">
      <c r="B27" s="26">
        <v>2024.0</v>
      </c>
      <c r="C27" s="25">
        <v>4.802095615106783</v>
      </c>
      <c r="D27" s="25">
        <v>2.7710528409542974</v>
      </c>
      <c r="E27" s="25">
        <v>4.867180805484147</v>
      </c>
      <c r="F27" s="25">
        <v>7.461364836611223</v>
      </c>
    </row>
    <row r="28">
      <c r="B28" s="55">
        <v>2023.0</v>
      </c>
      <c r="C28" s="25">
        <v>4.3891612738010775</v>
      </c>
      <c r="D28" s="25">
        <v>2.7358179606960595</v>
      </c>
      <c r="E28" s="28">
        <v>6.352470722650672</v>
      </c>
      <c r="F28" s="25">
        <v>7.747878714683642</v>
      </c>
    </row>
    <row r="29">
      <c r="A29" s="6" t="s">
        <v>10</v>
      </c>
      <c r="B29" s="55">
        <v>2025.0</v>
      </c>
      <c r="C29" s="25">
        <v>2.4178532749321118</v>
      </c>
      <c r="D29" s="25">
        <v>10.0</v>
      </c>
      <c r="E29" s="27">
        <v>9.608683233361898</v>
      </c>
      <c r="F29" s="25">
        <v>1.5842598376801713</v>
      </c>
    </row>
    <row r="30">
      <c r="B30" s="26">
        <v>2024.0</v>
      </c>
      <c r="C30" s="25">
        <v>2.3335591845880534</v>
      </c>
      <c r="D30" s="25">
        <v>10.0</v>
      </c>
      <c r="E30" s="25">
        <v>9.837189374464439</v>
      </c>
      <c r="F30" s="25">
        <v>1.6070244503904472</v>
      </c>
    </row>
    <row r="31">
      <c r="B31" s="55">
        <v>2023.0</v>
      </c>
      <c r="C31" s="25">
        <v>2.2978142222269646</v>
      </c>
      <c r="D31" s="25">
        <v>9.499778361237087</v>
      </c>
      <c r="E31" s="28">
        <v>10.0</v>
      </c>
      <c r="F31" s="25">
        <v>1.538289525442943</v>
      </c>
    </row>
    <row r="32">
      <c r="A32" s="6" t="s">
        <v>11</v>
      </c>
      <c r="B32" s="55">
        <v>2025.0</v>
      </c>
      <c r="C32" s="25">
        <v>3.7953680930862848</v>
      </c>
      <c r="D32" s="25">
        <v>1.7503779225059959</v>
      </c>
      <c r="E32" s="27">
        <v>5.88403313339046</v>
      </c>
      <c r="F32" s="25">
        <v>8.156686120324126</v>
      </c>
    </row>
    <row r="33">
      <c r="B33" s="26">
        <v>2024.0</v>
      </c>
      <c r="C33" s="25">
        <v>3.305608758049286</v>
      </c>
      <c r="D33" s="25">
        <v>1.8072083745354115</v>
      </c>
      <c r="E33" s="25">
        <v>5.506998000571266</v>
      </c>
      <c r="F33" s="25">
        <v>8.174688431329507</v>
      </c>
    </row>
    <row r="34">
      <c r="B34" s="55">
        <v>2023.0</v>
      </c>
      <c r="C34" s="25">
        <v>2.5522970139618764</v>
      </c>
      <c r="D34" s="25">
        <v>1.8640388265648267</v>
      </c>
      <c r="E34" s="28">
        <v>5.781205369894316</v>
      </c>
      <c r="F34" s="25">
        <v>7.6948560451166905</v>
      </c>
    </row>
    <row r="35">
      <c r="A35" s="6" t="s">
        <v>12</v>
      </c>
      <c r="B35" s="55">
        <v>2025.0</v>
      </c>
      <c r="C35" s="25">
        <v>3.432583400466286</v>
      </c>
      <c r="D35" s="25">
        <v>8.634818881349384</v>
      </c>
      <c r="E35" s="27">
        <v>4.558697514995716</v>
      </c>
      <c r="F35" s="25">
        <v>1.372555002562161</v>
      </c>
    </row>
    <row r="36">
      <c r="B36" s="26">
        <v>2024.0</v>
      </c>
      <c r="C36" s="25">
        <v>3.381900244879668</v>
      </c>
      <c r="D36" s="25">
        <v>6.365010627294531</v>
      </c>
      <c r="E36" s="25">
        <v>4.6158240502713515</v>
      </c>
      <c r="F36" s="25">
        <v>1.4206996510081038</v>
      </c>
    </row>
    <row r="37">
      <c r="B37" s="55">
        <v>2023.0</v>
      </c>
      <c r="C37" s="25">
        <v>3.069798707846286</v>
      </c>
      <c r="D37" s="25">
        <v>6.429797342608064</v>
      </c>
      <c r="E37" s="28">
        <v>4.604398743216224</v>
      </c>
      <c r="F37" s="25">
        <v>1.6070244503904472</v>
      </c>
    </row>
    <row r="38">
      <c r="A38" s="6" t="s">
        <v>13</v>
      </c>
      <c r="B38" s="55">
        <v>2025.0</v>
      </c>
      <c r="C38" s="25">
        <v>1.4804816500301434</v>
      </c>
      <c r="D38" s="25">
        <v>2.659665154976643</v>
      </c>
      <c r="E38" s="27">
        <v>7.7806341045415595</v>
      </c>
      <c r="F38" s="25">
        <v>0.4354186207964012</v>
      </c>
    </row>
    <row r="39">
      <c r="B39" s="26">
        <v>2024.0</v>
      </c>
      <c r="C39" s="25">
        <v>0.8738843036934684</v>
      </c>
      <c r="D39" s="25">
        <v>4.660097066412067</v>
      </c>
      <c r="E39" s="25">
        <v>8.626106826620966</v>
      </c>
      <c r="F39" s="25">
        <v>0.4668078085841192</v>
      </c>
    </row>
    <row r="40">
      <c r="B40" s="55">
        <v>2023.0</v>
      </c>
      <c r="C40" s="25">
        <v>0.8248016688095862</v>
      </c>
      <c r="D40" s="25">
        <v>4.411179686523228</v>
      </c>
      <c r="E40" s="28">
        <v>7.677806341045415</v>
      </c>
      <c r="F40" s="25">
        <v>0.7375189824041788</v>
      </c>
    </row>
    <row r="41">
      <c r="A41" s="6" t="s">
        <v>14</v>
      </c>
      <c r="B41" s="55">
        <v>2025.0</v>
      </c>
      <c r="C41" s="25">
        <v>5.937398300247016</v>
      </c>
      <c r="D41" s="25">
        <v>1.7776565394801156</v>
      </c>
      <c r="E41" s="27">
        <v>7.5064267352185094</v>
      </c>
      <c r="F41" s="25">
        <v>6.014640237973829</v>
      </c>
    </row>
    <row r="42">
      <c r="B42" s="26">
        <v>2024.0</v>
      </c>
      <c r="C42" s="25">
        <v>4.878920608838077</v>
      </c>
      <c r="D42" s="25">
        <v>1.9174594514724774</v>
      </c>
      <c r="E42" s="25">
        <v>7.209368751785204</v>
      </c>
      <c r="F42" s="25">
        <v>6.329566858041571</v>
      </c>
    </row>
    <row r="43">
      <c r="B43" s="55">
        <v>2023.0</v>
      </c>
      <c r="C43" s="25">
        <v>3.998100715432755</v>
      </c>
      <c r="D43" s="25">
        <v>1.6276241461224585</v>
      </c>
      <c r="E43" s="28">
        <v>9.334475864038847</v>
      </c>
      <c r="F43" s="25">
        <v>6.09923680990828</v>
      </c>
    </row>
    <row r="44">
      <c r="A44" s="6" t="s">
        <v>15</v>
      </c>
      <c r="B44" s="55">
        <v>2025.0</v>
      </c>
      <c r="C44" s="25">
        <v>5.83016341316375</v>
      </c>
      <c r="D44" s="25">
        <v>2.9097191439060714</v>
      </c>
      <c r="E44" s="27">
        <v>2.147957726363896</v>
      </c>
      <c r="F44" s="25">
        <v>3.013532386730711</v>
      </c>
    </row>
    <row r="45">
      <c r="B45" s="26">
        <v>2024.0</v>
      </c>
      <c r="C45" s="25">
        <v>5.008562785759635</v>
      </c>
      <c r="D45" s="25">
        <v>3.67011059205965</v>
      </c>
      <c r="E45" s="25">
        <v>2.68494715795487</v>
      </c>
      <c r="F45" s="25">
        <v>2.998209138302308</v>
      </c>
    </row>
    <row r="46">
      <c r="B46" s="55">
        <v>2023.0</v>
      </c>
      <c r="C46" s="25">
        <v>3.9719588772880785</v>
      </c>
      <c r="D46" s="25">
        <v>3.3552698878166884</v>
      </c>
      <c r="E46" s="28">
        <v>1.8966009711510998</v>
      </c>
      <c r="F46" s="25">
        <v>3.013532386730711</v>
      </c>
    </row>
    <row r="47">
      <c r="A47" s="6" t="s">
        <v>16</v>
      </c>
      <c r="B47" s="55">
        <v>2025.0</v>
      </c>
      <c r="C47" s="25">
        <v>6.138530401890749</v>
      </c>
      <c r="D47" s="25">
        <v>2.0674918448301343</v>
      </c>
      <c r="E47" s="27">
        <v>2.1365324193087694</v>
      </c>
      <c r="F47" s="25">
        <v>3.362806131182609</v>
      </c>
    </row>
    <row r="48">
      <c r="B48" s="26">
        <v>2024.0</v>
      </c>
      <c r="C48" s="25">
        <v>5.372414492181457</v>
      </c>
      <c r="D48" s="25">
        <v>1.8253941191848242</v>
      </c>
      <c r="E48" s="25">
        <v>1.7709225935447017</v>
      </c>
      <c r="F48" s="25">
        <v>3.3489166408126176</v>
      </c>
    </row>
    <row r="49">
      <c r="B49" s="55">
        <v>2023.0</v>
      </c>
      <c r="C49" s="25">
        <v>4.906129460784576</v>
      </c>
      <c r="D49" s="25">
        <v>1.419624691694798</v>
      </c>
      <c r="E49" s="28">
        <v>1.2110825478434735</v>
      </c>
      <c r="F49" s="25">
        <v>3.362806131182609</v>
      </c>
    </row>
    <row r="50">
      <c r="A50" s="6" t="s">
        <v>17</v>
      </c>
      <c r="B50" s="55">
        <v>2025.0</v>
      </c>
      <c r="C50" s="25">
        <v>10.0</v>
      </c>
      <c r="D50" s="25">
        <v>3.080210499994318</v>
      </c>
      <c r="E50" s="27">
        <v>2.707797772065125</v>
      </c>
      <c r="F50" s="25">
        <v>0.9347119857774112</v>
      </c>
    </row>
    <row r="51">
      <c r="B51" s="26">
        <v>2024.0</v>
      </c>
      <c r="C51" s="25">
        <v>10.0</v>
      </c>
      <c r="D51" s="25">
        <v>2.2902672167854425</v>
      </c>
      <c r="E51" s="25">
        <v>3.19908597543559</v>
      </c>
      <c r="F51" s="25">
        <v>1.0954602940340588</v>
      </c>
    </row>
    <row r="52">
      <c r="B52" s="55">
        <v>2023.0</v>
      </c>
      <c r="C52" s="25">
        <v>10.0</v>
      </c>
      <c r="D52" s="25">
        <v>2.5084961525783984</v>
      </c>
      <c r="E52" s="28">
        <v>2.4335904027420736</v>
      </c>
      <c r="F52" s="25">
        <v>1.0954602940340588</v>
      </c>
    </row>
    <row r="53">
      <c r="A53" s="6" t="s">
        <v>18</v>
      </c>
      <c r="B53" s="55">
        <v>2025.0</v>
      </c>
      <c r="C53" s="25">
        <v>1.0851530364545268</v>
      </c>
      <c r="D53" s="25">
        <v>3.8815198736090757</v>
      </c>
      <c r="E53" s="27">
        <v>2.1022564981433876</v>
      </c>
      <c r="F53" s="25">
        <v>2.727093829745566</v>
      </c>
    </row>
    <row r="54">
      <c r="B54" s="26">
        <v>2024.0</v>
      </c>
      <c r="C54" s="25">
        <v>1.1449058093566442</v>
      </c>
      <c r="D54" s="25">
        <v>3.9713119878155516</v>
      </c>
      <c r="E54" s="25">
        <v>2.0794058840331338</v>
      </c>
      <c r="F54" s="25">
        <v>2.873191055939164</v>
      </c>
    </row>
    <row r="55">
      <c r="B55" s="55">
        <v>2023.0</v>
      </c>
      <c r="C55" s="25">
        <v>0.9533768319293212</v>
      </c>
      <c r="D55" s="25">
        <v>2.768779622873121</v>
      </c>
      <c r="E55" s="28">
        <v>1.0968294772922023</v>
      </c>
      <c r="F55" s="25">
        <v>3.013532386730711</v>
      </c>
    </row>
    <row r="56">
      <c r="A56" s="6" t="s">
        <v>19</v>
      </c>
      <c r="B56" s="55">
        <v>2025.0</v>
      </c>
      <c r="C56" s="25">
        <v>0.8904230176217331</v>
      </c>
      <c r="D56" s="25">
        <v>5.2772757754515185</v>
      </c>
      <c r="E56" s="27">
        <v>6.740931162524993</v>
      </c>
      <c r="F56" s="25">
        <v>3.1338020273828997</v>
      </c>
    </row>
    <row r="57">
      <c r="B57" s="26">
        <v>2024.0</v>
      </c>
      <c r="C57" s="25">
        <v>0.9261679799828213</v>
      </c>
      <c r="D57" s="25">
        <v>5.769427490026256</v>
      </c>
      <c r="E57" s="25">
        <v>6.421022564981435</v>
      </c>
      <c r="F57" s="25">
        <v>3.14855422141136</v>
      </c>
    </row>
    <row r="58">
      <c r="B58" s="55">
        <v>2023.0</v>
      </c>
      <c r="C58" s="25">
        <v>1.1790502510149972</v>
      </c>
      <c r="D58" s="25">
        <v>5.142019299621511</v>
      </c>
      <c r="E58" s="28">
        <v>3.941730934018852</v>
      </c>
      <c r="F58" s="25">
        <v>3.2928107605232504</v>
      </c>
    </row>
    <row r="59">
      <c r="A59" s="6" t="s">
        <v>20</v>
      </c>
      <c r="B59" s="55">
        <v>2025.0</v>
      </c>
      <c r="C59" s="25">
        <v>2.745960018992846</v>
      </c>
      <c r="D59" s="25">
        <v>1.1036473784112482</v>
      </c>
      <c r="E59" s="27">
        <v>2.045129962867752</v>
      </c>
      <c r="F59" s="25">
        <v>1.224089780424027</v>
      </c>
    </row>
    <row r="60">
      <c r="B60" s="26">
        <v>2024.0</v>
      </c>
      <c r="C60" s="25">
        <v>5.489786010382046</v>
      </c>
      <c r="D60" s="25">
        <v>0.9933963014741821</v>
      </c>
      <c r="E60" s="25">
        <v>2.559268780348472</v>
      </c>
      <c r="F60" s="25">
        <v>1.224089780424027</v>
      </c>
    </row>
    <row r="61">
      <c r="B61" s="55">
        <v>2023.0</v>
      </c>
      <c r="C61" s="25">
        <v>5.2598445360890755</v>
      </c>
      <c r="D61" s="25">
        <v>0.8660960889282915</v>
      </c>
      <c r="E61" s="28">
        <v>2.056555269922879</v>
      </c>
      <c r="F61" s="25">
        <v>1.2990957038055195</v>
      </c>
    </row>
    <row r="62">
      <c r="A62" s="6" t="s">
        <v>21</v>
      </c>
      <c r="B62" s="55">
        <v>2025.0</v>
      </c>
      <c r="C62" s="25">
        <v>4.636708475824135</v>
      </c>
      <c r="D62" s="25">
        <v>2.2743546902172067</v>
      </c>
      <c r="E62" s="27">
        <v>1.599542987717795</v>
      </c>
      <c r="F62" s="25">
        <v>9.643081049738662</v>
      </c>
    </row>
    <row r="63">
      <c r="B63" s="26">
        <v>2024.0</v>
      </c>
      <c r="C63" s="25">
        <v>4.010371374153726</v>
      </c>
      <c r="D63" s="25">
        <v>2.2754912992577947</v>
      </c>
      <c r="E63" s="25">
        <v>1.7480719794344473</v>
      </c>
      <c r="F63" s="25">
        <v>9.9198198087904</v>
      </c>
    </row>
    <row r="64">
      <c r="B64" s="55">
        <v>2023.0</v>
      </c>
      <c r="C64" s="25">
        <v>3.326415527184845</v>
      </c>
      <c r="D64" s="25">
        <v>2.2823109535013244</v>
      </c>
      <c r="E64" s="28">
        <v>1.5195658383319053</v>
      </c>
      <c r="F64" s="25">
        <v>9.99817079287565</v>
      </c>
    </row>
    <row r="65">
      <c r="A65" s="6" t="s">
        <v>22</v>
      </c>
      <c r="B65" s="55">
        <v>2025.0</v>
      </c>
      <c r="C65" s="25">
        <v>2.4327914681576415</v>
      </c>
      <c r="D65" s="25">
        <v>3.7576294881849504</v>
      </c>
      <c r="E65" s="27">
        <v>9.048843187660669</v>
      </c>
      <c r="F65" s="25">
        <v>0.8515335048642849</v>
      </c>
    </row>
    <row r="66">
      <c r="B66" s="26">
        <v>2024.0</v>
      </c>
      <c r="C66" s="25">
        <v>2.1286925346379357</v>
      </c>
      <c r="D66" s="25">
        <v>3.4393789568202235</v>
      </c>
      <c r="E66" s="25">
        <v>9.163096258211938</v>
      </c>
      <c r="F66" s="25">
        <v>1.0426793321077166</v>
      </c>
    </row>
    <row r="67">
      <c r="B67" s="55">
        <v>2023.0</v>
      </c>
      <c r="C67" s="25">
        <v>1.8832793602185247</v>
      </c>
      <c r="D67" s="25">
        <v>3.379138677669043</v>
      </c>
      <c r="E67" s="28">
        <v>6.135389888603257</v>
      </c>
      <c r="F67" s="25">
        <v>1.1731939181593152</v>
      </c>
    </row>
    <row r="68">
      <c r="A68" s="6" t="s">
        <v>24</v>
      </c>
      <c r="B68" s="55">
        <v>2025.0</v>
      </c>
      <c r="C68" s="25">
        <v>0.1461808908498232</v>
      </c>
      <c r="D68" s="25">
        <v>10.0</v>
      </c>
      <c r="E68" s="27">
        <v>1.0054270208511855</v>
      </c>
      <c r="F68" s="25">
        <v>2.433634814900483</v>
      </c>
    </row>
    <row r="69">
      <c r="B69" s="26">
        <v>2024.0</v>
      </c>
      <c r="C69" s="25">
        <v>0.11211647522660713</v>
      </c>
      <c r="D69" s="25">
        <v>0.0</v>
      </c>
      <c r="E69" s="25">
        <v>0.9711510996858042</v>
      </c>
      <c r="F69" s="25">
        <v>2.267900292019702</v>
      </c>
    </row>
    <row r="70">
      <c r="B70" s="55">
        <v>2023.0</v>
      </c>
      <c r="C70" s="25">
        <v>0.38252444795373436</v>
      </c>
      <c r="D70" s="25">
        <v>8.079017060501702</v>
      </c>
      <c r="E70" s="28">
        <v>0.6780919737217939</v>
      </c>
      <c r="F70" s="25">
        <v>2.0140151103163966</v>
      </c>
    </row>
    <row r="71">
      <c r="A71" s="6" t="s">
        <v>25</v>
      </c>
      <c r="B71" s="55">
        <v>2025.0</v>
      </c>
      <c r="C71" s="25">
        <v>7.159129103334952</v>
      </c>
      <c r="D71" s="25">
        <v>10.0</v>
      </c>
      <c r="E71" s="27">
        <v>5.8383319051699525</v>
      </c>
      <c r="F71" s="25">
        <v>1.8694239715548224</v>
      </c>
    </row>
    <row r="72">
      <c r="B72" s="26">
        <v>2024.0</v>
      </c>
      <c r="C72" s="25">
        <v>6.715784868677277</v>
      </c>
      <c r="D72" s="25">
        <v>6.222934497220992</v>
      </c>
      <c r="E72" s="25">
        <v>6.6723793201942305</v>
      </c>
      <c r="F72" s="25">
        <v>1.827010973409848</v>
      </c>
    </row>
    <row r="73">
      <c r="B73" s="55">
        <v>2023.0</v>
      </c>
      <c r="C73" s="25">
        <v>6.145465991602602</v>
      </c>
      <c r="D73" s="25">
        <v>10.0</v>
      </c>
      <c r="E73" s="28">
        <v>5.941159668666096</v>
      </c>
      <c r="F73" s="25">
        <v>1.652121885061777</v>
      </c>
    </row>
    <row r="74">
      <c r="A74" s="6" t="s">
        <v>26</v>
      </c>
      <c r="B74" s="55">
        <v>2025.0</v>
      </c>
      <c r="C74" s="25">
        <v>2.5560315622682586</v>
      </c>
      <c r="D74" s="25">
        <v>10.0</v>
      </c>
      <c r="E74" s="27">
        <v>2.707797772065125</v>
      </c>
      <c r="F74" s="25">
        <v>0.1053076599302617</v>
      </c>
    </row>
    <row r="75">
      <c r="B75" s="26">
        <v>2024.0</v>
      </c>
      <c r="C75" s="25">
        <v>1.418061342623467</v>
      </c>
      <c r="D75" s="25">
        <v>10.0</v>
      </c>
      <c r="E75" s="25">
        <v>2.422165095686947</v>
      </c>
      <c r="F75" s="25">
        <v>0.20759171197414183</v>
      </c>
    </row>
    <row r="76">
      <c r="B76" s="55">
        <v>2023.0</v>
      </c>
      <c r="C76" s="25">
        <v>2.9214837893928163</v>
      </c>
      <c r="D76" s="25">
        <v>10.0</v>
      </c>
      <c r="E76" s="28">
        <v>2.0794058840331338</v>
      </c>
      <c r="F76" s="25">
        <v>0.20759171197414183</v>
      </c>
    </row>
    <row r="77">
      <c r="A77" s="6" t="s">
        <v>27</v>
      </c>
      <c r="B77" s="55">
        <v>2025.0</v>
      </c>
      <c r="C77" s="25">
        <v>2.0065194543291422</v>
      </c>
      <c r="D77" s="25">
        <v>3.3234448346802155</v>
      </c>
      <c r="E77" s="27">
        <v>5.152813481862325</v>
      </c>
      <c r="F77" s="25">
        <v>3.3489166408126176</v>
      </c>
    </row>
    <row r="78">
      <c r="B78" s="26">
        <v>2024.0</v>
      </c>
      <c r="C78" s="25">
        <v>2.1009501757905245</v>
      </c>
      <c r="D78" s="25">
        <v>2.886986963094305</v>
      </c>
      <c r="E78" s="25">
        <v>7.574978577549272</v>
      </c>
      <c r="F78" s="25">
        <v>3.118988493493944</v>
      </c>
    </row>
    <row r="79">
      <c r="B79" s="55">
        <v>2023.0</v>
      </c>
      <c r="C79" s="25">
        <v>1.9531687642379658</v>
      </c>
      <c r="D79" s="25">
        <v>2.3289119241654452</v>
      </c>
      <c r="E79" s="28">
        <v>6.306769494430162</v>
      </c>
      <c r="F79" s="25">
        <v>1.7406394761467345</v>
      </c>
    </row>
    <row r="80">
      <c r="A80" s="6" t="s">
        <v>28</v>
      </c>
      <c r="B80" s="55">
        <v>2025.0</v>
      </c>
      <c r="C80" s="25">
        <v>2.3212885258670823</v>
      </c>
      <c r="D80" s="25">
        <v>0.8354076448324071</v>
      </c>
      <c r="E80" s="27">
        <v>10.0</v>
      </c>
      <c r="F80" s="25">
        <v>0.30702094946767255</v>
      </c>
    </row>
    <row r="81">
      <c r="B81" s="26">
        <v>2024.0</v>
      </c>
      <c r="C81" s="25">
        <v>2.2311258596129946</v>
      </c>
      <c r="D81" s="25">
        <v>0.5978563553494506</v>
      </c>
      <c r="E81" s="25">
        <v>10.0</v>
      </c>
      <c r="F81" s="25">
        <v>0.4037504143479793</v>
      </c>
    </row>
    <row r="82">
      <c r="B82" s="55">
        <v>2023.0</v>
      </c>
      <c r="C82" s="25">
        <v>0.667417133040616</v>
      </c>
      <c r="D82" s="25">
        <v>0.9990793466771236</v>
      </c>
      <c r="E82" s="28">
        <v>6.775207083690375</v>
      </c>
      <c r="F82" s="25">
        <v>0.619734709160605</v>
      </c>
    </row>
    <row r="83">
      <c r="A83" s="6" t="s">
        <v>29</v>
      </c>
      <c r="B83" s="55">
        <v>2025.0</v>
      </c>
      <c r="C83" s="25">
        <v>10.0</v>
      </c>
      <c r="D83" s="25">
        <v>3.796274195564952</v>
      </c>
      <c r="E83" s="32">
        <v>5.09568694658669</v>
      </c>
      <c r="F83" s="25">
        <v>1.015992692214214</v>
      </c>
    </row>
    <row r="84">
      <c r="B84" s="26">
        <v>2024.0</v>
      </c>
      <c r="C84" s="25">
        <v>10.0</v>
      </c>
      <c r="D84" s="25">
        <v>1.7765199304395272</v>
      </c>
      <c r="E84" s="36">
        <v>4.535846900885462</v>
      </c>
      <c r="F84" s="25">
        <v>0.559349369176622</v>
      </c>
    </row>
    <row r="85">
      <c r="B85" s="55">
        <v>2023.0</v>
      </c>
      <c r="C85" s="25">
        <v>9.365180138605094</v>
      </c>
      <c r="D85" s="25">
        <v>2.4516657005489826</v>
      </c>
      <c r="E85" s="52">
        <v>3.976006855184233</v>
      </c>
      <c r="F85" s="25">
        <v>0.589669975742353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53" t="s">
        <v>93</v>
      </c>
      <c r="B1" s="53" t="s">
        <v>94</v>
      </c>
      <c r="C1" s="26" t="s">
        <v>99</v>
      </c>
      <c r="D1" s="26" t="s">
        <v>100</v>
      </c>
      <c r="E1" s="26" t="s">
        <v>101</v>
      </c>
      <c r="F1" s="26" t="s">
        <v>102</v>
      </c>
      <c r="G1" s="26" t="s">
        <v>103</v>
      </c>
      <c r="H1" s="26" t="s">
        <v>104</v>
      </c>
      <c r="I1" s="26" t="s">
        <v>105</v>
      </c>
      <c r="J1" s="26" t="s">
        <v>106</v>
      </c>
      <c r="K1" s="26" t="s">
        <v>107</v>
      </c>
      <c r="L1" s="26" t="s">
        <v>108</v>
      </c>
      <c r="M1" s="26" t="s">
        <v>109</v>
      </c>
      <c r="N1" s="26" t="s">
        <v>110</v>
      </c>
    </row>
    <row r="2">
      <c r="A2" s="54" t="s">
        <v>1</v>
      </c>
      <c r="B2" s="55">
        <v>2025.0</v>
      </c>
      <c r="C2" s="25">
        <f>MAX(MIN(1, (Fuzzy_Parameters!$C$4 - Sheet7!C2)/(Fuzzy_Parameters!$C$4 - Fuzzy_Parameters!$C$3)), 0)</f>
        <v>0</v>
      </c>
      <c r="D2" s="25">
        <f>MAX(MIN((Sheet7!C2 - Fuzzy_Parameters!$C$3)/(Fuzzy_Parameters!$C$4 - Fuzzy_Parameters!$C$3), 1, (Fuzzy_Parameters!$C$6 - Sheet7!C2)/(Fuzzy_Parameters!$C$6 - Fuzzy_Parameters!$C$5)), 0)</f>
        <v>0.6717342342</v>
      </c>
      <c r="E2" s="25">
        <f>MAX(MIN((Sheet7!C2 - Fuzzy_Parameters!$C$5)/(Fuzzy_Parameters!$C$6 - Fuzzy_Parameters!$C$5), 1), 0)</f>
        <v>0.3282657658</v>
      </c>
      <c r="F2" s="25">
        <f>MAX(MIN(1, (Fuzzy_Parameters!$C$12 - Sheet7!D2)/(Fuzzy_Parameters!$C$12 - Fuzzy_Parameters!$C$11)), 0)</f>
        <v>0.2787028922</v>
      </c>
      <c r="G2" s="25">
        <f>MAX(MIN((Sheet7!D2 - Fuzzy_Parameters!$C$11)/(Fuzzy_Parameters!$C$12 - Fuzzy_Parameters!$C$11), 1, (Fuzzy_Parameters!$C$14 - Sheet7!D2)/(Fuzzy_Parameters!$C$14 - Fuzzy_Parameters!$C$13)), 0)</f>
        <v>0.7212971078</v>
      </c>
      <c r="H2" s="25">
        <f>MAX(MIN((Sheet7!D2 - Fuzzy_Parameters!$C$13)/(Fuzzy_Parameters!$C$14 - Fuzzy_Parameters!$C$13), 1), 0)</f>
        <v>0</v>
      </c>
      <c r="I2" s="25">
        <f>MAX(MIN(1, (Fuzzy_Parameters!$C$20 - Sheet7!E2)/(Fuzzy_Parameters!$C$20 - Fuzzy_Parameters!$C$19)), 0)</f>
        <v>0</v>
      </c>
      <c r="J2" s="25">
        <f>MAX(MIN((Sheet7!E2 - Fuzzy_Parameters!$C$19)/(Fuzzy_Parameters!$C$20 - Fuzzy_Parameters!$C$19), 1, (Fuzzy_Parameters!$C$22 - Sheet7!E2)/(Fuzzy_Parameters!$C$22 - Fuzzy_Parameters!$C$21)), 0)</f>
        <v>0</v>
      </c>
      <c r="K2" s="25">
        <f>MAX(MIN((Sheet7!E2 - Fuzzy_Parameters!$C$21)/(Fuzzy_Parameters!$C$22 - Fuzzy_Parameters!$C$21), 1), 0)</f>
        <v>1</v>
      </c>
      <c r="L2" s="25">
        <f>MAX(MIN(1, (Fuzzy_Parameters!$C$28 - Sheet7!F2)/(Fuzzy_Parameters!$C$28 - Fuzzy_Parameters!$C$27)), 0)</f>
        <v>0</v>
      </c>
      <c r="M2" s="25">
        <f>MAX(MIN((Sheet7!F2 - Fuzzy_Parameters!$C$27)/(Fuzzy_Parameters!$C$28 - Fuzzy_Parameters!$C$27), 1, (Fuzzy_Parameters!$C$30 - Sheet7!F2)/(Fuzzy_Parameters!$C$30 - Fuzzy_Parameters!$C$29)), 0)</f>
        <v>1</v>
      </c>
      <c r="N2" s="25">
        <f>MAX(MIN((Sheet7!F2 - Fuzzy_Parameters!$C$29)/(Fuzzy_Parameters!$C$30 - Fuzzy_Parameters!$C$29), 1), 0)</f>
        <v>0</v>
      </c>
    </row>
    <row r="3">
      <c r="A3" s="54" t="s">
        <v>1</v>
      </c>
      <c r="B3" s="26">
        <v>2024.0</v>
      </c>
      <c r="C3" s="25">
        <f>MAX(MIN(1, (Fuzzy_Parameters!$C$4 - Sheet7!C3)/(Fuzzy_Parameters!$C$4 - Fuzzy_Parameters!$C$3)), 0)</f>
        <v>0</v>
      </c>
      <c r="D3" s="25">
        <f>MAX(MIN((Sheet7!C3 - Fuzzy_Parameters!$C$3)/(Fuzzy_Parameters!$C$4 - Fuzzy_Parameters!$C$3), 1, (Fuzzy_Parameters!$C$6 - Sheet7!C3)/(Fuzzy_Parameters!$C$6 - Fuzzy_Parameters!$C$5)), 0)</f>
        <v>1</v>
      </c>
      <c r="E3" s="25">
        <f>MAX(MIN((Sheet7!C3 - Fuzzy_Parameters!$C$5)/(Fuzzy_Parameters!$C$6 - Fuzzy_Parameters!$C$5), 1), 0)</f>
        <v>0</v>
      </c>
      <c r="F3" s="25">
        <f>MAX(MIN(1, (Fuzzy_Parameters!$C$12 - Sheet7!D3)/(Fuzzy_Parameters!$C$12 - Fuzzy_Parameters!$C$11)), 0)</f>
        <v>0.1358457493</v>
      </c>
      <c r="G3" s="25">
        <f>MAX(MIN((Sheet7!D3 - Fuzzy_Parameters!$C$11)/(Fuzzy_Parameters!$C$12 - Fuzzy_Parameters!$C$11), 1, (Fuzzy_Parameters!$C$14 - Sheet7!D3)/(Fuzzy_Parameters!$C$14 - Fuzzy_Parameters!$C$13)), 0)</f>
        <v>0.8641542507</v>
      </c>
      <c r="H3" s="25">
        <f>MAX(MIN((Sheet7!D3 - Fuzzy_Parameters!$C$13)/(Fuzzy_Parameters!$C$14 - Fuzzy_Parameters!$C$13), 1), 0)</f>
        <v>0</v>
      </c>
      <c r="I3" s="25">
        <f>MAX(MIN(1, (Fuzzy_Parameters!$C$20 - Sheet7!E3)/(Fuzzy_Parameters!$C$20 - Fuzzy_Parameters!$C$19)), 0)</f>
        <v>0</v>
      </c>
      <c r="J3" s="25">
        <f>MAX(MIN((Sheet7!E3 - Fuzzy_Parameters!$C$19)/(Fuzzy_Parameters!$C$20 - Fuzzy_Parameters!$C$19), 1, (Fuzzy_Parameters!$C$22 - Sheet7!E3)/(Fuzzy_Parameters!$C$22 - Fuzzy_Parameters!$C$21)), 0)</f>
        <v>0</v>
      </c>
      <c r="K3" s="25">
        <f>MAX(MIN((Sheet7!E3 - Fuzzy_Parameters!$C$21)/(Fuzzy_Parameters!$C$22 - Fuzzy_Parameters!$C$21), 1), 0)</f>
        <v>1</v>
      </c>
      <c r="L3" s="25">
        <f>MAX(MIN(1, (Fuzzy_Parameters!$C$28 - Sheet7!F3)/(Fuzzy_Parameters!$C$28 - Fuzzy_Parameters!$C$27)), 0)</f>
        <v>0</v>
      </c>
      <c r="M3" s="25">
        <f>MAX(MIN((Sheet7!F3 - Fuzzy_Parameters!$C$27)/(Fuzzy_Parameters!$C$28 - Fuzzy_Parameters!$C$27), 1, (Fuzzy_Parameters!$C$30 - Sheet7!F3)/(Fuzzy_Parameters!$C$30 - Fuzzy_Parameters!$C$29)), 0)</f>
        <v>1</v>
      </c>
      <c r="N3" s="25">
        <f>MAX(MIN((Sheet7!F3 - Fuzzy_Parameters!$C$29)/(Fuzzy_Parameters!$C$30 - Fuzzy_Parameters!$C$29), 1), 0)</f>
        <v>0</v>
      </c>
    </row>
    <row r="4">
      <c r="A4" s="54" t="s">
        <v>1</v>
      </c>
      <c r="B4" s="55">
        <v>2023.0</v>
      </c>
      <c r="C4" s="25">
        <f>MAX(MIN(1, (Fuzzy_Parameters!$C$4 - Sheet7!C4)/(Fuzzy_Parameters!$C$4 - Fuzzy_Parameters!$C$3)), 0)</f>
        <v>0</v>
      </c>
      <c r="D4" s="25">
        <f>MAX(MIN((Sheet7!C4 - Fuzzy_Parameters!$C$3)/(Fuzzy_Parameters!$C$4 - Fuzzy_Parameters!$C$3), 1, (Fuzzy_Parameters!$C$6 - Sheet7!C4)/(Fuzzy_Parameters!$C$6 - Fuzzy_Parameters!$C$5)), 0)</f>
        <v>1</v>
      </c>
      <c r="E4" s="25">
        <f>MAX(MIN((Sheet7!C4 - Fuzzy_Parameters!$C$5)/(Fuzzy_Parameters!$C$6 - Fuzzy_Parameters!$C$5), 1), 0)</f>
        <v>0</v>
      </c>
      <c r="F4" s="25">
        <f>MAX(MIN(1, (Fuzzy_Parameters!$C$12 - Sheet7!D4)/(Fuzzy_Parameters!$C$12 - Fuzzy_Parameters!$C$11)), 0)</f>
        <v>0</v>
      </c>
      <c r="G4" s="25">
        <f>MAX(MIN((Sheet7!D4 - Fuzzy_Parameters!$C$11)/(Fuzzy_Parameters!$C$12 - Fuzzy_Parameters!$C$11), 1, (Fuzzy_Parameters!$C$14 - Sheet7!D4)/(Fuzzy_Parameters!$C$14 - Fuzzy_Parameters!$C$13)), 0)</f>
        <v>1</v>
      </c>
      <c r="H4" s="25">
        <f>MAX(MIN((Sheet7!D4 - Fuzzy_Parameters!$C$13)/(Fuzzy_Parameters!$C$14 - Fuzzy_Parameters!$C$13), 1), 0)</f>
        <v>0</v>
      </c>
      <c r="I4" s="25">
        <f>MAX(MIN(1, (Fuzzy_Parameters!$C$20 - Sheet7!E4)/(Fuzzy_Parameters!$C$20 - Fuzzy_Parameters!$C$19)), 0)</f>
        <v>0</v>
      </c>
      <c r="J4" s="25">
        <f>MAX(MIN((Sheet7!E4 - Fuzzy_Parameters!$C$19)/(Fuzzy_Parameters!$C$20 - Fuzzy_Parameters!$C$19), 1, (Fuzzy_Parameters!$C$22 - Sheet7!E4)/(Fuzzy_Parameters!$C$22 - Fuzzy_Parameters!$C$21)), 0)</f>
        <v>0</v>
      </c>
      <c r="K4" s="25">
        <f>MAX(MIN((Sheet7!E4 - Fuzzy_Parameters!$C$21)/(Fuzzy_Parameters!$C$22 - Fuzzy_Parameters!$C$21), 1), 0)</f>
        <v>1</v>
      </c>
      <c r="L4" s="25">
        <f>MAX(MIN(1, (Fuzzy_Parameters!$C$28 - Sheet7!F4)/(Fuzzy_Parameters!$C$28 - Fuzzy_Parameters!$C$27)), 0)</f>
        <v>0</v>
      </c>
      <c r="M4" s="25">
        <f>MAX(MIN((Sheet7!F4 - Fuzzy_Parameters!$C$27)/(Fuzzy_Parameters!$C$28 - Fuzzy_Parameters!$C$27), 1, (Fuzzy_Parameters!$C$30 - Sheet7!F4)/(Fuzzy_Parameters!$C$30 - Fuzzy_Parameters!$C$29)), 0)</f>
        <v>1</v>
      </c>
      <c r="N4" s="25">
        <f>MAX(MIN((Sheet7!F4 - Fuzzy_Parameters!$C$29)/(Fuzzy_Parameters!$C$30 - Fuzzy_Parameters!$C$29), 1), 0)</f>
        <v>0</v>
      </c>
    </row>
    <row r="5">
      <c r="A5" s="6" t="s">
        <v>2</v>
      </c>
      <c r="B5" s="55">
        <v>2025.0</v>
      </c>
      <c r="C5" s="25">
        <f>MAX(MIN(1, (Fuzzy_Parameters!$C$4 - Sheet7!C5)/(Fuzzy_Parameters!$C$4 - Fuzzy_Parameters!$C$3)), 0)</f>
        <v>0</v>
      </c>
      <c r="D5" s="25">
        <f>MAX(MIN((Sheet7!C5 - Fuzzy_Parameters!$C$3)/(Fuzzy_Parameters!$C$4 - Fuzzy_Parameters!$C$3), 1, (Fuzzy_Parameters!$C$6 - Sheet7!C5)/(Fuzzy_Parameters!$C$6 - Fuzzy_Parameters!$C$5)), 0)</f>
        <v>1</v>
      </c>
      <c r="E5" s="25">
        <f>MAX(MIN((Sheet7!C5 - Fuzzy_Parameters!$C$5)/(Fuzzy_Parameters!$C$6 - Fuzzy_Parameters!$C$5), 1), 0)</f>
        <v>0</v>
      </c>
      <c r="F5" s="25">
        <f>MAX(MIN(1, (Fuzzy_Parameters!$C$12 - Sheet7!D5)/(Fuzzy_Parameters!$C$12 - Fuzzy_Parameters!$C$11)), 0)</f>
        <v>0</v>
      </c>
      <c r="G5" s="25">
        <f>MAX(MIN((Sheet7!D5 - Fuzzy_Parameters!$C$11)/(Fuzzy_Parameters!$C$12 - Fuzzy_Parameters!$C$11), 1, (Fuzzy_Parameters!$C$14 - Sheet7!D5)/(Fuzzy_Parameters!$C$14 - Fuzzy_Parameters!$C$13)), 0)</f>
        <v>0</v>
      </c>
      <c r="H5" s="25">
        <f>MAX(MIN((Sheet7!D5 - Fuzzy_Parameters!$C$13)/(Fuzzy_Parameters!$C$14 - Fuzzy_Parameters!$C$13), 1), 0)</f>
        <v>1</v>
      </c>
      <c r="I5" s="25">
        <f>MAX(MIN(1, (Fuzzy_Parameters!$C$20 - Sheet7!E5)/(Fuzzy_Parameters!$C$20 - Fuzzy_Parameters!$C$19)), 0)</f>
        <v>0</v>
      </c>
      <c r="J5" s="25">
        <f>MAX(MIN((Sheet7!E5 - Fuzzy_Parameters!$C$19)/(Fuzzy_Parameters!$C$20 - Fuzzy_Parameters!$C$19), 1, (Fuzzy_Parameters!$C$22 - Sheet7!E5)/(Fuzzy_Parameters!$C$22 - Fuzzy_Parameters!$C$21)), 0)</f>
        <v>0</v>
      </c>
      <c r="K5" s="25">
        <f>MAX(MIN((Sheet7!E5 - Fuzzy_Parameters!$C$21)/(Fuzzy_Parameters!$C$22 - Fuzzy_Parameters!$C$21), 1), 0)</f>
        <v>1</v>
      </c>
      <c r="L5" s="25">
        <f>MAX(MIN(1, (Fuzzy_Parameters!$C$28 - Sheet7!F5)/(Fuzzy_Parameters!$C$28 - Fuzzy_Parameters!$C$27)), 0)</f>
        <v>1</v>
      </c>
      <c r="M5" s="25">
        <f>MAX(MIN((Sheet7!F5 - Fuzzy_Parameters!$C$27)/(Fuzzy_Parameters!$C$28 - Fuzzy_Parameters!$C$27), 1, (Fuzzy_Parameters!$C$30 - Sheet7!F5)/(Fuzzy_Parameters!$C$30 - Fuzzy_Parameters!$C$29)), 0)</f>
        <v>0</v>
      </c>
      <c r="N5" s="25">
        <f>MAX(MIN((Sheet7!F5 - Fuzzy_Parameters!$C$29)/(Fuzzy_Parameters!$C$30 - Fuzzy_Parameters!$C$29), 1), 0)</f>
        <v>0</v>
      </c>
    </row>
    <row r="6">
      <c r="A6" s="6" t="s">
        <v>2</v>
      </c>
      <c r="B6" s="26">
        <v>2024.0</v>
      </c>
      <c r="C6" s="25">
        <f>MAX(MIN(1, (Fuzzy_Parameters!$C$4 - Sheet7!C6)/(Fuzzy_Parameters!$C$4 - Fuzzy_Parameters!$C$3)), 0)</f>
        <v>0</v>
      </c>
      <c r="D6" s="25">
        <f>MAX(MIN((Sheet7!C6 - Fuzzy_Parameters!$C$3)/(Fuzzy_Parameters!$C$4 - Fuzzy_Parameters!$C$3), 1, (Fuzzy_Parameters!$C$6 - Sheet7!C6)/(Fuzzy_Parameters!$C$6 - Fuzzy_Parameters!$C$5)), 0)</f>
        <v>0.5143581081</v>
      </c>
      <c r="E6" s="25">
        <f>MAX(MIN((Sheet7!C6 - Fuzzy_Parameters!$C$5)/(Fuzzy_Parameters!$C$6 - Fuzzy_Parameters!$C$5), 1), 0)</f>
        <v>0.4856418919</v>
      </c>
      <c r="F6" s="25">
        <f>MAX(MIN(1, (Fuzzy_Parameters!$C$12 - Sheet7!D6)/(Fuzzy_Parameters!$C$12 - Fuzzy_Parameters!$C$11)), 0)</f>
        <v>0</v>
      </c>
      <c r="G6" s="25">
        <f>MAX(MIN((Sheet7!D6 - Fuzzy_Parameters!$C$11)/(Fuzzy_Parameters!$C$12 - Fuzzy_Parameters!$C$11), 1, (Fuzzy_Parameters!$C$14 - Sheet7!D6)/(Fuzzy_Parameters!$C$14 - Fuzzy_Parameters!$C$13)), 0)</f>
        <v>0</v>
      </c>
      <c r="H6" s="25">
        <f>MAX(MIN((Sheet7!D6 - Fuzzy_Parameters!$C$13)/(Fuzzy_Parameters!$C$14 - Fuzzy_Parameters!$C$13), 1), 0)</f>
        <v>1</v>
      </c>
      <c r="I6" s="25">
        <f>MAX(MIN(1, (Fuzzy_Parameters!$C$20 - Sheet7!E6)/(Fuzzy_Parameters!$C$20 - Fuzzy_Parameters!$C$19)), 0)</f>
        <v>0</v>
      </c>
      <c r="J6" s="25">
        <f>MAX(MIN((Sheet7!E6 - Fuzzy_Parameters!$C$19)/(Fuzzy_Parameters!$C$20 - Fuzzy_Parameters!$C$19), 1, (Fuzzy_Parameters!$C$22 - Sheet7!E6)/(Fuzzy_Parameters!$C$22 - Fuzzy_Parameters!$C$21)), 0)</f>
        <v>0</v>
      </c>
      <c r="K6" s="25">
        <f>MAX(MIN((Sheet7!E6 - Fuzzy_Parameters!$C$21)/(Fuzzy_Parameters!$C$22 - Fuzzy_Parameters!$C$21), 1), 0)</f>
        <v>1</v>
      </c>
      <c r="L6" s="25">
        <f>MAX(MIN(1, (Fuzzy_Parameters!$C$28 - Sheet7!F6)/(Fuzzy_Parameters!$C$28 - Fuzzy_Parameters!$C$27)), 0)</f>
        <v>1</v>
      </c>
      <c r="M6" s="25">
        <f>MAX(MIN((Sheet7!F6 - Fuzzy_Parameters!$C$27)/(Fuzzy_Parameters!$C$28 - Fuzzy_Parameters!$C$27), 1, (Fuzzy_Parameters!$C$30 - Sheet7!F6)/(Fuzzy_Parameters!$C$30 - Fuzzy_Parameters!$C$29)), 0)</f>
        <v>0</v>
      </c>
      <c r="N6" s="25">
        <f>MAX(MIN((Sheet7!F6 - Fuzzy_Parameters!$C$29)/(Fuzzy_Parameters!$C$30 - Fuzzy_Parameters!$C$29), 1), 0)</f>
        <v>0</v>
      </c>
    </row>
    <row r="7">
      <c r="A7" s="6" t="s">
        <v>2</v>
      </c>
      <c r="B7" s="55">
        <v>2023.0</v>
      </c>
      <c r="C7" s="25">
        <f>MAX(MIN(1, (Fuzzy_Parameters!$C$4 - Sheet7!C7)/(Fuzzy_Parameters!$C$4 - Fuzzy_Parameters!$C$3)), 0)</f>
        <v>0</v>
      </c>
      <c r="D7" s="25">
        <f>MAX(MIN((Sheet7!C7 - Fuzzy_Parameters!$C$3)/(Fuzzy_Parameters!$C$4 - Fuzzy_Parameters!$C$3), 1, (Fuzzy_Parameters!$C$6 - Sheet7!C7)/(Fuzzy_Parameters!$C$6 - Fuzzy_Parameters!$C$5)), 0)</f>
        <v>0.9118806306</v>
      </c>
      <c r="E7" s="25">
        <f>MAX(MIN((Sheet7!C7 - Fuzzy_Parameters!$C$5)/(Fuzzy_Parameters!$C$6 - Fuzzy_Parameters!$C$5), 1), 0)</f>
        <v>0.08811936937</v>
      </c>
      <c r="F7" s="25">
        <f>MAX(MIN(1, (Fuzzy_Parameters!$C$12 - Sheet7!D7)/(Fuzzy_Parameters!$C$12 - Fuzzy_Parameters!$C$11)), 0)</f>
        <v>0</v>
      </c>
      <c r="G7" s="25">
        <f>MAX(MIN((Sheet7!D7 - Fuzzy_Parameters!$C$11)/(Fuzzy_Parameters!$C$12 - Fuzzy_Parameters!$C$11), 1, (Fuzzy_Parameters!$C$14 - Sheet7!D7)/(Fuzzy_Parameters!$C$14 - Fuzzy_Parameters!$C$13)), 0)</f>
        <v>0</v>
      </c>
      <c r="H7" s="25">
        <f>MAX(MIN((Sheet7!D7 - Fuzzy_Parameters!$C$13)/(Fuzzy_Parameters!$C$14 - Fuzzy_Parameters!$C$13), 1), 0)</f>
        <v>1</v>
      </c>
      <c r="I7" s="25">
        <f>MAX(MIN(1, (Fuzzy_Parameters!$C$20 - Sheet7!E7)/(Fuzzy_Parameters!$C$20 - Fuzzy_Parameters!$C$19)), 0)</f>
        <v>0</v>
      </c>
      <c r="J7" s="25">
        <f>MAX(MIN((Sheet7!E7 - Fuzzy_Parameters!$C$19)/(Fuzzy_Parameters!$C$20 - Fuzzy_Parameters!$C$19), 1, (Fuzzy_Parameters!$C$22 - Sheet7!E7)/(Fuzzy_Parameters!$C$22 - Fuzzy_Parameters!$C$21)), 0)</f>
        <v>0</v>
      </c>
      <c r="K7" s="25">
        <f>MAX(MIN((Sheet7!E7 - Fuzzy_Parameters!$C$21)/(Fuzzy_Parameters!$C$22 - Fuzzy_Parameters!$C$21), 1), 0)</f>
        <v>1</v>
      </c>
      <c r="L7" s="25">
        <f>MAX(MIN(1, (Fuzzy_Parameters!$C$28 - Sheet7!F7)/(Fuzzy_Parameters!$C$28 - Fuzzy_Parameters!$C$27)), 0)</f>
        <v>1</v>
      </c>
      <c r="M7" s="25">
        <f>MAX(MIN((Sheet7!F7 - Fuzzy_Parameters!$C$27)/(Fuzzy_Parameters!$C$28 - Fuzzy_Parameters!$C$27), 1, (Fuzzy_Parameters!$C$30 - Sheet7!F7)/(Fuzzy_Parameters!$C$30 - Fuzzy_Parameters!$C$29)), 0)</f>
        <v>0</v>
      </c>
      <c r="N7" s="25">
        <f>MAX(MIN((Sheet7!F7 - Fuzzy_Parameters!$C$29)/(Fuzzy_Parameters!$C$30 - Fuzzy_Parameters!$C$29), 1), 0)</f>
        <v>0</v>
      </c>
    </row>
    <row r="8">
      <c r="A8" s="6" t="s">
        <v>3</v>
      </c>
      <c r="B8" s="55">
        <v>2025.0</v>
      </c>
      <c r="C8" s="25">
        <f>MAX(MIN(1, (Fuzzy_Parameters!$C$4 - Sheet7!C8)/(Fuzzy_Parameters!$C$4 - Fuzzy_Parameters!$C$3)), 0)</f>
        <v>0</v>
      </c>
      <c r="D8" s="25">
        <f>MAX(MIN((Sheet7!C8 - Fuzzy_Parameters!$C$3)/(Fuzzy_Parameters!$C$4 - Fuzzy_Parameters!$C$3), 1, (Fuzzy_Parameters!$C$6 - Sheet7!C8)/(Fuzzy_Parameters!$C$6 - Fuzzy_Parameters!$C$5)), 0)</f>
        <v>0</v>
      </c>
      <c r="E8" s="25">
        <f>MAX(MIN((Sheet7!C8 - Fuzzy_Parameters!$C$5)/(Fuzzy_Parameters!$C$6 - Fuzzy_Parameters!$C$5), 1), 0)</f>
        <v>1</v>
      </c>
      <c r="F8" s="25">
        <f>MAX(MIN(1, (Fuzzy_Parameters!$C$12 - Sheet7!D8)/(Fuzzy_Parameters!$C$12 - Fuzzy_Parameters!$C$11)), 0)</f>
        <v>1</v>
      </c>
      <c r="G8" s="25">
        <f>MAX(MIN((Sheet7!D8 - Fuzzy_Parameters!$C$11)/(Fuzzy_Parameters!$C$12 - Fuzzy_Parameters!$C$11), 1, (Fuzzy_Parameters!$C$14 - Sheet7!D8)/(Fuzzy_Parameters!$C$14 - Fuzzy_Parameters!$C$13)), 0)</f>
        <v>0</v>
      </c>
      <c r="H8" s="25">
        <f>MAX(MIN((Sheet7!D8 - Fuzzy_Parameters!$C$13)/(Fuzzy_Parameters!$C$14 - Fuzzy_Parameters!$C$13), 1), 0)</f>
        <v>0</v>
      </c>
      <c r="I8" s="25">
        <f>MAX(MIN(1, (Fuzzy_Parameters!$C$20 - Sheet7!E8)/(Fuzzy_Parameters!$C$20 - Fuzzy_Parameters!$C$19)), 0)</f>
        <v>0</v>
      </c>
      <c r="J8" s="25">
        <f>MAX(MIN((Sheet7!E8 - Fuzzy_Parameters!$C$19)/(Fuzzy_Parameters!$C$20 - Fuzzy_Parameters!$C$19), 1, (Fuzzy_Parameters!$C$22 - Sheet7!E8)/(Fuzzy_Parameters!$C$22 - Fuzzy_Parameters!$C$21)), 0)</f>
        <v>1</v>
      </c>
      <c r="K8" s="25">
        <f>MAX(MIN((Sheet7!E8 - Fuzzy_Parameters!$C$21)/(Fuzzy_Parameters!$C$22 - Fuzzy_Parameters!$C$21), 1), 0)</f>
        <v>0</v>
      </c>
      <c r="L8" s="25">
        <f>MAX(MIN(1, (Fuzzy_Parameters!$C$28 - Sheet7!F8)/(Fuzzy_Parameters!$C$28 - Fuzzy_Parameters!$C$27)), 0)</f>
        <v>0</v>
      </c>
      <c r="M8" s="25">
        <f>MAX(MIN((Sheet7!F8 - Fuzzy_Parameters!$C$27)/(Fuzzy_Parameters!$C$28 - Fuzzy_Parameters!$C$27), 1, (Fuzzy_Parameters!$C$30 - Sheet7!F8)/(Fuzzy_Parameters!$C$30 - Fuzzy_Parameters!$C$29)), 0)</f>
        <v>0</v>
      </c>
      <c r="N8" s="25">
        <f>MAX(MIN((Sheet7!F8 - Fuzzy_Parameters!$C$29)/(Fuzzy_Parameters!$C$30 - Fuzzy_Parameters!$C$29), 1), 0)</f>
        <v>1</v>
      </c>
    </row>
    <row r="9">
      <c r="A9" s="6" t="s">
        <v>3</v>
      </c>
      <c r="B9" s="26">
        <v>2024.0</v>
      </c>
      <c r="C9" s="25">
        <f>MAX(MIN(1, (Fuzzy_Parameters!$C$4 - Sheet7!C9)/(Fuzzy_Parameters!$C$4 - Fuzzy_Parameters!$C$3)), 0)</f>
        <v>0</v>
      </c>
      <c r="D9" s="25">
        <f>MAX(MIN((Sheet7!C9 - Fuzzy_Parameters!$C$3)/(Fuzzy_Parameters!$C$4 - Fuzzy_Parameters!$C$3), 1, (Fuzzy_Parameters!$C$6 - Sheet7!C9)/(Fuzzy_Parameters!$C$6 - Fuzzy_Parameters!$C$5)), 0)</f>
        <v>0</v>
      </c>
      <c r="E9" s="25">
        <f>MAX(MIN((Sheet7!C9 - Fuzzy_Parameters!$C$5)/(Fuzzy_Parameters!$C$6 - Fuzzy_Parameters!$C$5), 1), 0)</f>
        <v>1</v>
      </c>
      <c r="F9" s="25">
        <f>MAX(MIN(1, (Fuzzy_Parameters!$C$12 - Sheet7!D9)/(Fuzzy_Parameters!$C$12 - Fuzzy_Parameters!$C$11)), 0)</f>
        <v>1</v>
      </c>
      <c r="G9" s="25">
        <f>MAX(MIN((Sheet7!D9 - Fuzzy_Parameters!$C$11)/(Fuzzy_Parameters!$C$12 - Fuzzy_Parameters!$C$11), 1, (Fuzzy_Parameters!$C$14 - Sheet7!D9)/(Fuzzy_Parameters!$C$14 - Fuzzy_Parameters!$C$13)), 0)</f>
        <v>0</v>
      </c>
      <c r="H9" s="25">
        <f>MAX(MIN((Sheet7!D9 - Fuzzy_Parameters!$C$13)/(Fuzzy_Parameters!$C$14 - Fuzzy_Parameters!$C$13), 1), 0)</f>
        <v>0</v>
      </c>
      <c r="I9" s="25">
        <f>MAX(MIN(1, (Fuzzy_Parameters!$C$20 - Sheet7!E9)/(Fuzzy_Parameters!$C$20 - Fuzzy_Parameters!$C$19)), 0)</f>
        <v>0</v>
      </c>
      <c r="J9" s="25">
        <f>MAX(MIN((Sheet7!E9 - Fuzzy_Parameters!$C$19)/(Fuzzy_Parameters!$C$20 - Fuzzy_Parameters!$C$19), 1, (Fuzzy_Parameters!$C$22 - Sheet7!E9)/(Fuzzy_Parameters!$C$22 - Fuzzy_Parameters!$C$21)), 0)</f>
        <v>1</v>
      </c>
      <c r="K9" s="25">
        <f>MAX(MIN((Sheet7!E9 - Fuzzy_Parameters!$C$21)/(Fuzzy_Parameters!$C$22 - Fuzzy_Parameters!$C$21), 1), 0)</f>
        <v>0</v>
      </c>
      <c r="L9" s="25">
        <f>MAX(MIN(1, (Fuzzy_Parameters!$C$28 - Sheet7!F9)/(Fuzzy_Parameters!$C$28 - Fuzzy_Parameters!$C$27)), 0)</f>
        <v>0</v>
      </c>
      <c r="M9" s="25">
        <f>MAX(MIN((Sheet7!F9 - Fuzzy_Parameters!$C$27)/(Fuzzy_Parameters!$C$28 - Fuzzy_Parameters!$C$27), 1, (Fuzzy_Parameters!$C$30 - Sheet7!F9)/(Fuzzy_Parameters!$C$30 - Fuzzy_Parameters!$C$29)), 0)</f>
        <v>0</v>
      </c>
      <c r="N9" s="25">
        <f>MAX(MIN((Sheet7!F9 - Fuzzy_Parameters!$C$29)/(Fuzzy_Parameters!$C$30 - Fuzzy_Parameters!$C$29), 1), 0)</f>
        <v>1</v>
      </c>
    </row>
    <row r="10">
      <c r="A10" s="6" t="s">
        <v>3</v>
      </c>
      <c r="B10" s="55">
        <v>2023.0</v>
      </c>
      <c r="C10" s="25">
        <f>MAX(MIN(1, (Fuzzy_Parameters!$C$4 - Sheet7!C10)/(Fuzzy_Parameters!$C$4 - Fuzzy_Parameters!$C$3)), 0)</f>
        <v>0</v>
      </c>
      <c r="D10" s="25">
        <f>MAX(MIN((Sheet7!C10 - Fuzzy_Parameters!$C$3)/(Fuzzy_Parameters!$C$4 - Fuzzy_Parameters!$C$3), 1, (Fuzzy_Parameters!$C$6 - Sheet7!C10)/(Fuzzy_Parameters!$C$6 - Fuzzy_Parameters!$C$5)), 0)</f>
        <v>1</v>
      </c>
      <c r="E10" s="25">
        <f>MAX(MIN((Sheet7!C10 - Fuzzy_Parameters!$C$5)/(Fuzzy_Parameters!$C$6 - Fuzzy_Parameters!$C$5), 1), 0)</f>
        <v>0</v>
      </c>
      <c r="F10" s="25">
        <f>MAX(MIN(1, (Fuzzy_Parameters!$C$12 - Sheet7!D10)/(Fuzzy_Parameters!$C$12 - Fuzzy_Parameters!$C$11)), 0)</f>
        <v>1</v>
      </c>
      <c r="G10" s="25">
        <f>MAX(MIN((Sheet7!D10 - Fuzzy_Parameters!$C$11)/(Fuzzy_Parameters!$C$12 - Fuzzy_Parameters!$C$11), 1, (Fuzzy_Parameters!$C$14 - Sheet7!D10)/(Fuzzy_Parameters!$C$14 - Fuzzy_Parameters!$C$13)), 0)</f>
        <v>0</v>
      </c>
      <c r="H10" s="25">
        <f>MAX(MIN((Sheet7!D10 - Fuzzy_Parameters!$C$13)/(Fuzzy_Parameters!$C$14 - Fuzzy_Parameters!$C$13), 1), 0)</f>
        <v>0</v>
      </c>
      <c r="I10" s="25">
        <f>MAX(MIN(1, (Fuzzy_Parameters!$C$20 - Sheet7!E10)/(Fuzzy_Parameters!$C$20 - Fuzzy_Parameters!$C$19)), 0)</f>
        <v>0</v>
      </c>
      <c r="J10" s="25">
        <f>MAX(MIN((Sheet7!E10 - Fuzzy_Parameters!$C$19)/(Fuzzy_Parameters!$C$20 - Fuzzy_Parameters!$C$19), 1, (Fuzzy_Parameters!$C$22 - Sheet7!E10)/(Fuzzy_Parameters!$C$22 - Fuzzy_Parameters!$C$21)), 0)</f>
        <v>1</v>
      </c>
      <c r="K10" s="25">
        <f>MAX(MIN((Sheet7!E10 - Fuzzy_Parameters!$C$21)/(Fuzzy_Parameters!$C$22 - Fuzzy_Parameters!$C$21), 1), 0)</f>
        <v>0</v>
      </c>
      <c r="L10" s="25">
        <f>MAX(MIN(1, (Fuzzy_Parameters!$C$28 - Sheet7!F10)/(Fuzzy_Parameters!$C$28 - Fuzzy_Parameters!$C$27)), 0)</f>
        <v>0</v>
      </c>
      <c r="M10" s="25">
        <f>MAX(MIN((Sheet7!F10 - Fuzzy_Parameters!$C$27)/(Fuzzy_Parameters!$C$28 - Fuzzy_Parameters!$C$27), 1, (Fuzzy_Parameters!$C$30 - Sheet7!F10)/(Fuzzy_Parameters!$C$30 - Fuzzy_Parameters!$C$29)), 0)</f>
        <v>0</v>
      </c>
      <c r="N10" s="25">
        <f>MAX(MIN((Sheet7!F10 - Fuzzy_Parameters!$C$29)/(Fuzzy_Parameters!$C$30 - Fuzzy_Parameters!$C$29), 1), 0)</f>
        <v>1</v>
      </c>
    </row>
    <row r="11">
      <c r="A11" s="6" t="s">
        <v>4</v>
      </c>
      <c r="B11" s="55">
        <v>2025.0</v>
      </c>
      <c r="C11" s="25">
        <f>MAX(MIN(1, (Fuzzy_Parameters!$C$4 - Sheet7!C11)/(Fuzzy_Parameters!$C$4 - Fuzzy_Parameters!$C$3)), 0)</f>
        <v>1</v>
      </c>
      <c r="D11" s="25">
        <f>MAX(MIN((Sheet7!C11 - Fuzzy_Parameters!$C$3)/(Fuzzy_Parameters!$C$4 - Fuzzy_Parameters!$C$3), 1, (Fuzzy_Parameters!$C$6 - Sheet7!C11)/(Fuzzy_Parameters!$C$6 - Fuzzy_Parameters!$C$5)), 0)</f>
        <v>0</v>
      </c>
      <c r="E11" s="25">
        <f>MAX(MIN((Sheet7!C11 - Fuzzy_Parameters!$C$5)/(Fuzzy_Parameters!$C$6 - Fuzzy_Parameters!$C$5), 1), 0)</f>
        <v>0</v>
      </c>
      <c r="F11" s="25">
        <f>MAX(MIN(1, (Fuzzy_Parameters!$C$12 - Sheet7!D11)/(Fuzzy_Parameters!$C$12 - Fuzzy_Parameters!$C$11)), 0)</f>
        <v>1</v>
      </c>
      <c r="G11" s="25">
        <f>MAX(MIN((Sheet7!D11 - Fuzzy_Parameters!$C$11)/(Fuzzy_Parameters!$C$12 - Fuzzy_Parameters!$C$11), 1, (Fuzzy_Parameters!$C$14 - Sheet7!D11)/(Fuzzy_Parameters!$C$14 - Fuzzy_Parameters!$C$13)), 0)</f>
        <v>0</v>
      </c>
      <c r="H11" s="25">
        <f>MAX(MIN((Sheet7!D11 - Fuzzy_Parameters!$C$13)/(Fuzzy_Parameters!$C$14 - Fuzzy_Parameters!$C$13), 1), 0)</f>
        <v>0</v>
      </c>
      <c r="I11" s="25">
        <f>MAX(MIN(1, (Fuzzy_Parameters!$C$20 - Sheet7!E11)/(Fuzzy_Parameters!$C$20 - Fuzzy_Parameters!$C$19)), 0)</f>
        <v>0.185483871</v>
      </c>
      <c r="J11" s="25">
        <f>MAX(MIN((Sheet7!E11 - Fuzzy_Parameters!$C$19)/(Fuzzy_Parameters!$C$20 - Fuzzy_Parameters!$C$19), 1, (Fuzzy_Parameters!$C$22 - Sheet7!E11)/(Fuzzy_Parameters!$C$22 - Fuzzy_Parameters!$C$21)), 0)</f>
        <v>0.814516129</v>
      </c>
      <c r="K11" s="25">
        <f>MAX(MIN((Sheet7!E11 - Fuzzy_Parameters!$C$21)/(Fuzzy_Parameters!$C$22 - Fuzzy_Parameters!$C$21), 1), 0)</f>
        <v>0</v>
      </c>
      <c r="L11" s="25">
        <f>MAX(MIN(1, (Fuzzy_Parameters!$C$28 - Sheet7!F11)/(Fuzzy_Parameters!$C$28 - Fuzzy_Parameters!$C$27)), 0)</f>
        <v>0</v>
      </c>
      <c r="M11" s="25">
        <f>MAX(MIN((Sheet7!F11 - Fuzzy_Parameters!$C$27)/(Fuzzy_Parameters!$C$28 - Fuzzy_Parameters!$C$27), 1, (Fuzzy_Parameters!$C$30 - Sheet7!F11)/(Fuzzy_Parameters!$C$30 - Fuzzy_Parameters!$C$29)), 0)</f>
        <v>0</v>
      </c>
      <c r="N11" s="25">
        <f>MAX(MIN((Sheet7!F11 - Fuzzy_Parameters!$C$29)/(Fuzzy_Parameters!$C$30 - Fuzzy_Parameters!$C$29), 1), 0)</f>
        <v>1</v>
      </c>
    </row>
    <row r="12">
      <c r="A12" s="6" t="s">
        <v>4</v>
      </c>
      <c r="B12" s="26">
        <v>2024.0</v>
      </c>
      <c r="C12" s="25">
        <f>MAX(MIN(1, (Fuzzy_Parameters!$C$4 - Sheet7!C12)/(Fuzzy_Parameters!$C$4 - Fuzzy_Parameters!$C$3)), 0)</f>
        <v>1</v>
      </c>
      <c r="D12" s="25">
        <f>MAX(MIN((Sheet7!C12 - Fuzzy_Parameters!$C$3)/(Fuzzy_Parameters!$C$4 - Fuzzy_Parameters!$C$3), 1, (Fuzzy_Parameters!$C$6 - Sheet7!C12)/(Fuzzy_Parameters!$C$6 - Fuzzy_Parameters!$C$5)), 0)</f>
        <v>0</v>
      </c>
      <c r="E12" s="25">
        <f>MAX(MIN((Sheet7!C12 - Fuzzy_Parameters!$C$5)/(Fuzzy_Parameters!$C$6 - Fuzzy_Parameters!$C$5), 1), 0)</f>
        <v>0</v>
      </c>
      <c r="F12" s="25">
        <f>MAX(MIN(1, (Fuzzy_Parameters!$C$12 - Sheet7!D12)/(Fuzzy_Parameters!$C$12 - Fuzzy_Parameters!$C$11)), 0)</f>
        <v>1</v>
      </c>
      <c r="G12" s="25">
        <f>MAX(MIN((Sheet7!D12 - Fuzzy_Parameters!$C$11)/(Fuzzy_Parameters!$C$12 - Fuzzy_Parameters!$C$11), 1, (Fuzzy_Parameters!$C$14 - Sheet7!D12)/(Fuzzy_Parameters!$C$14 - Fuzzy_Parameters!$C$13)), 0)</f>
        <v>0</v>
      </c>
      <c r="H12" s="25">
        <f>MAX(MIN((Sheet7!D12 - Fuzzy_Parameters!$C$13)/(Fuzzy_Parameters!$C$14 - Fuzzy_Parameters!$C$13), 1), 0)</f>
        <v>0</v>
      </c>
      <c r="I12" s="25">
        <f>MAX(MIN(1, (Fuzzy_Parameters!$C$20 - Sheet7!E12)/(Fuzzy_Parameters!$C$20 - Fuzzy_Parameters!$C$19)), 0)</f>
        <v>0.2016129032</v>
      </c>
      <c r="J12" s="25">
        <f>MAX(MIN((Sheet7!E12 - Fuzzy_Parameters!$C$19)/(Fuzzy_Parameters!$C$20 - Fuzzy_Parameters!$C$19), 1, (Fuzzy_Parameters!$C$22 - Sheet7!E12)/(Fuzzy_Parameters!$C$22 - Fuzzy_Parameters!$C$21)), 0)</f>
        <v>0.7983870968</v>
      </c>
      <c r="K12" s="25">
        <f>MAX(MIN((Sheet7!E12 - Fuzzy_Parameters!$C$21)/(Fuzzy_Parameters!$C$22 - Fuzzy_Parameters!$C$21), 1), 0)</f>
        <v>0</v>
      </c>
      <c r="L12" s="25">
        <f>MAX(MIN(1, (Fuzzy_Parameters!$C$28 - Sheet7!F12)/(Fuzzy_Parameters!$C$28 - Fuzzy_Parameters!$C$27)), 0)</f>
        <v>0</v>
      </c>
      <c r="M12" s="25">
        <f>MAX(MIN((Sheet7!F12 - Fuzzy_Parameters!$C$27)/(Fuzzy_Parameters!$C$28 - Fuzzy_Parameters!$C$27), 1, (Fuzzy_Parameters!$C$30 - Sheet7!F12)/(Fuzzy_Parameters!$C$30 - Fuzzy_Parameters!$C$29)), 0)</f>
        <v>0</v>
      </c>
      <c r="N12" s="25">
        <f>MAX(MIN((Sheet7!F12 - Fuzzy_Parameters!$C$29)/(Fuzzy_Parameters!$C$30 - Fuzzy_Parameters!$C$29), 1), 0)</f>
        <v>1</v>
      </c>
    </row>
    <row r="13">
      <c r="A13" s="6" t="s">
        <v>4</v>
      </c>
      <c r="B13" s="55">
        <v>2023.0</v>
      </c>
      <c r="C13" s="25">
        <f>MAX(MIN(1, (Fuzzy_Parameters!$C$4 - Sheet7!C13)/(Fuzzy_Parameters!$C$4 - Fuzzy_Parameters!$C$3)), 0)</f>
        <v>1</v>
      </c>
      <c r="D13" s="25">
        <f>MAX(MIN((Sheet7!C13 - Fuzzy_Parameters!$C$3)/(Fuzzy_Parameters!$C$4 - Fuzzy_Parameters!$C$3), 1, (Fuzzy_Parameters!$C$6 - Sheet7!C13)/(Fuzzy_Parameters!$C$6 - Fuzzy_Parameters!$C$5)), 0)</f>
        <v>0</v>
      </c>
      <c r="E13" s="25">
        <f>MAX(MIN((Sheet7!C13 - Fuzzy_Parameters!$C$5)/(Fuzzy_Parameters!$C$6 - Fuzzy_Parameters!$C$5), 1), 0)</f>
        <v>0</v>
      </c>
      <c r="F13" s="25">
        <f>MAX(MIN(1, (Fuzzy_Parameters!$C$12 - Sheet7!D13)/(Fuzzy_Parameters!$C$12 - Fuzzy_Parameters!$C$11)), 0)</f>
        <v>1</v>
      </c>
      <c r="G13" s="25">
        <f>MAX(MIN((Sheet7!D13 - Fuzzy_Parameters!$C$11)/(Fuzzy_Parameters!$C$12 - Fuzzy_Parameters!$C$11), 1, (Fuzzy_Parameters!$C$14 - Sheet7!D13)/(Fuzzy_Parameters!$C$14 - Fuzzy_Parameters!$C$13)), 0)</f>
        <v>0</v>
      </c>
      <c r="H13" s="25">
        <f>MAX(MIN((Sheet7!D13 - Fuzzy_Parameters!$C$13)/(Fuzzy_Parameters!$C$14 - Fuzzy_Parameters!$C$13), 1), 0)</f>
        <v>0</v>
      </c>
      <c r="I13" s="25">
        <f>MAX(MIN(1, (Fuzzy_Parameters!$C$20 - Sheet7!E13)/(Fuzzy_Parameters!$C$20 - Fuzzy_Parameters!$C$19)), 0)</f>
        <v>0.1290322581</v>
      </c>
      <c r="J13" s="25">
        <f>MAX(MIN((Sheet7!E13 - Fuzzy_Parameters!$C$19)/(Fuzzy_Parameters!$C$20 - Fuzzy_Parameters!$C$19), 1, (Fuzzy_Parameters!$C$22 - Sheet7!E13)/(Fuzzy_Parameters!$C$22 - Fuzzy_Parameters!$C$21)), 0)</f>
        <v>0.8709677419</v>
      </c>
      <c r="K13" s="25">
        <f>MAX(MIN((Sheet7!E13 - Fuzzy_Parameters!$C$21)/(Fuzzy_Parameters!$C$22 - Fuzzy_Parameters!$C$21), 1), 0)</f>
        <v>0</v>
      </c>
      <c r="L13" s="25">
        <f>MAX(MIN(1, (Fuzzy_Parameters!$C$28 - Sheet7!F13)/(Fuzzy_Parameters!$C$28 - Fuzzy_Parameters!$C$27)), 0)</f>
        <v>0</v>
      </c>
      <c r="M13" s="25">
        <f>MAX(MIN((Sheet7!F13 - Fuzzy_Parameters!$C$27)/(Fuzzy_Parameters!$C$28 - Fuzzy_Parameters!$C$27), 1, (Fuzzy_Parameters!$C$30 - Sheet7!F13)/(Fuzzy_Parameters!$C$30 - Fuzzy_Parameters!$C$29)), 0)</f>
        <v>0</v>
      </c>
      <c r="N13" s="25">
        <f>MAX(MIN((Sheet7!F13 - Fuzzy_Parameters!$C$29)/(Fuzzy_Parameters!$C$30 - Fuzzy_Parameters!$C$29), 1), 0)</f>
        <v>1</v>
      </c>
    </row>
    <row r="14">
      <c r="A14" s="6" t="s">
        <v>5</v>
      </c>
      <c r="B14" s="55">
        <v>2025.0</v>
      </c>
      <c r="C14" s="25">
        <f>MAX(MIN(1, (Fuzzy_Parameters!$C$4 - Sheet7!C14)/(Fuzzy_Parameters!$C$4 - Fuzzy_Parameters!$C$3)), 0)</f>
        <v>0</v>
      </c>
      <c r="D14" s="25">
        <f>MAX(MIN((Sheet7!C14 - Fuzzy_Parameters!$C$3)/(Fuzzy_Parameters!$C$4 - Fuzzy_Parameters!$C$3), 1, (Fuzzy_Parameters!$C$6 - Sheet7!C14)/(Fuzzy_Parameters!$C$6 - Fuzzy_Parameters!$C$5)), 0)</f>
        <v>0</v>
      </c>
      <c r="E14" s="25">
        <f>MAX(MIN((Sheet7!C14 - Fuzzy_Parameters!$C$5)/(Fuzzy_Parameters!$C$6 - Fuzzy_Parameters!$C$5), 1), 0)</f>
        <v>1</v>
      </c>
      <c r="F14" s="25">
        <f>MAX(MIN(1, (Fuzzy_Parameters!$C$12 - Sheet7!D14)/(Fuzzy_Parameters!$C$12 - Fuzzy_Parameters!$C$11)), 0)</f>
        <v>0.12971078</v>
      </c>
      <c r="G14" s="25">
        <f>MAX(MIN((Sheet7!D14 - Fuzzy_Parameters!$C$11)/(Fuzzy_Parameters!$C$12 - Fuzzy_Parameters!$C$11), 1, (Fuzzy_Parameters!$C$14 - Sheet7!D14)/(Fuzzy_Parameters!$C$14 - Fuzzy_Parameters!$C$13)), 0)</f>
        <v>0.87028922</v>
      </c>
      <c r="H14" s="25">
        <f>MAX(MIN((Sheet7!D14 - Fuzzy_Parameters!$C$13)/(Fuzzy_Parameters!$C$14 - Fuzzy_Parameters!$C$13), 1), 0)</f>
        <v>0</v>
      </c>
      <c r="I14" s="25">
        <f>MAX(MIN(1, (Fuzzy_Parameters!$C$20 - Sheet7!E14)/(Fuzzy_Parameters!$C$20 - Fuzzy_Parameters!$C$19)), 0)</f>
        <v>0</v>
      </c>
      <c r="J14" s="25">
        <f>MAX(MIN((Sheet7!E14 - Fuzzy_Parameters!$C$19)/(Fuzzy_Parameters!$C$20 - Fuzzy_Parameters!$C$19), 1, (Fuzzy_Parameters!$C$22 - Sheet7!E14)/(Fuzzy_Parameters!$C$22 - Fuzzy_Parameters!$C$21)), 0)</f>
        <v>0</v>
      </c>
      <c r="K14" s="25">
        <f>MAX(MIN((Sheet7!E14 - Fuzzy_Parameters!$C$21)/(Fuzzy_Parameters!$C$22 - Fuzzy_Parameters!$C$21), 1), 0)</f>
        <v>1</v>
      </c>
      <c r="L14" s="25">
        <f>MAX(MIN(1, (Fuzzy_Parameters!$C$28 - Sheet7!F14)/(Fuzzy_Parameters!$C$28 - Fuzzy_Parameters!$C$27)), 0)</f>
        <v>0</v>
      </c>
      <c r="M14" s="25">
        <f>MAX(MIN((Sheet7!F14 - Fuzzy_Parameters!$C$27)/(Fuzzy_Parameters!$C$28 - Fuzzy_Parameters!$C$27), 1, (Fuzzy_Parameters!$C$30 - Sheet7!F14)/(Fuzzy_Parameters!$C$30 - Fuzzy_Parameters!$C$29)), 0)</f>
        <v>0.07910370579</v>
      </c>
      <c r="N14" s="25">
        <f>MAX(MIN((Sheet7!F14 - Fuzzy_Parameters!$C$29)/(Fuzzy_Parameters!$C$30 - Fuzzy_Parameters!$C$29), 1), 0)</f>
        <v>0.9208962942</v>
      </c>
    </row>
    <row r="15">
      <c r="A15" s="6" t="s">
        <v>5</v>
      </c>
      <c r="B15" s="26">
        <v>2024.0</v>
      </c>
      <c r="C15" s="25">
        <f>MAX(MIN(1, (Fuzzy_Parameters!$C$4 - Sheet7!C15)/(Fuzzy_Parameters!$C$4 - Fuzzy_Parameters!$C$3)), 0)</f>
        <v>0</v>
      </c>
      <c r="D15" s="25">
        <f>MAX(MIN((Sheet7!C15 - Fuzzy_Parameters!$C$3)/(Fuzzy_Parameters!$C$4 - Fuzzy_Parameters!$C$3), 1, (Fuzzy_Parameters!$C$6 - Sheet7!C15)/(Fuzzy_Parameters!$C$6 - Fuzzy_Parameters!$C$5)), 0)</f>
        <v>0</v>
      </c>
      <c r="E15" s="25">
        <f>MAX(MIN((Sheet7!C15 - Fuzzy_Parameters!$C$5)/(Fuzzy_Parameters!$C$6 - Fuzzy_Parameters!$C$5), 1), 0)</f>
        <v>1</v>
      </c>
      <c r="F15" s="25">
        <f>MAX(MIN(1, (Fuzzy_Parameters!$C$12 - Sheet7!D15)/(Fuzzy_Parameters!$C$12 - Fuzzy_Parameters!$C$11)), 0)</f>
        <v>0.2015775635</v>
      </c>
      <c r="G15" s="25">
        <f>MAX(MIN((Sheet7!D15 - Fuzzy_Parameters!$C$11)/(Fuzzy_Parameters!$C$12 - Fuzzy_Parameters!$C$11), 1, (Fuzzy_Parameters!$C$14 - Sheet7!D15)/(Fuzzy_Parameters!$C$14 - Fuzzy_Parameters!$C$13)), 0)</f>
        <v>0.7984224365</v>
      </c>
      <c r="H15" s="25">
        <f>MAX(MIN((Sheet7!D15 - Fuzzy_Parameters!$C$13)/(Fuzzy_Parameters!$C$14 - Fuzzy_Parameters!$C$13), 1), 0)</f>
        <v>0</v>
      </c>
      <c r="I15" s="25">
        <f>MAX(MIN(1, (Fuzzy_Parameters!$C$20 - Sheet7!E15)/(Fuzzy_Parameters!$C$20 - Fuzzy_Parameters!$C$19)), 0)</f>
        <v>0</v>
      </c>
      <c r="J15" s="25">
        <f>MAX(MIN((Sheet7!E15 - Fuzzy_Parameters!$C$19)/(Fuzzy_Parameters!$C$20 - Fuzzy_Parameters!$C$19), 1, (Fuzzy_Parameters!$C$22 - Sheet7!E15)/(Fuzzy_Parameters!$C$22 - Fuzzy_Parameters!$C$21)), 0)</f>
        <v>0</v>
      </c>
      <c r="K15" s="25">
        <f>MAX(MIN((Sheet7!E15 - Fuzzy_Parameters!$C$21)/(Fuzzy_Parameters!$C$22 - Fuzzy_Parameters!$C$21), 1), 0)</f>
        <v>1</v>
      </c>
      <c r="L15" s="25">
        <f>MAX(MIN(1, (Fuzzy_Parameters!$C$28 - Sheet7!F15)/(Fuzzy_Parameters!$C$28 - Fuzzy_Parameters!$C$27)), 0)</f>
        <v>0</v>
      </c>
      <c r="M15" s="25">
        <f>MAX(MIN((Sheet7!F15 - Fuzzy_Parameters!$C$27)/(Fuzzy_Parameters!$C$28 - Fuzzy_Parameters!$C$27), 1, (Fuzzy_Parameters!$C$30 - Sheet7!F15)/(Fuzzy_Parameters!$C$30 - Fuzzy_Parameters!$C$29)), 0)</f>
        <v>0.05603561459</v>
      </c>
      <c r="N15" s="25">
        <f>MAX(MIN((Sheet7!F15 - Fuzzy_Parameters!$C$29)/(Fuzzy_Parameters!$C$30 - Fuzzy_Parameters!$C$29), 1), 0)</f>
        <v>0.9439643854</v>
      </c>
    </row>
    <row r="16">
      <c r="A16" s="6" t="s">
        <v>5</v>
      </c>
      <c r="B16" s="55">
        <v>2023.0</v>
      </c>
      <c r="C16" s="25">
        <f>MAX(MIN(1, (Fuzzy_Parameters!$C$4 - Sheet7!C16)/(Fuzzy_Parameters!$C$4 - Fuzzy_Parameters!$C$3)), 0)</f>
        <v>0</v>
      </c>
      <c r="D16" s="25">
        <f>MAX(MIN((Sheet7!C16 - Fuzzy_Parameters!$C$3)/(Fuzzy_Parameters!$C$4 - Fuzzy_Parameters!$C$3), 1, (Fuzzy_Parameters!$C$6 - Sheet7!C16)/(Fuzzy_Parameters!$C$6 - Fuzzy_Parameters!$C$5)), 0)</f>
        <v>0</v>
      </c>
      <c r="E16" s="25">
        <f>MAX(MIN((Sheet7!C16 - Fuzzy_Parameters!$C$5)/(Fuzzy_Parameters!$C$6 - Fuzzy_Parameters!$C$5), 1), 0)</f>
        <v>1</v>
      </c>
      <c r="F16" s="25">
        <f>MAX(MIN(1, (Fuzzy_Parameters!$C$12 - Sheet7!D16)/(Fuzzy_Parameters!$C$12 - Fuzzy_Parameters!$C$11)), 0)</f>
        <v>0.3829973707</v>
      </c>
      <c r="G16" s="25">
        <f>MAX(MIN((Sheet7!D16 - Fuzzy_Parameters!$C$11)/(Fuzzy_Parameters!$C$12 - Fuzzy_Parameters!$C$11), 1, (Fuzzy_Parameters!$C$14 - Sheet7!D16)/(Fuzzy_Parameters!$C$14 - Fuzzy_Parameters!$C$13)), 0)</f>
        <v>0.6170026293</v>
      </c>
      <c r="H16" s="25">
        <f>MAX(MIN((Sheet7!D16 - Fuzzy_Parameters!$C$13)/(Fuzzy_Parameters!$C$14 - Fuzzy_Parameters!$C$13), 1), 0)</f>
        <v>0</v>
      </c>
      <c r="I16" s="25">
        <f>MAX(MIN(1, (Fuzzy_Parameters!$C$20 - Sheet7!E16)/(Fuzzy_Parameters!$C$20 - Fuzzy_Parameters!$C$19)), 0)</f>
        <v>0</v>
      </c>
      <c r="J16" s="25">
        <f>MAX(MIN((Sheet7!E16 - Fuzzy_Parameters!$C$19)/(Fuzzy_Parameters!$C$20 - Fuzzy_Parameters!$C$19), 1, (Fuzzy_Parameters!$C$22 - Sheet7!E16)/(Fuzzy_Parameters!$C$22 - Fuzzy_Parameters!$C$21)), 0)</f>
        <v>0</v>
      </c>
      <c r="K16" s="25">
        <f>MAX(MIN((Sheet7!E16 - Fuzzy_Parameters!$C$21)/(Fuzzy_Parameters!$C$22 - Fuzzy_Parameters!$C$21), 1), 0)</f>
        <v>1</v>
      </c>
      <c r="L16" s="25">
        <f>MAX(MIN(1, (Fuzzy_Parameters!$C$28 - Sheet7!F16)/(Fuzzy_Parameters!$C$28 - Fuzzy_Parameters!$C$27)), 0)</f>
        <v>0</v>
      </c>
      <c r="M16" s="25">
        <f>MAX(MIN((Sheet7!F16 - Fuzzy_Parameters!$C$27)/(Fuzzy_Parameters!$C$28 - Fuzzy_Parameters!$C$27), 1, (Fuzzy_Parameters!$C$30 - Sheet7!F16)/(Fuzzy_Parameters!$C$30 - Fuzzy_Parameters!$C$29)), 0)</f>
        <v>0.008261480932</v>
      </c>
      <c r="N16" s="25">
        <f>MAX(MIN((Sheet7!F16 - Fuzzy_Parameters!$C$29)/(Fuzzy_Parameters!$C$30 - Fuzzy_Parameters!$C$29), 1), 0)</f>
        <v>0.9917385191</v>
      </c>
    </row>
    <row r="17">
      <c r="A17" s="6" t="s">
        <v>6</v>
      </c>
      <c r="B17" s="55">
        <v>2025.0</v>
      </c>
      <c r="C17" s="25">
        <f>MAX(MIN(1, (Fuzzy_Parameters!$C$4 - Sheet7!C17)/(Fuzzy_Parameters!$C$4 - Fuzzy_Parameters!$C$3)), 0)</f>
        <v>1</v>
      </c>
      <c r="D17" s="25">
        <f>MAX(MIN((Sheet7!C17 - Fuzzy_Parameters!$C$3)/(Fuzzy_Parameters!$C$4 - Fuzzy_Parameters!$C$3), 1, (Fuzzy_Parameters!$C$6 - Sheet7!C17)/(Fuzzy_Parameters!$C$6 - Fuzzy_Parameters!$C$5)), 0)</f>
        <v>0</v>
      </c>
      <c r="E17" s="25">
        <f>MAX(MIN((Sheet7!C17 - Fuzzy_Parameters!$C$5)/(Fuzzy_Parameters!$C$6 - Fuzzy_Parameters!$C$5), 1), 0)</f>
        <v>0</v>
      </c>
      <c r="F17" s="25">
        <f>MAX(MIN(1, (Fuzzy_Parameters!$C$12 - Sheet7!D17)/(Fuzzy_Parameters!$C$12 - Fuzzy_Parameters!$C$11)), 0)</f>
        <v>0</v>
      </c>
      <c r="G17" s="25">
        <f>MAX(MIN((Sheet7!D17 - Fuzzy_Parameters!$C$11)/(Fuzzy_Parameters!$C$12 - Fuzzy_Parameters!$C$11), 1, (Fuzzy_Parameters!$C$14 - Sheet7!D17)/(Fuzzy_Parameters!$C$14 - Fuzzy_Parameters!$C$13)), 0)</f>
        <v>0.607523863</v>
      </c>
      <c r="H17" s="25">
        <f>MAX(MIN((Sheet7!D17 - Fuzzy_Parameters!$C$13)/(Fuzzy_Parameters!$C$14 - Fuzzy_Parameters!$C$13), 1), 0)</f>
        <v>0.392476137</v>
      </c>
      <c r="I17" s="25">
        <f>MAX(MIN(1, (Fuzzy_Parameters!$C$20 - Sheet7!E17)/(Fuzzy_Parameters!$C$20 - Fuzzy_Parameters!$C$19)), 0)</f>
        <v>0</v>
      </c>
      <c r="J17" s="25">
        <f>MAX(MIN((Sheet7!E17 - Fuzzy_Parameters!$C$19)/(Fuzzy_Parameters!$C$20 - Fuzzy_Parameters!$C$19), 1, (Fuzzy_Parameters!$C$22 - Sheet7!E17)/(Fuzzy_Parameters!$C$22 - Fuzzy_Parameters!$C$21)), 0)</f>
        <v>0</v>
      </c>
      <c r="K17" s="25">
        <f>MAX(MIN((Sheet7!E17 - Fuzzy_Parameters!$C$21)/(Fuzzy_Parameters!$C$22 - Fuzzy_Parameters!$C$21), 1), 0)</f>
        <v>1</v>
      </c>
      <c r="L17" s="25">
        <f>MAX(MIN(1, (Fuzzy_Parameters!$C$28 - Sheet7!F17)/(Fuzzy_Parameters!$C$28 - Fuzzy_Parameters!$C$27)), 0)</f>
        <v>0</v>
      </c>
      <c r="M17" s="25">
        <f>MAX(MIN((Sheet7!F17 - Fuzzy_Parameters!$C$27)/(Fuzzy_Parameters!$C$28 - Fuzzy_Parameters!$C$27), 1, (Fuzzy_Parameters!$C$30 - Sheet7!F17)/(Fuzzy_Parameters!$C$30 - Fuzzy_Parameters!$C$29)), 0)</f>
        <v>1</v>
      </c>
      <c r="N17" s="25">
        <f>MAX(MIN((Sheet7!F17 - Fuzzy_Parameters!$C$29)/(Fuzzy_Parameters!$C$30 - Fuzzy_Parameters!$C$29), 1), 0)</f>
        <v>0</v>
      </c>
    </row>
    <row r="18">
      <c r="A18" s="6" t="s">
        <v>6</v>
      </c>
      <c r="B18" s="26">
        <v>2024.0</v>
      </c>
      <c r="C18" s="25">
        <f>MAX(MIN(1, (Fuzzy_Parameters!$C$4 - Sheet7!C18)/(Fuzzy_Parameters!$C$4 - Fuzzy_Parameters!$C$3)), 0)</f>
        <v>1</v>
      </c>
      <c r="D18" s="25">
        <f>MAX(MIN((Sheet7!C18 - Fuzzy_Parameters!$C$3)/(Fuzzy_Parameters!$C$4 - Fuzzy_Parameters!$C$3), 1, (Fuzzy_Parameters!$C$6 - Sheet7!C18)/(Fuzzy_Parameters!$C$6 - Fuzzy_Parameters!$C$5)), 0)</f>
        <v>0</v>
      </c>
      <c r="E18" s="25">
        <f>MAX(MIN((Sheet7!C18 - Fuzzy_Parameters!$C$5)/(Fuzzy_Parameters!$C$6 - Fuzzy_Parameters!$C$5), 1), 0)</f>
        <v>0</v>
      </c>
      <c r="F18" s="25">
        <f>MAX(MIN(1, (Fuzzy_Parameters!$C$12 - Sheet7!D18)/(Fuzzy_Parameters!$C$12 - Fuzzy_Parameters!$C$11)), 0)</f>
        <v>0</v>
      </c>
      <c r="G18" s="25">
        <f>MAX(MIN((Sheet7!D18 - Fuzzy_Parameters!$C$11)/(Fuzzy_Parameters!$C$12 - Fuzzy_Parameters!$C$11), 1, (Fuzzy_Parameters!$C$14 - Sheet7!D18)/(Fuzzy_Parameters!$C$14 - Fuzzy_Parameters!$C$13)), 0)</f>
        <v>0.3211678832</v>
      </c>
      <c r="H18" s="25">
        <f>MAX(MIN((Sheet7!D18 - Fuzzy_Parameters!$C$13)/(Fuzzy_Parameters!$C$14 - Fuzzy_Parameters!$C$13), 1), 0)</f>
        <v>0.6788321168</v>
      </c>
      <c r="I18" s="25">
        <f>MAX(MIN(1, (Fuzzy_Parameters!$C$20 - Sheet7!E18)/(Fuzzy_Parameters!$C$20 - Fuzzy_Parameters!$C$19)), 0)</f>
        <v>0</v>
      </c>
      <c r="J18" s="25">
        <f>MAX(MIN((Sheet7!E18 - Fuzzy_Parameters!$C$19)/(Fuzzy_Parameters!$C$20 - Fuzzy_Parameters!$C$19), 1, (Fuzzy_Parameters!$C$22 - Sheet7!E18)/(Fuzzy_Parameters!$C$22 - Fuzzy_Parameters!$C$21)), 0)</f>
        <v>0</v>
      </c>
      <c r="K18" s="25">
        <f>MAX(MIN((Sheet7!E18 - Fuzzy_Parameters!$C$21)/(Fuzzy_Parameters!$C$22 - Fuzzy_Parameters!$C$21), 1), 0)</f>
        <v>1</v>
      </c>
      <c r="L18" s="25">
        <f>MAX(MIN(1, (Fuzzy_Parameters!$C$28 - Sheet7!F18)/(Fuzzy_Parameters!$C$28 - Fuzzy_Parameters!$C$27)), 0)</f>
        <v>0</v>
      </c>
      <c r="M18" s="25">
        <f>MAX(MIN((Sheet7!F18 - Fuzzy_Parameters!$C$27)/(Fuzzy_Parameters!$C$28 - Fuzzy_Parameters!$C$27), 1, (Fuzzy_Parameters!$C$30 - Sheet7!F18)/(Fuzzy_Parameters!$C$30 - Fuzzy_Parameters!$C$29)), 0)</f>
        <v>1</v>
      </c>
      <c r="N18" s="25">
        <f>MAX(MIN((Sheet7!F18 - Fuzzy_Parameters!$C$29)/(Fuzzy_Parameters!$C$30 - Fuzzy_Parameters!$C$29), 1), 0)</f>
        <v>0</v>
      </c>
    </row>
    <row r="19">
      <c r="A19" s="6" t="s">
        <v>6</v>
      </c>
      <c r="B19" s="55">
        <v>2023.0</v>
      </c>
      <c r="C19" s="25">
        <f>MAX(MIN(1, (Fuzzy_Parameters!$C$4 - Sheet7!C19)/(Fuzzy_Parameters!$C$4 - Fuzzy_Parameters!$C$3)), 0)</f>
        <v>1</v>
      </c>
      <c r="D19" s="25">
        <f>MAX(MIN((Sheet7!C19 - Fuzzy_Parameters!$C$3)/(Fuzzy_Parameters!$C$4 - Fuzzy_Parameters!$C$3), 1, (Fuzzy_Parameters!$C$6 - Sheet7!C19)/(Fuzzy_Parameters!$C$6 - Fuzzy_Parameters!$C$5)), 0)</f>
        <v>0</v>
      </c>
      <c r="E19" s="25">
        <f>MAX(MIN((Sheet7!C19 - Fuzzy_Parameters!$C$5)/(Fuzzy_Parameters!$C$6 - Fuzzy_Parameters!$C$5), 1), 0)</f>
        <v>0</v>
      </c>
      <c r="F19" s="25">
        <f>MAX(MIN(1, (Fuzzy_Parameters!$C$12 - Sheet7!D19)/(Fuzzy_Parameters!$C$12 - Fuzzy_Parameters!$C$11)), 0)</f>
        <v>0</v>
      </c>
      <c r="G19" s="25">
        <f>MAX(MIN((Sheet7!D19 - Fuzzy_Parameters!$C$11)/(Fuzzy_Parameters!$C$12 - Fuzzy_Parameters!$C$11), 1, (Fuzzy_Parameters!$C$14 - Sheet7!D19)/(Fuzzy_Parameters!$C$14 - Fuzzy_Parameters!$C$13)), 0)</f>
        <v>0.04379562044</v>
      </c>
      <c r="H19" s="25">
        <f>MAX(MIN((Sheet7!D19 - Fuzzy_Parameters!$C$13)/(Fuzzy_Parameters!$C$14 - Fuzzy_Parameters!$C$13), 1), 0)</f>
        <v>0.9562043796</v>
      </c>
      <c r="I19" s="25">
        <f>MAX(MIN(1, (Fuzzy_Parameters!$C$20 - Sheet7!E19)/(Fuzzy_Parameters!$C$20 - Fuzzy_Parameters!$C$19)), 0)</f>
        <v>0</v>
      </c>
      <c r="J19" s="25">
        <f>MAX(MIN((Sheet7!E19 - Fuzzy_Parameters!$C$19)/(Fuzzy_Parameters!$C$20 - Fuzzy_Parameters!$C$19), 1, (Fuzzy_Parameters!$C$22 - Sheet7!E19)/(Fuzzy_Parameters!$C$22 - Fuzzy_Parameters!$C$21)), 0)</f>
        <v>0.888372093</v>
      </c>
      <c r="K19" s="25">
        <f>MAX(MIN((Sheet7!E19 - Fuzzy_Parameters!$C$21)/(Fuzzy_Parameters!$C$22 - Fuzzy_Parameters!$C$21), 1), 0)</f>
        <v>0.111627907</v>
      </c>
      <c r="L19" s="25">
        <f>MAX(MIN(1, (Fuzzy_Parameters!$C$28 - Sheet7!F19)/(Fuzzy_Parameters!$C$28 - Fuzzy_Parameters!$C$27)), 0)</f>
        <v>0</v>
      </c>
      <c r="M19" s="25">
        <f>MAX(MIN((Sheet7!F19 - Fuzzy_Parameters!$C$27)/(Fuzzy_Parameters!$C$28 - Fuzzy_Parameters!$C$27), 1, (Fuzzy_Parameters!$C$30 - Sheet7!F19)/(Fuzzy_Parameters!$C$30 - Fuzzy_Parameters!$C$29)), 0)</f>
        <v>1</v>
      </c>
      <c r="N19" s="25">
        <f>MAX(MIN((Sheet7!F19 - Fuzzy_Parameters!$C$29)/(Fuzzy_Parameters!$C$30 - Fuzzy_Parameters!$C$29), 1), 0)</f>
        <v>0</v>
      </c>
    </row>
    <row r="20">
      <c r="A20" s="6" t="s">
        <v>7</v>
      </c>
      <c r="B20" s="55">
        <v>2025.0</v>
      </c>
      <c r="C20" s="25">
        <f>MAX(MIN(1, (Fuzzy_Parameters!$C$4 - Sheet7!C20)/(Fuzzy_Parameters!$C$4 - Fuzzy_Parameters!$C$3)), 0)</f>
        <v>0</v>
      </c>
      <c r="D20" s="25">
        <f>MAX(MIN((Sheet7!C20 - Fuzzy_Parameters!$C$3)/(Fuzzy_Parameters!$C$4 - Fuzzy_Parameters!$C$3), 1, (Fuzzy_Parameters!$C$6 - Sheet7!C20)/(Fuzzy_Parameters!$C$6 - Fuzzy_Parameters!$C$5)), 0)</f>
        <v>0.5396959459</v>
      </c>
      <c r="E20" s="25">
        <f>MAX(MIN((Sheet7!C20 - Fuzzy_Parameters!$C$5)/(Fuzzy_Parameters!$C$6 - Fuzzy_Parameters!$C$5), 1), 0)</f>
        <v>0.4603040541</v>
      </c>
      <c r="F20" s="25">
        <f>MAX(MIN(1, (Fuzzy_Parameters!$C$12 - Sheet7!D20)/(Fuzzy_Parameters!$C$12 - Fuzzy_Parameters!$C$11)), 0)</f>
        <v>0.09377738826</v>
      </c>
      <c r="G20" s="25">
        <f>MAX(MIN((Sheet7!D20 - Fuzzy_Parameters!$C$11)/(Fuzzy_Parameters!$C$12 - Fuzzy_Parameters!$C$11), 1, (Fuzzy_Parameters!$C$14 - Sheet7!D20)/(Fuzzy_Parameters!$C$14 - Fuzzy_Parameters!$C$13)), 0)</f>
        <v>0.9062226117</v>
      </c>
      <c r="H20" s="25">
        <f>MAX(MIN((Sheet7!D20 - Fuzzy_Parameters!$C$13)/(Fuzzy_Parameters!$C$14 - Fuzzy_Parameters!$C$13), 1), 0)</f>
        <v>0</v>
      </c>
      <c r="I20" s="25">
        <f>MAX(MIN(1, (Fuzzy_Parameters!$C$20 - Sheet7!E20)/(Fuzzy_Parameters!$C$20 - Fuzzy_Parameters!$C$19)), 0)</f>
        <v>0</v>
      </c>
      <c r="J20" s="25">
        <f>MAX(MIN((Sheet7!E20 - Fuzzy_Parameters!$C$19)/(Fuzzy_Parameters!$C$20 - Fuzzy_Parameters!$C$19), 1, (Fuzzy_Parameters!$C$22 - Sheet7!E20)/(Fuzzy_Parameters!$C$22 - Fuzzy_Parameters!$C$21)), 0)</f>
        <v>0.06046511628</v>
      </c>
      <c r="K20" s="25">
        <f>MAX(MIN((Sheet7!E20 - Fuzzy_Parameters!$C$21)/(Fuzzy_Parameters!$C$22 - Fuzzy_Parameters!$C$21), 1), 0)</f>
        <v>0.9395348837</v>
      </c>
      <c r="L20" s="25">
        <f>MAX(MIN(1, (Fuzzy_Parameters!$C$28 - Sheet7!F20)/(Fuzzy_Parameters!$C$28 - Fuzzy_Parameters!$C$27)), 0)</f>
        <v>0</v>
      </c>
      <c r="M20" s="25">
        <f>MAX(MIN((Sheet7!F20 - Fuzzy_Parameters!$C$27)/(Fuzzy_Parameters!$C$28 - Fuzzy_Parameters!$C$27), 1, (Fuzzy_Parameters!$C$30 - Sheet7!F20)/(Fuzzy_Parameters!$C$30 - Fuzzy_Parameters!$C$29)), 0)</f>
        <v>1</v>
      </c>
      <c r="N20" s="25">
        <f>MAX(MIN((Sheet7!F20 - Fuzzy_Parameters!$C$29)/(Fuzzy_Parameters!$C$30 - Fuzzy_Parameters!$C$29), 1), 0)</f>
        <v>0</v>
      </c>
    </row>
    <row r="21">
      <c r="A21" s="6" t="s">
        <v>7</v>
      </c>
      <c r="B21" s="26">
        <v>2024.0</v>
      </c>
      <c r="C21" s="25">
        <f>MAX(MIN(1, (Fuzzy_Parameters!$C$4 - Sheet7!C21)/(Fuzzy_Parameters!$C$4 - Fuzzy_Parameters!$C$3)), 0)</f>
        <v>0.7212931996</v>
      </c>
      <c r="D21" s="25">
        <f>MAX(MIN((Sheet7!C21 - Fuzzy_Parameters!$C$3)/(Fuzzy_Parameters!$C$4 - Fuzzy_Parameters!$C$3), 1, (Fuzzy_Parameters!$C$6 - Sheet7!C21)/(Fuzzy_Parameters!$C$6 - Fuzzy_Parameters!$C$5)), 0)</f>
        <v>0.2787068004</v>
      </c>
      <c r="E21" s="25">
        <f>MAX(MIN((Sheet7!C21 - Fuzzy_Parameters!$C$5)/(Fuzzy_Parameters!$C$6 - Fuzzy_Parameters!$C$5), 1), 0)</f>
        <v>0</v>
      </c>
      <c r="F21" s="25">
        <f>MAX(MIN(1, (Fuzzy_Parameters!$C$12 - Sheet7!D21)/(Fuzzy_Parameters!$C$12 - Fuzzy_Parameters!$C$11)), 0)</f>
        <v>0</v>
      </c>
      <c r="G21" s="25">
        <f>MAX(MIN((Sheet7!D21 - Fuzzy_Parameters!$C$11)/(Fuzzy_Parameters!$C$12 - Fuzzy_Parameters!$C$11), 1, (Fuzzy_Parameters!$C$14 - Sheet7!D21)/(Fuzzy_Parameters!$C$14 - Fuzzy_Parameters!$C$13)), 0)</f>
        <v>0.6704098821</v>
      </c>
      <c r="H21" s="25">
        <f>MAX(MIN((Sheet7!D21 - Fuzzy_Parameters!$C$13)/(Fuzzy_Parameters!$C$14 - Fuzzy_Parameters!$C$13), 1), 0)</f>
        <v>0.3295901179</v>
      </c>
      <c r="I21" s="25">
        <f>MAX(MIN(1, (Fuzzy_Parameters!$C$20 - Sheet7!E21)/(Fuzzy_Parameters!$C$20 - Fuzzy_Parameters!$C$19)), 0)</f>
        <v>0</v>
      </c>
      <c r="J21" s="25">
        <f>MAX(MIN((Sheet7!E21 - Fuzzy_Parameters!$C$19)/(Fuzzy_Parameters!$C$20 - Fuzzy_Parameters!$C$19), 1, (Fuzzy_Parameters!$C$22 - Sheet7!E21)/(Fuzzy_Parameters!$C$22 - Fuzzy_Parameters!$C$21)), 0)</f>
        <v>0.5674418605</v>
      </c>
      <c r="K21" s="25">
        <f>MAX(MIN((Sheet7!E21 - Fuzzy_Parameters!$C$21)/(Fuzzy_Parameters!$C$22 - Fuzzy_Parameters!$C$21), 1), 0)</f>
        <v>0.4325581395</v>
      </c>
      <c r="L21" s="25">
        <f>MAX(MIN(1, (Fuzzy_Parameters!$C$28 - Sheet7!F21)/(Fuzzy_Parameters!$C$28 - Fuzzy_Parameters!$C$27)), 0)</f>
        <v>0</v>
      </c>
      <c r="M21" s="25">
        <f>MAX(MIN((Sheet7!F21 - Fuzzy_Parameters!$C$27)/(Fuzzy_Parameters!$C$28 - Fuzzy_Parameters!$C$27), 1, (Fuzzy_Parameters!$C$30 - Sheet7!F21)/(Fuzzy_Parameters!$C$30 - Fuzzy_Parameters!$C$29)), 0)</f>
        <v>0.960857394</v>
      </c>
      <c r="N21" s="25">
        <f>MAX(MIN((Sheet7!F21 - Fuzzy_Parameters!$C$29)/(Fuzzy_Parameters!$C$30 - Fuzzy_Parameters!$C$29), 1), 0)</f>
        <v>0.03914260597</v>
      </c>
    </row>
    <row r="22">
      <c r="A22" s="6" t="s">
        <v>7</v>
      </c>
      <c r="B22" s="55">
        <v>2023.0</v>
      </c>
      <c r="C22" s="25">
        <f>MAX(MIN(1, (Fuzzy_Parameters!$C$4 - Sheet7!C22)/(Fuzzy_Parameters!$C$4 - Fuzzy_Parameters!$C$3)), 0)</f>
        <v>0.5239687848</v>
      </c>
      <c r="D22" s="25">
        <f>MAX(MIN((Sheet7!C22 - Fuzzy_Parameters!$C$3)/(Fuzzy_Parameters!$C$4 - Fuzzy_Parameters!$C$3), 1, (Fuzzy_Parameters!$C$6 - Sheet7!C22)/(Fuzzy_Parameters!$C$6 - Fuzzy_Parameters!$C$5)), 0)</f>
        <v>0.4760312152</v>
      </c>
      <c r="E22" s="25">
        <f>MAX(MIN((Sheet7!C22 - Fuzzy_Parameters!$C$5)/(Fuzzy_Parameters!$C$6 - Fuzzy_Parameters!$C$5), 1), 0)</f>
        <v>0</v>
      </c>
      <c r="F22" s="25">
        <f>MAX(MIN(1, (Fuzzy_Parameters!$C$12 - Sheet7!D22)/(Fuzzy_Parameters!$C$12 - Fuzzy_Parameters!$C$11)), 0)</f>
        <v>0</v>
      </c>
      <c r="G22" s="25">
        <f>MAX(MIN((Sheet7!D22 - Fuzzy_Parameters!$C$11)/(Fuzzy_Parameters!$C$12 - Fuzzy_Parameters!$C$11), 1, (Fuzzy_Parameters!$C$14 - Sheet7!D22)/(Fuzzy_Parameters!$C$14 - Fuzzy_Parameters!$C$13)), 0)</f>
        <v>1</v>
      </c>
      <c r="H22" s="25">
        <f>MAX(MIN((Sheet7!D22 - Fuzzy_Parameters!$C$13)/(Fuzzy_Parameters!$C$14 - Fuzzy_Parameters!$C$13), 1), 0)</f>
        <v>0</v>
      </c>
      <c r="I22" s="25">
        <f>MAX(MIN(1, (Fuzzy_Parameters!$C$20 - Sheet7!E22)/(Fuzzy_Parameters!$C$20 - Fuzzy_Parameters!$C$19)), 0)</f>
        <v>0</v>
      </c>
      <c r="J22" s="25">
        <f>MAX(MIN((Sheet7!E22 - Fuzzy_Parameters!$C$19)/(Fuzzy_Parameters!$C$20 - Fuzzy_Parameters!$C$19), 1, (Fuzzy_Parameters!$C$22 - Sheet7!E22)/(Fuzzy_Parameters!$C$22 - Fuzzy_Parameters!$C$21)), 0)</f>
        <v>1</v>
      </c>
      <c r="K22" s="25">
        <f>MAX(MIN((Sheet7!E22 - Fuzzy_Parameters!$C$21)/(Fuzzy_Parameters!$C$22 - Fuzzy_Parameters!$C$21), 1), 0)</f>
        <v>0</v>
      </c>
      <c r="L22" s="25">
        <f>MAX(MIN(1, (Fuzzy_Parameters!$C$28 - Sheet7!F22)/(Fuzzy_Parameters!$C$28 - Fuzzy_Parameters!$C$27)), 0)</f>
        <v>0</v>
      </c>
      <c r="M22" s="25">
        <f>MAX(MIN((Sheet7!F22 - Fuzzy_Parameters!$C$27)/(Fuzzy_Parameters!$C$28 - Fuzzy_Parameters!$C$27), 1, (Fuzzy_Parameters!$C$30 - Sheet7!F22)/(Fuzzy_Parameters!$C$30 - Fuzzy_Parameters!$C$29)), 0)</f>
        <v>0.7948481143</v>
      </c>
      <c r="N22" s="25">
        <f>MAX(MIN((Sheet7!F22 - Fuzzy_Parameters!$C$29)/(Fuzzy_Parameters!$C$30 - Fuzzy_Parameters!$C$29), 1), 0)</f>
        <v>0.2051518857</v>
      </c>
    </row>
    <row r="23">
      <c r="A23" s="6" t="s">
        <v>8</v>
      </c>
      <c r="B23" s="55">
        <v>2025.0</v>
      </c>
      <c r="C23" s="25">
        <f>MAX(MIN(1, (Fuzzy_Parameters!$C$4 - Sheet7!C23)/(Fuzzy_Parameters!$C$4 - Fuzzy_Parameters!$C$3)), 0)</f>
        <v>0</v>
      </c>
      <c r="D23" s="25">
        <f>MAX(MIN((Sheet7!C23 - Fuzzy_Parameters!$C$3)/(Fuzzy_Parameters!$C$4 - Fuzzy_Parameters!$C$3), 1, (Fuzzy_Parameters!$C$6 - Sheet7!C23)/(Fuzzy_Parameters!$C$6 - Fuzzy_Parameters!$C$5)), 0)</f>
        <v>0.3130630631</v>
      </c>
      <c r="E23" s="25">
        <f>MAX(MIN((Sheet7!C23 - Fuzzy_Parameters!$C$5)/(Fuzzy_Parameters!$C$6 - Fuzzy_Parameters!$C$5), 1), 0)</f>
        <v>0.6869369369</v>
      </c>
      <c r="F23" s="25">
        <f>MAX(MIN(1, (Fuzzy_Parameters!$C$12 - Sheet7!D23)/(Fuzzy_Parameters!$C$12 - Fuzzy_Parameters!$C$11)), 0)</f>
        <v>0</v>
      </c>
      <c r="G23" s="25">
        <f>MAX(MIN((Sheet7!D23 - Fuzzy_Parameters!$C$11)/(Fuzzy_Parameters!$C$12 - Fuzzy_Parameters!$C$11), 1, (Fuzzy_Parameters!$C$14 - Sheet7!D23)/(Fuzzy_Parameters!$C$14 - Fuzzy_Parameters!$C$13)), 0)</f>
        <v>0</v>
      </c>
      <c r="H23" s="25">
        <f>MAX(MIN((Sheet7!D23 - Fuzzy_Parameters!$C$13)/(Fuzzy_Parameters!$C$14 - Fuzzy_Parameters!$C$13), 1), 0)</f>
        <v>1</v>
      </c>
      <c r="I23" s="25">
        <f>MAX(MIN(1, (Fuzzy_Parameters!$C$20 - Sheet7!E23)/(Fuzzy_Parameters!$C$20 - Fuzzy_Parameters!$C$19)), 0)</f>
        <v>0</v>
      </c>
      <c r="J23" s="25">
        <f>MAX(MIN((Sheet7!E23 - Fuzzy_Parameters!$C$19)/(Fuzzy_Parameters!$C$20 - Fuzzy_Parameters!$C$19), 1, (Fuzzy_Parameters!$C$22 - Sheet7!E23)/(Fuzzy_Parameters!$C$22 - Fuzzy_Parameters!$C$21)), 0)</f>
        <v>1</v>
      </c>
      <c r="K23" s="25">
        <f>MAX(MIN((Sheet7!E23 - Fuzzy_Parameters!$C$21)/(Fuzzy_Parameters!$C$22 - Fuzzy_Parameters!$C$21), 1), 0)</f>
        <v>0</v>
      </c>
      <c r="L23" s="25">
        <f>MAX(MIN(1, (Fuzzy_Parameters!$C$28 - Sheet7!F23)/(Fuzzy_Parameters!$C$28 - Fuzzy_Parameters!$C$27)), 0)</f>
        <v>1</v>
      </c>
      <c r="M23" s="25">
        <f>MAX(MIN((Sheet7!F23 - Fuzzy_Parameters!$C$27)/(Fuzzy_Parameters!$C$28 - Fuzzy_Parameters!$C$27), 1, (Fuzzy_Parameters!$C$30 - Sheet7!F23)/(Fuzzy_Parameters!$C$30 - Fuzzy_Parameters!$C$29)), 0)</f>
        <v>0</v>
      </c>
      <c r="N23" s="25">
        <f>MAX(MIN((Sheet7!F23 - Fuzzy_Parameters!$C$29)/(Fuzzy_Parameters!$C$30 - Fuzzy_Parameters!$C$29), 1), 0)</f>
        <v>0</v>
      </c>
    </row>
    <row r="24">
      <c r="A24" s="6" t="s">
        <v>8</v>
      </c>
      <c r="B24" s="26">
        <v>2024.0</v>
      </c>
      <c r="C24" s="25">
        <f>MAX(MIN(1, (Fuzzy_Parameters!$C$4 - Sheet7!C24)/(Fuzzy_Parameters!$C$4 - Fuzzy_Parameters!$C$3)), 0)</f>
        <v>0</v>
      </c>
      <c r="D24" s="25">
        <f>MAX(MIN((Sheet7!C24 - Fuzzy_Parameters!$C$3)/(Fuzzy_Parameters!$C$4 - Fuzzy_Parameters!$C$3), 1, (Fuzzy_Parameters!$C$6 - Sheet7!C24)/(Fuzzy_Parameters!$C$6 - Fuzzy_Parameters!$C$5)), 0)</f>
        <v>0.4884572072</v>
      </c>
      <c r="E24" s="25">
        <f>MAX(MIN((Sheet7!C24 - Fuzzy_Parameters!$C$5)/(Fuzzy_Parameters!$C$6 - Fuzzy_Parameters!$C$5), 1), 0)</f>
        <v>0.5115427928</v>
      </c>
      <c r="F24" s="25">
        <f>MAX(MIN(1, (Fuzzy_Parameters!$C$12 - Sheet7!D24)/(Fuzzy_Parameters!$C$12 - Fuzzy_Parameters!$C$11)), 0)</f>
        <v>0</v>
      </c>
      <c r="G24" s="25">
        <f>MAX(MIN((Sheet7!D24 - Fuzzy_Parameters!$C$11)/(Fuzzy_Parameters!$C$12 - Fuzzy_Parameters!$C$11), 1, (Fuzzy_Parameters!$C$14 - Sheet7!D24)/(Fuzzy_Parameters!$C$14 - Fuzzy_Parameters!$C$13)), 0)</f>
        <v>0</v>
      </c>
      <c r="H24" s="25">
        <f>MAX(MIN((Sheet7!D24 - Fuzzy_Parameters!$C$13)/(Fuzzy_Parameters!$C$14 - Fuzzy_Parameters!$C$13), 1), 0)</f>
        <v>1</v>
      </c>
      <c r="I24" s="25">
        <f>MAX(MIN(1, (Fuzzy_Parameters!$C$20 - Sheet7!E24)/(Fuzzy_Parameters!$C$20 - Fuzzy_Parameters!$C$19)), 0)</f>
        <v>0</v>
      </c>
      <c r="J24" s="25">
        <f>MAX(MIN((Sheet7!E24 - Fuzzy_Parameters!$C$19)/(Fuzzy_Parameters!$C$20 - Fuzzy_Parameters!$C$19), 1, (Fuzzy_Parameters!$C$22 - Sheet7!E24)/(Fuzzy_Parameters!$C$22 - Fuzzy_Parameters!$C$21)), 0)</f>
        <v>0.9860465116</v>
      </c>
      <c r="K24" s="25">
        <f>MAX(MIN((Sheet7!E24 - Fuzzy_Parameters!$C$21)/(Fuzzy_Parameters!$C$22 - Fuzzy_Parameters!$C$21), 1), 0)</f>
        <v>0.01395348837</v>
      </c>
      <c r="L24" s="25">
        <f>MAX(MIN(1, (Fuzzy_Parameters!$C$28 - Sheet7!F24)/(Fuzzy_Parameters!$C$28 - Fuzzy_Parameters!$C$27)), 0)</f>
        <v>1</v>
      </c>
      <c r="M24" s="25">
        <f>MAX(MIN((Sheet7!F24 - Fuzzy_Parameters!$C$27)/(Fuzzy_Parameters!$C$28 - Fuzzy_Parameters!$C$27), 1, (Fuzzy_Parameters!$C$30 - Sheet7!F24)/(Fuzzy_Parameters!$C$30 - Fuzzy_Parameters!$C$29)), 0)</f>
        <v>0</v>
      </c>
      <c r="N24" s="25">
        <f>MAX(MIN((Sheet7!F24 - Fuzzy_Parameters!$C$29)/(Fuzzy_Parameters!$C$30 - Fuzzy_Parameters!$C$29), 1), 0)</f>
        <v>0</v>
      </c>
    </row>
    <row r="25">
      <c r="A25" s="6" t="s">
        <v>8</v>
      </c>
      <c r="B25" s="55">
        <v>2023.0</v>
      </c>
      <c r="C25" s="25">
        <f>MAX(MIN(1, (Fuzzy_Parameters!$C$4 - Sheet7!C25)/(Fuzzy_Parameters!$C$4 - Fuzzy_Parameters!$C$3)), 0)</f>
        <v>0</v>
      </c>
      <c r="D25" s="25">
        <f>MAX(MIN((Sheet7!C25 - Fuzzy_Parameters!$C$3)/(Fuzzy_Parameters!$C$4 - Fuzzy_Parameters!$C$3), 1, (Fuzzy_Parameters!$C$6 - Sheet7!C25)/(Fuzzy_Parameters!$C$6 - Fuzzy_Parameters!$C$5)), 0)</f>
        <v>0.5748873874</v>
      </c>
      <c r="E25" s="25">
        <f>MAX(MIN((Sheet7!C25 - Fuzzy_Parameters!$C$5)/(Fuzzy_Parameters!$C$6 - Fuzzy_Parameters!$C$5), 1), 0)</f>
        <v>0.4251126126</v>
      </c>
      <c r="F25" s="25">
        <f>MAX(MIN(1, (Fuzzy_Parameters!$C$12 - Sheet7!D25)/(Fuzzy_Parameters!$C$12 - Fuzzy_Parameters!$C$11)), 0)</f>
        <v>0</v>
      </c>
      <c r="G25" s="25">
        <f>MAX(MIN((Sheet7!D25 - Fuzzy_Parameters!$C$11)/(Fuzzy_Parameters!$C$12 - Fuzzy_Parameters!$C$11), 1, (Fuzzy_Parameters!$C$14 - Sheet7!D25)/(Fuzzy_Parameters!$C$14 - Fuzzy_Parameters!$C$13)), 0)</f>
        <v>0</v>
      </c>
      <c r="H25" s="25">
        <f>MAX(MIN((Sheet7!D25 - Fuzzy_Parameters!$C$13)/(Fuzzy_Parameters!$C$14 - Fuzzy_Parameters!$C$13), 1), 0)</f>
        <v>1</v>
      </c>
      <c r="I25" s="25">
        <f>MAX(MIN(1, (Fuzzy_Parameters!$C$20 - Sheet7!E25)/(Fuzzy_Parameters!$C$20 - Fuzzy_Parameters!$C$19)), 0)</f>
        <v>0</v>
      </c>
      <c r="J25" s="25">
        <f>MAX(MIN((Sheet7!E25 - Fuzzy_Parameters!$C$19)/(Fuzzy_Parameters!$C$20 - Fuzzy_Parameters!$C$19), 1, (Fuzzy_Parameters!$C$22 - Sheet7!E25)/(Fuzzy_Parameters!$C$22 - Fuzzy_Parameters!$C$21)), 0)</f>
        <v>1</v>
      </c>
      <c r="K25" s="25">
        <f>MAX(MIN((Sheet7!E25 - Fuzzy_Parameters!$C$21)/(Fuzzy_Parameters!$C$22 - Fuzzy_Parameters!$C$21), 1), 0)</f>
        <v>0</v>
      </c>
      <c r="L25" s="25">
        <f>MAX(MIN(1, (Fuzzy_Parameters!$C$28 - Sheet7!F25)/(Fuzzy_Parameters!$C$28 - Fuzzy_Parameters!$C$27)), 0)</f>
        <v>1</v>
      </c>
      <c r="M25" s="25">
        <f>MAX(MIN((Sheet7!F25 - Fuzzy_Parameters!$C$27)/(Fuzzy_Parameters!$C$28 - Fuzzy_Parameters!$C$27), 1, (Fuzzy_Parameters!$C$30 - Sheet7!F25)/(Fuzzy_Parameters!$C$30 - Fuzzy_Parameters!$C$29)), 0)</f>
        <v>0</v>
      </c>
      <c r="N25" s="25">
        <f>MAX(MIN((Sheet7!F25 - Fuzzy_Parameters!$C$29)/(Fuzzy_Parameters!$C$30 - Fuzzy_Parameters!$C$29), 1), 0)</f>
        <v>0</v>
      </c>
    </row>
    <row r="26">
      <c r="A26" s="6" t="s">
        <v>9</v>
      </c>
      <c r="B26" s="55">
        <v>2025.0</v>
      </c>
      <c r="C26" s="25">
        <f>MAX(MIN(1, (Fuzzy_Parameters!$C$4 - Sheet7!C26)/(Fuzzy_Parameters!$C$4 - Fuzzy_Parameters!$C$3)), 0)</f>
        <v>0</v>
      </c>
      <c r="D26" s="25">
        <f>MAX(MIN((Sheet7!C26 - Fuzzy_Parameters!$C$3)/(Fuzzy_Parameters!$C$4 - Fuzzy_Parameters!$C$3), 1, (Fuzzy_Parameters!$C$6 - Sheet7!C26)/(Fuzzy_Parameters!$C$6 - Fuzzy_Parameters!$C$5)), 0)</f>
        <v>0</v>
      </c>
      <c r="E26" s="25">
        <f>MAX(MIN((Sheet7!C26 - Fuzzy_Parameters!$C$5)/(Fuzzy_Parameters!$C$6 - Fuzzy_Parameters!$C$5), 1), 0)</f>
        <v>1</v>
      </c>
      <c r="F26" s="25">
        <f>MAX(MIN(1, (Fuzzy_Parameters!$C$12 - Sheet7!D26)/(Fuzzy_Parameters!$C$12 - Fuzzy_Parameters!$C$11)), 0)</f>
        <v>0</v>
      </c>
      <c r="G26" s="25">
        <f>MAX(MIN((Sheet7!D26 - Fuzzy_Parameters!$C$11)/(Fuzzy_Parameters!$C$12 - Fuzzy_Parameters!$C$11), 1, (Fuzzy_Parameters!$C$14 - Sheet7!D26)/(Fuzzy_Parameters!$C$14 - Fuzzy_Parameters!$C$13)), 0)</f>
        <v>0.9747332959</v>
      </c>
      <c r="H26" s="25">
        <f>MAX(MIN((Sheet7!D26 - Fuzzy_Parameters!$C$13)/(Fuzzy_Parameters!$C$14 - Fuzzy_Parameters!$C$13), 1), 0)</f>
        <v>0.0252667041</v>
      </c>
      <c r="I26" s="25">
        <f>MAX(MIN(1, (Fuzzy_Parameters!$C$20 - Sheet7!E26)/(Fuzzy_Parameters!$C$20 - Fuzzy_Parameters!$C$19)), 0)</f>
        <v>0</v>
      </c>
      <c r="J26" s="25">
        <f>MAX(MIN((Sheet7!E26 - Fuzzy_Parameters!$C$19)/(Fuzzy_Parameters!$C$20 - Fuzzy_Parameters!$C$19), 1, (Fuzzy_Parameters!$C$22 - Sheet7!E26)/(Fuzzy_Parameters!$C$22 - Fuzzy_Parameters!$C$21)), 0)</f>
        <v>0.5906976744</v>
      </c>
      <c r="K26" s="25">
        <f>MAX(MIN((Sheet7!E26 - Fuzzy_Parameters!$C$21)/(Fuzzy_Parameters!$C$22 - Fuzzy_Parameters!$C$21), 1), 0)</f>
        <v>0.4093023256</v>
      </c>
      <c r="L26" s="25">
        <f>MAX(MIN(1, (Fuzzy_Parameters!$C$28 - Sheet7!F26)/(Fuzzy_Parameters!$C$28 - Fuzzy_Parameters!$C$27)), 0)</f>
        <v>0</v>
      </c>
      <c r="M26" s="25">
        <f>MAX(MIN((Sheet7!F26 - Fuzzy_Parameters!$C$27)/(Fuzzy_Parameters!$C$28 - Fuzzy_Parameters!$C$27), 1, (Fuzzy_Parameters!$C$30 - Sheet7!F26)/(Fuzzy_Parameters!$C$30 - Fuzzy_Parameters!$C$29)), 0)</f>
        <v>0</v>
      </c>
      <c r="N26" s="25">
        <f>MAX(MIN((Sheet7!F26 - Fuzzy_Parameters!$C$29)/(Fuzzy_Parameters!$C$30 - Fuzzy_Parameters!$C$29), 1), 0)</f>
        <v>1</v>
      </c>
    </row>
    <row r="27">
      <c r="A27" s="6" t="s">
        <v>9</v>
      </c>
      <c r="B27" s="26">
        <v>2024.0</v>
      </c>
      <c r="C27" s="25">
        <f>MAX(MIN(1, (Fuzzy_Parameters!$C$4 - Sheet7!C27)/(Fuzzy_Parameters!$C$4 - Fuzzy_Parameters!$C$3)), 0)</f>
        <v>0</v>
      </c>
      <c r="D27" s="25">
        <f>MAX(MIN((Sheet7!C27 - Fuzzy_Parameters!$C$3)/(Fuzzy_Parameters!$C$4 - Fuzzy_Parameters!$C$3), 1, (Fuzzy_Parameters!$C$6 - Sheet7!C27)/(Fuzzy_Parameters!$C$6 - Fuzzy_Parameters!$C$5)), 0)</f>
        <v>0</v>
      </c>
      <c r="E27" s="25">
        <f>MAX(MIN((Sheet7!C27 - Fuzzy_Parameters!$C$5)/(Fuzzy_Parameters!$C$6 - Fuzzy_Parameters!$C$5), 1), 0)</f>
        <v>1</v>
      </c>
      <c r="F27" s="25">
        <f>MAX(MIN(1, (Fuzzy_Parameters!$C$12 - Sheet7!D27)/(Fuzzy_Parameters!$C$12 - Fuzzy_Parameters!$C$11)), 0)</f>
        <v>0</v>
      </c>
      <c r="G27" s="25">
        <f>MAX(MIN((Sheet7!D27 - Fuzzy_Parameters!$C$11)/(Fuzzy_Parameters!$C$12 - Fuzzy_Parameters!$C$11), 1, (Fuzzy_Parameters!$C$14 - Sheet7!D27)/(Fuzzy_Parameters!$C$14 - Fuzzy_Parameters!$C$13)), 0)</f>
        <v>1</v>
      </c>
      <c r="H27" s="25">
        <f>MAX(MIN((Sheet7!D27 - Fuzzy_Parameters!$C$13)/(Fuzzy_Parameters!$C$14 - Fuzzy_Parameters!$C$13), 1), 0)</f>
        <v>0</v>
      </c>
      <c r="I27" s="25">
        <f>MAX(MIN(1, (Fuzzy_Parameters!$C$20 - Sheet7!E27)/(Fuzzy_Parameters!$C$20 - Fuzzy_Parameters!$C$19)), 0)</f>
        <v>0</v>
      </c>
      <c r="J27" s="25">
        <f>MAX(MIN((Sheet7!E27 - Fuzzy_Parameters!$C$19)/(Fuzzy_Parameters!$C$20 - Fuzzy_Parameters!$C$19), 1, (Fuzzy_Parameters!$C$22 - Sheet7!E27)/(Fuzzy_Parameters!$C$22 - Fuzzy_Parameters!$C$21)), 0)</f>
        <v>0.776744186</v>
      </c>
      <c r="K27" s="25">
        <f>MAX(MIN((Sheet7!E27 - Fuzzy_Parameters!$C$21)/(Fuzzy_Parameters!$C$22 - Fuzzy_Parameters!$C$21), 1), 0)</f>
        <v>0.223255814</v>
      </c>
      <c r="L27" s="25">
        <f>MAX(MIN(1, (Fuzzy_Parameters!$C$28 - Sheet7!F27)/(Fuzzy_Parameters!$C$28 - Fuzzy_Parameters!$C$27)), 0)</f>
        <v>0</v>
      </c>
      <c r="M27" s="25">
        <f>MAX(MIN((Sheet7!F27 - Fuzzy_Parameters!$C$27)/(Fuzzy_Parameters!$C$28 - Fuzzy_Parameters!$C$27), 1, (Fuzzy_Parameters!$C$30 - Sheet7!F27)/(Fuzzy_Parameters!$C$30 - Fuzzy_Parameters!$C$29)), 0)</f>
        <v>0</v>
      </c>
      <c r="N27" s="25">
        <f>MAX(MIN((Sheet7!F27 - Fuzzy_Parameters!$C$29)/(Fuzzy_Parameters!$C$30 - Fuzzy_Parameters!$C$29), 1), 0)</f>
        <v>1</v>
      </c>
    </row>
    <row r="28">
      <c r="A28" s="6" t="s">
        <v>9</v>
      </c>
      <c r="B28" s="55">
        <v>2023.0</v>
      </c>
      <c r="C28" s="25">
        <f>MAX(MIN(1, (Fuzzy_Parameters!$C$4 - Sheet7!C28)/(Fuzzy_Parameters!$C$4 - Fuzzy_Parameters!$C$3)), 0)</f>
        <v>0</v>
      </c>
      <c r="D28" s="25">
        <f>MAX(MIN((Sheet7!C28 - Fuzzy_Parameters!$C$3)/(Fuzzy_Parameters!$C$4 - Fuzzy_Parameters!$C$3), 1, (Fuzzy_Parameters!$C$6 - Sheet7!C28)/(Fuzzy_Parameters!$C$6 - Fuzzy_Parameters!$C$5)), 0)</f>
        <v>0</v>
      </c>
      <c r="E28" s="25">
        <f>MAX(MIN((Sheet7!C28 - Fuzzy_Parameters!$C$5)/(Fuzzy_Parameters!$C$6 - Fuzzy_Parameters!$C$5), 1), 0)</f>
        <v>1</v>
      </c>
      <c r="F28" s="25">
        <f>MAX(MIN(1, (Fuzzy_Parameters!$C$12 - Sheet7!D28)/(Fuzzy_Parameters!$C$12 - Fuzzy_Parameters!$C$11)), 0)</f>
        <v>0</v>
      </c>
      <c r="G28" s="25">
        <f>MAX(MIN((Sheet7!D28 - Fuzzy_Parameters!$C$11)/(Fuzzy_Parameters!$C$12 - Fuzzy_Parameters!$C$11), 1, (Fuzzy_Parameters!$C$14 - Sheet7!D28)/(Fuzzy_Parameters!$C$14 - Fuzzy_Parameters!$C$13)), 0)</f>
        <v>1</v>
      </c>
      <c r="H28" s="25">
        <f>MAX(MIN((Sheet7!D28 - Fuzzy_Parameters!$C$13)/(Fuzzy_Parameters!$C$14 - Fuzzy_Parameters!$C$13), 1), 0)</f>
        <v>0</v>
      </c>
      <c r="I28" s="25">
        <f>MAX(MIN(1, (Fuzzy_Parameters!$C$20 - Sheet7!E28)/(Fuzzy_Parameters!$C$20 - Fuzzy_Parameters!$C$19)), 0)</f>
        <v>0</v>
      </c>
      <c r="J28" s="25">
        <f>MAX(MIN((Sheet7!E28 - Fuzzy_Parameters!$C$19)/(Fuzzy_Parameters!$C$20 - Fuzzy_Parameters!$C$19), 1, (Fuzzy_Parameters!$C$22 - Sheet7!E28)/(Fuzzy_Parameters!$C$22 - Fuzzy_Parameters!$C$21)), 0)</f>
        <v>0.1720930233</v>
      </c>
      <c r="K28" s="25">
        <f>MAX(MIN((Sheet7!E28 - Fuzzy_Parameters!$C$21)/(Fuzzy_Parameters!$C$22 - Fuzzy_Parameters!$C$21), 1), 0)</f>
        <v>0.8279069767</v>
      </c>
      <c r="L28" s="25">
        <f>MAX(MIN(1, (Fuzzy_Parameters!$C$28 - Sheet7!F28)/(Fuzzy_Parameters!$C$28 - Fuzzy_Parameters!$C$27)), 0)</f>
        <v>0</v>
      </c>
      <c r="M28" s="25">
        <f>MAX(MIN((Sheet7!F28 - Fuzzy_Parameters!$C$27)/(Fuzzy_Parameters!$C$28 - Fuzzy_Parameters!$C$27), 1, (Fuzzy_Parameters!$C$30 - Sheet7!F28)/(Fuzzy_Parameters!$C$30 - Fuzzy_Parameters!$C$29)), 0)</f>
        <v>0</v>
      </c>
      <c r="N28" s="25">
        <f>MAX(MIN((Sheet7!F28 - Fuzzy_Parameters!$C$29)/(Fuzzy_Parameters!$C$30 - Fuzzy_Parameters!$C$29), 1), 0)</f>
        <v>1</v>
      </c>
    </row>
    <row r="29">
      <c r="A29" s="6" t="s">
        <v>10</v>
      </c>
      <c r="B29" s="55">
        <v>2025.0</v>
      </c>
      <c r="C29" s="25">
        <f>MAX(MIN(1, (Fuzzy_Parameters!$C$4 - Sheet7!C29)/(Fuzzy_Parameters!$C$4 - Fuzzy_Parameters!$C$3)), 0)</f>
        <v>0</v>
      </c>
      <c r="D29" s="25">
        <f>MAX(MIN((Sheet7!C29 - Fuzzy_Parameters!$C$3)/(Fuzzy_Parameters!$C$4 - Fuzzy_Parameters!$C$3), 1, (Fuzzy_Parameters!$C$6 - Sheet7!C29)/(Fuzzy_Parameters!$C$6 - Fuzzy_Parameters!$C$5)), 0)</f>
        <v>0.8414977477</v>
      </c>
      <c r="E29" s="25">
        <f>MAX(MIN((Sheet7!C29 - Fuzzy_Parameters!$C$5)/(Fuzzy_Parameters!$C$6 - Fuzzy_Parameters!$C$5), 1), 0)</f>
        <v>0.1585022523</v>
      </c>
      <c r="F29" s="25">
        <f>MAX(MIN(1, (Fuzzy_Parameters!$C$12 - Sheet7!D29)/(Fuzzy_Parameters!$C$12 - Fuzzy_Parameters!$C$11)), 0)</f>
        <v>0</v>
      </c>
      <c r="G29" s="25">
        <f>MAX(MIN((Sheet7!D29 - Fuzzy_Parameters!$C$11)/(Fuzzy_Parameters!$C$12 - Fuzzy_Parameters!$C$11), 1, (Fuzzy_Parameters!$C$14 - Sheet7!D29)/(Fuzzy_Parameters!$C$14 - Fuzzy_Parameters!$C$13)), 0)</f>
        <v>0</v>
      </c>
      <c r="H29" s="25">
        <f>MAX(MIN((Sheet7!D29 - Fuzzy_Parameters!$C$13)/(Fuzzy_Parameters!$C$14 - Fuzzy_Parameters!$C$13), 1), 0)</f>
        <v>1</v>
      </c>
      <c r="I29" s="25">
        <f>MAX(MIN(1, (Fuzzy_Parameters!$C$20 - Sheet7!E29)/(Fuzzy_Parameters!$C$20 - Fuzzy_Parameters!$C$19)), 0)</f>
        <v>0</v>
      </c>
      <c r="J29" s="25">
        <f>MAX(MIN((Sheet7!E29 - Fuzzy_Parameters!$C$19)/(Fuzzy_Parameters!$C$20 - Fuzzy_Parameters!$C$19), 1, (Fuzzy_Parameters!$C$22 - Sheet7!E29)/(Fuzzy_Parameters!$C$22 - Fuzzy_Parameters!$C$21)), 0)</f>
        <v>0</v>
      </c>
      <c r="K29" s="25">
        <f>MAX(MIN((Sheet7!E29 - Fuzzy_Parameters!$C$21)/(Fuzzy_Parameters!$C$22 - Fuzzy_Parameters!$C$21), 1), 0)</f>
        <v>1</v>
      </c>
      <c r="L29" s="25">
        <f>MAX(MIN(1, (Fuzzy_Parameters!$C$28 - Sheet7!F29)/(Fuzzy_Parameters!$C$28 - Fuzzy_Parameters!$C$27)), 0)</f>
        <v>0.1704838794</v>
      </c>
      <c r="M29" s="25">
        <f>MAX(MIN((Sheet7!F29 - Fuzzy_Parameters!$C$27)/(Fuzzy_Parameters!$C$28 - Fuzzy_Parameters!$C$27), 1, (Fuzzy_Parameters!$C$30 - Sheet7!F29)/(Fuzzy_Parameters!$C$30 - Fuzzy_Parameters!$C$29)), 0)</f>
        <v>0.8295161206</v>
      </c>
      <c r="N29" s="25">
        <f>MAX(MIN((Sheet7!F29 - Fuzzy_Parameters!$C$29)/(Fuzzy_Parameters!$C$30 - Fuzzy_Parameters!$C$29), 1), 0)</f>
        <v>0</v>
      </c>
    </row>
    <row r="30">
      <c r="A30" s="6" t="s">
        <v>10</v>
      </c>
      <c r="B30" s="26">
        <v>2024.0</v>
      </c>
      <c r="C30" s="25">
        <f>MAX(MIN(1, (Fuzzy_Parameters!$C$4 - Sheet7!C30)/(Fuzzy_Parameters!$C$4 - Fuzzy_Parameters!$C$3)), 0)</f>
        <v>0</v>
      </c>
      <c r="D30" s="25">
        <f>MAX(MIN((Sheet7!C30 - Fuzzy_Parameters!$C$3)/(Fuzzy_Parameters!$C$4 - Fuzzy_Parameters!$C$3), 1, (Fuzzy_Parameters!$C$6 - Sheet7!C30)/(Fuzzy_Parameters!$C$6 - Fuzzy_Parameters!$C$5)), 0)</f>
        <v>0.8859797297</v>
      </c>
      <c r="E30" s="25">
        <f>MAX(MIN((Sheet7!C30 - Fuzzy_Parameters!$C$5)/(Fuzzy_Parameters!$C$6 - Fuzzy_Parameters!$C$5), 1), 0)</f>
        <v>0.1140202703</v>
      </c>
      <c r="F30" s="25">
        <f>MAX(MIN(1, (Fuzzy_Parameters!$C$12 - Sheet7!D30)/(Fuzzy_Parameters!$C$12 - Fuzzy_Parameters!$C$11)), 0)</f>
        <v>0</v>
      </c>
      <c r="G30" s="25">
        <f>MAX(MIN((Sheet7!D30 - Fuzzy_Parameters!$C$11)/(Fuzzy_Parameters!$C$12 - Fuzzy_Parameters!$C$11), 1, (Fuzzy_Parameters!$C$14 - Sheet7!D30)/(Fuzzy_Parameters!$C$14 - Fuzzy_Parameters!$C$13)), 0)</f>
        <v>0</v>
      </c>
      <c r="H30" s="25">
        <f>MAX(MIN((Sheet7!D30 - Fuzzy_Parameters!$C$13)/(Fuzzy_Parameters!$C$14 - Fuzzy_Parameters!$C$13), 1), 0)</f>
        <v>1</v>
      </c>
      <c r="I30" s="25">
        <f>MAX(MIN(1, (Fuzzy_Parameters!$C$20 - Sheet7!E30)/(Fuzzy_Parameters!$C$20 - Fuzzy_Parameters!$C$19)), 0)</f>
        <v>0</v>
      </c>
      <c r="J30" s="25">
        <f>MAX(MIN((Sheet7!E30 - Fuzzy_Parameters!$C$19)/(Fuzzy_Parameters!$C$20 - Fuzzy_Parameters!$C$19), 1, (Fuzzy_Parameters!$C$22 - Sheet7!E30)/(Fuzzy_Parameters!$C$22 - Fuzzy_Parameters!$C$21)), 0)</f>
        <v>0</v>
      </c>
      <c r="K30" s="25">
        <f>MAX(MIN((Sheet7!E30 - Fuzzy_Parameters!$C$21)/(Fuzzy_Parameters!$C$22 - Fuzzy_Parameters!$C$21), 1), 0)</f>
        <v>1</v>
      </c>
      <c r="L30" s="25">
        <f>MAX(MIN(1, (Fuzzy_Parameters!$C$28 - Sheet7!F30)/(Fuzzy_Parameters!$C$28 - Fuzzy_Parameters!$C$27)), 0)</f>
        <v>0.1456660737</v>
      </c>
      <c r="M30" s="25">
        <f>MAX(MIN((Sheet7!F30 - Fuzzy_Parameters!$C$27)/(Fuzzy_Parameters!$C$28 - Fuzzy_Parameters!$C$27), 1, (Fuzzy_Parameters!$C$30 - Sheet7!F30)/(Fuzzy_Parameters!$C$30 - Fuzzy_Parameters!$C$29)), 0)</f>
        <v>0.8543339263</v>
      </c>
      <c r="N30" s="25">
        <f>MAX(MIN((Sheet7!F30 - Fuzzy_Parameters!$C$29)/(Fuzzy_Parameters!$C$30 - Fuzzy_Parameters!$C$29), 1), 0)</f>
        <v>0</v>
      </c>
    </row>
    <row r="31">
      <c r="A31" s="6" t="s">
        <v>10</v>
      </c>
      <c r="B31" s="55">
        <v>2023.0</v>
      </c>
      <c r="C31" s="25">
        <f>MAX(MIN(1, (Fuzzy_Parameters!$C$4 - Sheet7!C31)/(Fuzzy_Parameters!$C$4 - Fuzzy_Parameters!$C$3)), 0)</f>
        <v>0</v>
      </c>
      <c r="D31" s="25">
        <f>MAX(MIN((Sheet7!C31 - Fuzzy_Parameters!$C$3)/(Fuzzy_Parameters!$C$4 - Fuzzy_Parameters!$C$3), 1, (Fuzzy_Parameters!$C$6 - Sheet7!C31)/(Fuzzy_Parameters!$C$6 - Fuzzy_Parameters!$C$5)), 0)</f>
        <v>0.9048423423</v>
      </c>
      <c r="E31" s="25">
        <f>MAX(MIN((Sheet7!C31 - Fuzzy_Parameters!$C$5)/(Fuzzy_Parameters!$C$6 - Fuzzy_Parameters!$C$5), 1), 0)</f>
        <v>0.09515765766</v>
      </c>
      <c r="F31" s="25">
        <f>MAX(MIN(1, (Fuzzy_Parameters!$C$12 - Sheet7!D31)/(Fuzzy_Parameters!$C$12 - Fuzzy_Parameters!$C$11)), 0)</f>
        <v>0</v>
      </c>
      <c r="G31" s="25">
        <f>MAX(MIN((Sheet7!D31 - Fuzzy_Parameters!$C$11)/(Fuzzy_Parameters!$C$12 - Fuzzy_Parameters!$C$11), 1, (Fuzzy_Parameters!$C$14 - Sheet7!D31)/(Fuzzy_Parameters!$C$14 - Fuzzy_Parameters!$C$13)), 0)</f>
        <v>0</v>
      </c>
      <c r="H31" s="25">
        <f>MAX(MIN((Sheet7!D31 - Fuzzy_Parameters!$C$13)/(Fuzzy_Parameters!$C$14 - Fuzzy_Parameters!$C$13), 1), 0)</f>
        <v>1</v>
      </c>
      <c r="I31" s="25">
        <f>MAX(MIN(1, (Fuzzy_Parameters!$C$20 - Sheet7!E31)/(Fuzzy_Parameters!$C$20 - Fuzzy_Parameters!$C$19)), 0)</f>
        <v>0</v>
      </c>
      <c r="J31" s="25">
        <f>MAX(MIN((Sheet7!E31 - Fuzzy_Parameters!$C$19)/(Fuzzy_Parameters!$C$20 - Fuzzy_Parameters!$C$19), 1, (Fuzzy_Parameters!$C$22 - Sheet7!E31)/(Fuzzy_Parameters!$C$22 - Fuzzy_Parameters!$C$21)), 0)</f>
        <v>0</v>
      </c>
      <c r="K31" s="25">
        <f>MAX(MIN((Sheet7!E31 - Fuzzy_Parameters!$C$21)/(Fuzzy_Parameters!$C$22 - Fuzzy_Parameters!$C$21), 1), 0)</f>
        <v>1</v>
      </c>
      <c r="L31" s="25">
        <f>MAX(MIN(1, (Fuzzy_Parameters!$C$28 - Sheet7!F31)/(Fuzzy_Parameters!$C$28 - Fuzzy_Parameters!$C$27)), 0)</f>
        <v>0.2206003603</v>
      </c>
      <c r="M31" s="25">
        <f>MAX(MIN((Sheet7!F31 - Fuzzy_Parameters!$C$27)/(Fuzzy_Parameters!$C$28 - Fuzzy_Parameters!$C$27), 1, (Fuzzy_Parameters!$C$30 - Sheet7!F31)/(Fuzzy_Parameters!$C$30 - Fuzzy_Parameters!$C$29)), 0)</f>
        <v>0.7793996397</v>
      </c>
      <c r="N31" s="25">
        <f>MAX(MIN((Sheet7!F31 - Fuzzy_Parameters!$C$29)/(Fuzzy_Parameters!$C$30 - Fuzzy_Parameters!$C$29), 1), 0)</f>
        <v>0</v>
      </c>
    </row>
    <row r="32">
      <c r="A32" s="6" t="s">
        <v>11</v>
      </c>
      <c r="B32" s="55">
        <v>2025.0</v>
      </c>
      <c r="C32" s="25">
        <f>MAX(MIN(1, (Fuzzy_Parameters!$C$4 - Sheet7!C32)/(Fuzzy_Parameters!$C$4 - Fuzzy_Parameters!$C$3)), 0)</f>
        <v>0</v>
      </c>
      <c r="D32" s="25">
        <f>MAX(MIN((Sheet7!C32 - Fuzzy_Parameters!$C$3)/(Fuzzy_Parameters!$C$4 - Fuzzy_Parameters!$C$3), 1, (Fuzzy_Parameters!$C$6 - Sheet7!C32)/(Fuzzy_Parameters!$C$6 - Fuzzy_Parameters!$C$5)), 0)</f>
        <v>0.1145833333</v>
      </c>
      <c r="E32" s="25">
        <f>MAX(MIN((Sheet7!C32 - Fuzzy_Parameters!$C$5)/(Fuzzy_Parameters!$C$6 - Fuzzy_Parameters!$C$5), 1), 0)</f>
        <v>0.8854166667</v>
      </c>
      <c r="F32" s="25">
        <f>MAX(MIN(1, (Fuzzy_Parameters!$C$12 - Sheet7!D32)/(Fuzzy_Parameters!$C$12 - Fuzzy_Parameters!$C$11)), 0)</f>
        <v>0</v>
      </c>
      <c r="G32" s="25">
        <f>MAX(MIN((Sheet7!D32 - Fuzzy_Parameters!$C$11)/(Fuzzy_Parameters!$C$12 - Fuzzy_Parameters!$C$11), 1, (Fuzzy_Parameters!$C$14 - Sheet7!D32)/(Fuzzy_Parameters!$C$14 - Fuzzy_Parameters!$C$13)), 0)</f>
        <v>1</v>
      </c>
      <c r="H32" s="25">
        <f>MAX(MIN((Sheet7!D32 - Fuzzy_Parameters!$C$13)/(Fuzzy_Parameters!$C$14 - Fuzzy_Parameters!$C$13), 1), 0)</f>
        <v>0</v>
      </c>
      <c r="I32" s="25">
        <f>MAX(MIN(1, (Fuzzy_Parameters!$C$20 - Sheet7!E32)/(Fuzzy_Parameters!$C$20 - Fuzzy_Parameters!$C$19)), 0)</f>
        <v>0</v>
      </c>
      <c r="J32" s="25">
        <f>MAX(MIN((Sheet7!E32 - Fuzzy_Parameters!$C$19)/(Fuzzy_Parameters!$C$20 - Fuzzy_Parameters!$C$19), 1, (Fuzzy_Parameters!$C$22 - Sheet7!E32)/(Fuzzy_Parameters!$C$22 - Fuzzy_Parameters!$C$21)), 0)</f>
        <v>0.3627906977</v>
      </c>
      <c r="K32" s="25">
        <f>MAX(MIN((Sheet7!E32 - Fuzzy_Parameters!$C$21)/(Fuzzy_Parameters!$C$22 - Fuzzy_Parameters!$C$21), 1), 0)</f>
        <v>0.6372093023</v>
      </c>
      <c r="L32" s="25">
        <f>MAX(MIN(1, (Fuzzy_Parameters!$C$28 - Sheet7!F32)/(Fuzzy_Parameters!$C$28 - Fuzzy_Parameters!$C$27)), 0)</f>
        <v>0</v>
      </c>
      <c r="M32" s="25">
        <f>MAX(MIN((Sheet7!F32 - Fuzzy_Parameters!$C$27)/(Fuzzy_Parameters!$C$28 - Fuzzy_Parameters!$C$27), 1, (Fuzzy_Parameters!$C$30 - Sheet7!F32)/(Fuzzy_Parameters!$C$30 - Fuzzy_Parameters!$C$29)), 0)</f>
        <v>0</v>
      </c>
      <c r="N32" s="25">
        <f>MAX(MIN((Sheet7!F32 - Fuzzy_Parameters!$C$29)/(Fuzzy_Parameters!$C$30 - Fuzzy_Parameters!$C$29), 1), 0)</f>
        <v>1</v>
      </c>
    </row>
    <row r="33">
      <c r="A33" s="6" t="s">
        <v>11</v>
      </c>
      <c r="B33" s="26">
        <v>2024.0</v>
      </c>
      <c r="C33" s="25">
        <f>MAX(MIN(1, (Fuzzy_Parameters!$C$4 - Sheet7!C33)/(Fuzzy_Parameters!$C$4 - Fuzzy_Parameters!$C$3)), 0)</f>
        <v>0</v>
      </c>
      <c r="D33" s="25">
        <f>MAX(MIN((Sheet7!C33 - Fuzzy_Parameters!$C$3)/(Fuzzy_Parameters!$C$4 - Fuzzy_Parameters!$C$3), 1, (Fuzzy_Parameters!$C$6 - Sheet7!C33)/(Fuzzy_Parameters!$C$6 - Fuzzy_Parameters!$C$5)), 0)</f>
        <v>0.3730292793</v>
      </c>
      <c r="E33" s="25">
        <f>MAX(MIN((Sheet7!C33 - Fuzzy_Parameters!$C$5)/(Fuzzy_Parameters!$C$6 - Fuzzy_Parameters!$C$5), 1), 0)</f>
        <v>0.6269707207</v>
      </c>
      <c r="F33" s="25">
        <f>MAX(MIN(1, (Fuzzy_Parameters!$C$12 - Sheet7!D33)/(Fuzzy_Parameters!$C$12 - Fuzzy_Parameters!$C$11)), 0)</f>
        <v>0</v>
      </c>
      <c r="G33" s="25">
        <f>MAX(MIN((Sheet7!D33 - Fuzzy_Parameters!$C$11)/(Fuzzy_Parameters!$C$12 - Fuzzy_Parameters!$C$11), 1, (Fuzzy_Parameters!$C$14 - Sheet7!D33)/(Fuzzy_Parameters!$C$14 - Fuzzy_Parameters!$C$13)), 0)</f>
        <v>1</v>
      </c>
      <c r="H33" s="25">
        <f>MAX(MIN((Sheet7!D33 - Fuzzy_Parameters!$C$13)/(Fuzzy_Parameters!$C$14 - Fuzzy_Parameters!$C$13), 1), 0)</f>
        <v>0</v>
      </c>
      <c r="I33" s="25">
        <f>MAX(MIN(1, (Fuzzy_Parameters!$C$20 - Sheet7!E33)/(Fuzzy_Parameters!$C$20 - Fuzzy_Parameters!$C$19)), 0)</f>
        <v>0</v>
      </c>
      <c r="J33" s="25">
        <f>MAX(MIN((Sheet7!E33 - Fuzzy_Parameters!$C$19)/(Fuzzy_Parameters!$C$20 - Fuzzy_Parameters!$C$19), 1, (Fuzzy_Parameters!$C$22 - Sheet7!E33)/(Fuzzy_Parameters!$C$22 - Fuzzy_Parameters!$C$21)), 0)</f>
        <v>0.5162790698</v>
      </c>
      <c r="K33" s="25">
        <f>MAX(MIN((Sheet7!E33 - Fuzzy_Parameters!$C$21)/(Fuzzy_Parameters!$C$22 - Fuzzy_Parameters!$C$21), 1), 0)</f>
        <v>0.4837209302</v>
      </c>
      <c r="L33" s="25">
        <f>MAX(MIN(1, (Fuzzy_Parameters!$C$28 - Sheet7!F33)/(Fuzzy_Parameters!$C$28 - Fuzzy_Parameters!$C$27)), 0)</f>
        <v>0</v>
      </c>
      <c r="M33" s="25">
        <f>MAX(MIN((Sheet7!F33 - Fuzzy_Parameters!$C$27)/(Fuzzy_Parameters!$C$28 - Fuzzy_Parameters!$C$27), 1, (Fuzzy_Parameters!$C$30 - Sheet7!F33)/(Fuzzy_Parameters!$C$30 - Fuzzy_Parameters!$C$29)), 0)</f>
        <v>0</v>
      </c>
      <c r="N33" s="25">
        <f>MAX(MIN((Sheet7!F33 - Fuzzy_Parameters!$C$29)/(Fuzzy_Parameters!$C$30 - Fuzzy_Parameters!$C$29), 1), 0)</f>
        <v>1</v>
      </c>
    </row>
    <row r="34">
      <c r="A34" s="6" t="s">
        <v>11</v>
      </c>
      <c r="B34" s="55">
        <v>2023.0</v>
      </c>
      <c r="C34" s="25">
        <f>MAX(MIN(1, (Fuzzy_Parameters!$C$4 - Sheet7!C34)/(Fuzzy_Parameters!$C$4 - Fuzzy_Parameters!$C$3)), 0)</f>
        <v>0</v>
      </c>
      <c r="D34" s="25">
        <f>MAX(MIN((Sheet7!C34 - Fuzzy_Parameters!$C$3)/(Fuzzy_Parameters!$C$4 - Fuzzy_Parameters!$C$3), 1, (Fuzzy_Parameters!$C$6 - Sheet7!C34)/(Fuzzy_Parameters!$C$6 - Fuzzy_Parameters!$C$5)), 0)</f>
        <v>0.7705518018</v>
      </c>
      <c r="E34" s="25">
        <f>MAX(MIN((Sheet7!C34 - Fuzzy_Parameters!$C$5)/(Fuzzy_Parameters!$C$6 - Fuzzy_Parameters!$C$5), 1), 0)</f>
        <v>0.2294481982</v>
      </c>
      <c r="F34" s="25">
        <f>MAX(MIN(1, (Fuzzy_Parameters!$C$12 - Sheet7!D34)/(Fuzzy_Parameters!$C$12 - Fuzzy_Parameters!$C$11)), 0)</f>
        <v>0</v>
      </c>
      <c r="G34" s="25">
        <f>MAX(MIN((Sheet7!D34 - Fuzzy_Parameters!$C$11)/(Fuzzy_Parameters!$C$12 - Fuzzy_Parameters!$C$11), 1, (Fuzzy_Parameters!$C$14 - Sheet7!D34)/(Fuzzy_Parameters!$C$14 - Fuzzy_Parameters!$C$13)), 0)</f>
        <v>1</v>
      </c>
      <c r="H34" s="25">
        <f>MAX(MIN((Sheet7!D34 - Fuzzy_Parameters!$C$13)/(Fuzzy_Parameters!$C$14 - Fuzzy_Parameters!$C$13), 1), 0)</f>
        <v>0</v>
      </c>
      <c r="I34" s="25">
        <f>MAX(MIN(1, (Fuzzy_Parameters!$C$20 - Sheet7!E34)/(Fuzzy_Parameters!$C$20 - Fuzzy_Parameters!$C$19)), 0)</f>
        <v>0</v>
      </c>
      <c r="J34" s="25">
        <f>MAX(MIN((Sheet7!E34 - Fuzzy_Parameters!$C$19)/(Fuzzy_Parameters!$C$20 - Fuzzy_Parameters!$C$19), 1, (Fuzzy_Parameters!$C$22 - Sheet7!E34)/(Fuzzy_Parameters!$C$22 - Fuzzy_Parameters!$C$21)), 0)</f>
        <v>0.4046511628</v>
      </c>
      <c r="K34" s="25">
        <f>MAX(MIN((Sheet7!E34 - Fuzzy_Parameters!$C$21)/(Fuzzy_Parameters!$C$22 - Fuzzy_Parameters!$C$21), 1), 0)</f>
        <v>0.5953488372</v>
      </c>
      <c r="L34" s="25">
        <f>MAX(MIN(1, (Fuzzy_Parameters!$C$28 - Sheet7!F34)/(Fuzzy_Parameters!$C$28 - Fuzzy_Parameters!$C$27)), 0)</f>
        <v>0</v>
      </c>
      <c r="M34" s="25">
        <f>MAX(MIN((Sheet7!F34 - Fuzzy_Parameters!$C$27)/(Fuzzy_Parameters!$C$28 - Fuzzy_Parameters!$C$27), 1, (Fuzzy_Parameters!$C$30 - Sheet7!F34)/(Fuzzy_Parameters!$C$30 - Fuzzy_Parameters!$C$29)), 0)</f>
        <v>0</v>
      </c>
      <c r="N34" s="25">
        <f>MAX(MIN((Sheet7!F34 - Fuzzy_Parameters!$C$29)/(Fuzzy_Parameters!$C$30 - Fuzzy_Parameters!$C$29), 1), 0)</f>
        <v>1</v>
      </c>
    </row>
    <row r="35">
      <c r="A35" s="6" t="s">
        <v>12</v>
      </c>
      <c r="B35" s="55">
        <v>2025.0</v>
      </c>
      <c r="C35" s="25">
        <f>MAX(MIN(1, (Fuzzy_Parameters!$C$4 - Sheet7!C35)/(Fuzzy_Parameters!$C$4 - Fuzzy_Parameters!$C$3)), 0)</f>
        <v>0</v>
      </c>
      <c r="D35" s="25">
        <f>MAX(MIN((Sheet7!C35 - Fuzzy_Parameters!$C$3)/(Fuzzy_Parameters!$C$4 - Fuzzy_Parameters!$C$3), 1, (Fuzzy_Parameters!$C$6 - Sheet7!C35)/(Fuzzy_Parameters!$C$6 - Fuzzy_Parameters!$C$5)), 0)</f>
        <v>0.3060247748</v>
      </c>
      <c r="E35" s="25">
        <f>MAX(MIN((Sheet7!C35 - Fuzzy_Parameters!$C$5)/(Fuzzy_Parameters!$C$6 - Fuzzy_Parameters!$C$5), 1), 0)</f>
        <v>0.6939752252</v>
      </c>
      <c r="F35" s="25">
        <f>MAX(MIN(1, (Fuzzy_Parameters!$C$12 - Sheet7!D35)/(Fuzzy_Parameters!$C$12 - Fuzzy_Parameters!$C$11)), 0)</f>
        <v>0</v>
      </c>
      <c r="G35" s="25">
        <f>MAX(MIN((Sheet7!D35 - Fuzzy_Parameters!$C$11)/(Fuzzy_Parameters!$C$12 - Fuzzy_Parameters!$C$11), 1, (Fuzzy_Parameters!$C$14 - Sheet7!D35)/(Fuzzy_Parameters!$C$14 - Fuzzy_Parameters!$C$13)), 0)</f>
        <v>0</v>
      </c>
      <c r="H35" s="25">
        <f>MAX(MIN((Sheet7!D35 - Fuzzy_Parameters!$C$13)/(Fuzzy_Parameters!$C$14 - Fuzzy_Parameters!$C$13), 1), 0)</f>
        <v>1</v>
      </c>
      <c r="I35" s="25">
        <f>MAX(MIN(1, (Fuzzy_Parameters!$C$20 - Sheet7!E35)/(Fuzzy_Parameters!$C$20 - Fuzzy_Parameters!$C$19)), 0)</f>
        <v>0</v>
      </c>
      <c r="J35" s="25">
        <f>MAX(MIN((Sheet7!E35 - Fuzzy_Parameters!$C$19)/(Fuzzy_Parameters!$C$20 - Fuzzy_Parameters!$C$19), 1, (Fuzzy_Parameters!$C$22 - Sheet7!E35)/(Fuzzy_Parameters!$C$22 - Fuzzy_Parameters!$C$21)), 0)</f>
        <v>0.9023255814</v>
      </c>
      <c r="K35" s="25">
        <f>MAX(MIN((Sheet7!E35 - Fuzzy_Parameters!$C$21)/(Fuzzy_Parameters!$C$22 - Fuzzy_Parameters!$C$21), 1), 0)</f>
        <v>0.0976744186</v>
      </c>
      <c r="L35" s="25">
        <f>MAX(MIN(1, (Fuzzy_Parameters!$C$28 - Sheet7!F35)/(Fuzzy_Parameters!$C$28 - Fuzzy_Parameters!$C$27)), 0)</f>
        <v>0.4012828628</v>
      </c>
      <c r="M35" s="25">
        <f>MAX(MIN((Sheet7!F35 - Fuzzy_Parameters!$C$27)/(Fuzzy_Parameters!$C$28 - Fuzzy_Parameters!$C$27), 1, (Fuzzy_Parameters!$C$30 - Sheet7!F35)/(Fuzzy_Parameters!$C$30 - Fuzzy_Parameters!$C$29)), 0)</f>
        <v>0.5987171372</v>
      </c>
      <c r="N35" s="25">
        <f>MAX(MIN((Sheet7!F35 - Fuzzy_Parameters!$C$29)/(Fuzzy_Parameters!$C$30 - Fuzzy_Parameters!$C$29), 1), 0)</f>
        <v>0</v>
      </c>
    </row>
    <row r="36">
      <c r="A36" s="6" t="s">
        <v>12</v>
      </c>
      <c r="B36" s="26">
        <v>2024.0</v>
      </c>
      <c r="C36" s="25">
        <f>MAX(MIN(1, (Fuzzy_Parameters!$C$4 - Sheet7!C36)/(Fuzzy_Parameters!$C$4 - Fuzzy_Parameters!$C$3)), 0)</f>
        <v>0</v>
      </c>
      <c r="D36" s="25">
        <f>MAX(MIN((Sheet7!C36 - Fuzzy_Parameters!$C$3)/(Fuzzy_Parameters!$C$4 - Fuzzy_Parameters!$C$3), 1, (Fuzzy_Parameters!$C$6 - Sheet7!C36)/(Fuzzy_Parameters!$C$6 - Fuzzy_Parameters!$C$5)), 0)</f>
        <v>0.3327702703</v>
      </c>
      <c r="E36" s="25">
        <f>MAX(MIN((Sheet7!C36 - Fuzzy_Parameters!$C$5)/(Fuzzy_Parameters!$C$6 - Fuzzy_Parameters!$C$5), 1), 0)</f>
        <v>0.6672297297</v>
      </c>
      <c r="F36" s="25">
        <f>MAX(MIN(1, (Fuzzy_Parameters!$C$12 - Sheet7!D36)/(Fuzzy_Parameters!$C$12 - Fuzzy_Parameters!$C$11)), 0)</f>
        <v>0</v>
      </c>
      <c r="G36" s="25">
        <f>MAX(MIN((Sheet7!D36 - Fuzzy_Parameters!$C$11)/(Fuzzy_Parameters!$C$12 - Fuzzy_Parameters!$C$11), 1, (Fuzzy_Parameters!$C$14 - Sheet7!D36)/(Fuzzy_Parameters!$C$14 - Fuzzy_Parameters!$C$13)), 0)</f>
        <v>0</v>
      </c>
      <c r="H36" s="25">
        <f>MAX(MIN((Sheet7!D36 - Fuzzy_Parameters!$C$13)/(Fuzzy_Parameters!$C$14 - Fuzzy_Parameters!$C$13), 1), 0)</f>
        <v>1</v>
      </c>
      <c r="I36" s="25">
        <f>MAX(MIN(1, (Fuzzy_Parameters!$C$20 - Sheet7!E36)/(Fuzzy_Parameters!$C$20 - Fuzzy_Parameters!$C$19)), 0)</f>
        <v>0</v>
      </c>
      <c r="J36" s="25">
        <f>MAX(MIN((Sheet7!E36 - Fuzzy_Parameters!$C$19)/(Fuzzy_Parameters!$C$20 - Fuzzy_Parameters!$C$19), 1, (Fuzzy_Parameters!$C$22 - Sheet7!E36)/(Fuzzy_Parameters!$C$22 - Fuzzy_Parameters!$C$21)), 0)</f>
        <v>0.8790697674</v>
      </c>
      <c r="K36" s="25">
        <f>MAX(MIN((Sheet7!E36 - Fuzzy_Parameters!$C$21)/(Fuzzy_Parameters!$C$22 - Fuzzy_Parameters!$C$21), 1), 0)</f>
        <v>0.1209302326</v>
      </c>
      <c r="L36" s="25">
        <f>MAX(MIN(1, (Fuzzy_Parameters!$C$28 - Sheet7!F36)/(Fuzzy_Parameters!$C$28 - Fuzzy_Parameters!$C$27)), 0)</f>
        <v>0.3487959372</v>
      </c>
      <c r="M36" s="25">
        <f>MAX(MIN((Sheet7!F36 - Fuzzy_Parameters!$C$27)/(Fuzzy_Parameters!$C$28 - Fuzzy_Parameters!$C$27), 1, (Fuzzy_Parameters!$C$30 - Sheet7!F36)/(Fuzzy_Parameters!$C$30 - Fuzzy_Parameters!$C$29)), 0)</f>
        <v>0.6512040628</v>
      </c>
      <c r="N36" s="25">
        <f>MAX(MIN((Sheet7!F36 - Fuzzy_Parameters!$C$29)/(Fuzzy_Parameters!$C$30 - Fuzzy_Parameters!$C$29), 1), 0)</f>
        <v>0</v>
      </c>
    </row>
    <row r="37">
      <c r="A37" s="6" t="s">
        <v>12</v>
      </c>
      <c r="B37" s="55">
        <v>2023.0</v>
      </c>
      <c r="C37" s="25">
        <f>MAX(MIN(1, (Fuzzy_Parameters!$C$4 - Sheet7!C37)/(Fuzzy_Parameters!$C$4 - Fuzzy_Parameters!$C$3)), 0)</f>
        <v>0</v>
      </c>
      <c r="D37" s="25">
        <f>MAX(MIN((Sheet7!C37 - Fuzzy_Parameters!$C$3)/(Fuzzy_Parameters!$C$4 - Fuzzy_Parameters!$C$3), 1, (Fuzzy_Parameters!$C$6 - Sheet7!C37)/(Fuzzy_Parameters!$C$6 - Fuzzy_Parameters!$C$5)), 0)</f>
        <v>0.4974662162</v>
      </c>
      <c r="E37" s="25">
        <f>MAX(MIN((Sheet7!C37 - Fuzzy_Parameters!$C$5)/(Fuzzy_Parameters!$C$6 - Fuzzy_Parameters!$C$5), 1), 0)</f>
        <v>0.5025337838</v>
      </c>
      <c r="F37" s="25">
        <f>MAX(MIN(1, (Fuzzy_Parameters!$C$12 - Sheet7!D37)/(Fuzzy_Parameters!$C$12 - Fuzzy_Parameters!$C$11)), 0)</f>
        <v>0</v>
      </c>
      <c r="G37" s="25">
        <f>MAX(MIN((Sheet7!D37 - Fuzzy_Parameters!$C$11)/(Fuzzy_Parameters!$C$12 - Fuzzy_Parameters!$C$11), 1, (Fuzzy_Parameters!$C$14 - Sheet7!D37)/(Fuzzy_Parameters!$C$14 - Fuzzy_Parameters!$C$13)), 0)</f>
        <v>0</v>
      </c>
      <c r="H37" s="25">
        <f>MAX(MIN((Sheet7!D37 - Fuzzy_Parameters!$C$13)/(Fuzzy_Parameters!$C$14 - Fuzzy_Parameters!$C$13), 1), 0)</f>
        <v>1</v>
      </c>
      <c r="I37" s="25">
        <f>MAX(MIN(1, (Fuzzy_Parameters!$C$20 - Sheet7!E37)/(Fuzzy_Parameters!$C$20 - Fuzzy_Parameters!$C$19)), 0)</f>
        <v>0</v>
      </c>
      <c r="J37" s="25">
        <f>MAX(MIN((Sheet7!E37 - Fuzzy_Parameters!$C$19)/(Fuzzy_Parameters!$C$20 - Fuzzy_Parameters!$C$19), 1, (Fuzzy_Parameters!$C$22 - Sheet7!E37)/(Fuzzy_Parameters!$C$22 - Fuzzy_Parameters!$C$21)), 0)</f>
        <v>0.8837209302</v>
      </c>
      <c r="K37" s="25">
        <f>MAX(MIN((Sheet7!E37 - Fuzzy_Parameters!$C$21)/(Fuzzy_Parameters!$C$22 - Fuzzy_Parameters!$C$21), 1), 0)</f>
        <v>0.1162790698</v>
      </c>
      <c r="L37" s="25">
        <f>MAX(MIN(1, (Fuzzy_Parameters!$C$28 - Sheet7!F37)/(Fuzzy_Parameters!$C$28 - Fuzzy_Parameters!$C$27)), 0)</f>
        <v>0.1456660737</v>
      </c>
      <c r="M37" s="25">
        <f>MAX(MIN((Sheet7!F37 - Fuzzy_Parameters!$C$27)/(Fuzzy_Parameters!$C$28 - Fuzzy_Parameters!$C$27), 1, (Fuzzy_Parameters!$C$30 - Sheet7!F37)/(Fuzzy_Parameters!$C$30 - Fuzzy_Parameters!$C$29)), 0)</f>
        <v>0.8543339263</v>
      </c>
      <c r="N37" s="25">
        <f>MAX(MIN((Sheet7!F37 - Fuzzy_Parameters!$C$29)/(Fuzzy_Parameters!$C$30 - Fuzzy_Parameters!$C$29), 1), 0)</f>
        <v>0</v>
      </c>
    </row>
    <row r="38">
      <c r="A38" s="6" t="s">
        <v>13</v>
      </c>
      <c r="B38" s="55">
        <v>2025.0</v>
      </c>
      <c r="C38" s="25">
        <f>MAX(MIN(1, (Fuzzy_Parameters!$C$4 - Sheet7!C38)/(Fuzzy_Parameters!$C$4 - Fuzzy_Parameters!$C$3)), 0)</f>
        <v>0</v>
      </c>
      <c r="D38" s="25">
        <f>MAX(MIN((Sheet7!C38 - Fuzzy_Parameters!$C$3)/(Fuzzy_Parameters!$C$4 - Fuzzy_Parameters!$C$3), 1, (Fuzzy_Parameters!$C$6 - Sheet7!C38)/(Fuzzy_Parameters!$C$6 - Fuzzy_Parameters!$C$5)), 0)</f>
        <v>1</v>
      </c>
      <c r="E38" s="25">
        <f>MAX(MIN((Sheet7!C38 - Fuzzy_Parameters!$C$5)/(Fuzzy_Parameters!$C$6 - Fuzzy_Parameters!$C$5), 1), 0)</f>
        <v>0</v>
      </c>
      <c r="F38" s="25">
        <f>MAX(MIN(1, (Fuzzy_Parameters!$C$12 - Sheet7!D38)/(Fuzzy_Parameters!$C$12 - Fuzzy_Parameters!$C$11)), 0)</f>
        <v>0</v>
      </c>
      <c r="G38" s="25">
        <f>MAX(MIN((Sheet7!D38 - Fuzzy_Parameters!$C$11)/(Fuzzy_Parameters!$C$12 - Fuzzy_Parameters!$C$11), 1, (Fuzzy_Parameters!$C$14 - Sheet7!D38)/(Fuzzy_Parameters!$C$14 - Fuzzy_Parameters!$C$13)), 0)</f>
        <v>1</v>
      </c>
      <c r="H38" s="25">
        <f>MAX(MIN((Sheet7!D38 - Fuzzy_Parameters!$C$13)/(Fuzzy_Parameters!$C$14 - Fuzzy_Parameters!$C$13), 1), 0)</f>
        <v>0</v>
      </c>
      <c r="I38" s="25">
        <f>MAX(MIN(1, (Fuzzy_Parameters!$C$20 - Sheet7!E38)/(Fuzzy_Parameters!$C$20 - Fuzzy_Parameters!$C$19)), 0)</f>
        <v>0</v>
      </c>
      <c r="J38" s="25">
        <f>MAX(MIN((Sheet7!E38 - Fuzzy_Parameters!$C$19)/(Fuzzy_Parameters!$C$20 - Fuzzy_Parameters!$C$19), 1, (Fuzzy_Parameters!$C$22 - Sheet7!E38)/(Fuzzy_Parameters!$C$22 - Fuzzy_Parameters!$C$21)), 0)</f>
        <v>0</v>
      </c>
      <c r="K38" s="25">
        <f>MAX(MIN((Sheet7!E38 - Fuzzy_Parameters!$C$21)/(Fuzzy_Parameters!$C$22 - Fuzzy_Parameters!$C$21), 1), 0)</f>
        <v>1</v>
      </c>
      <c r="L38" s="25">
        <f>MAX(MIN(1, (Fuzzy_Parameters!$C$28 - Sheet7!F38)/(Fuzzy_Parameters!$C$28 - Fuzzy_Parameters!$C$27)), 0)</f>
        <v>1</v>
      </c>
      <c r="M38" s="25">
        <f>MAX(MIN((Sheet7!F38 - Fuzzy_Parameters!$C$27)/(Fuzzy_Parameters!$C$28 - Fuzzy_Parameters!$C$27), 1, (Fuzzy_Parameters!$C$30 - Sheet7!F38)/(Fuzzy_Parameters!$C$30 - Fuzzy_Parameters!$C$29)), 0)</f>
        <v>0</v>
      </c>
      <c r="N38" s="25">
        <f>MAX(MIN((Sheet7!F38 - Fuzzy_Parameters!$C$29)/(Fuzzy_Parameters!$C$30 - Fuzzy_Parameters!$C$29), 1), 0)</f>
        <v>0</v>
      </c>
    </row>
    <row r="39">
      <c r="A39" s="6" t="s">
        <v>13</v>
      </c>
      <c r="B39" s="26">
        <v>2024.0</v>
      </c>
      <c r="C39" s="25">
        <f>MAX(MIN(1, (Fuzzy_Parameters!$C$4 - Sheet7!C39)/(Fuzzy_Parameters!$C$4 - Fuzzy_Parameters!$C$3)), 0)</f>
        <v>0.3221850613</v>
      </c>
      <c r="D39" s="25">
        <f>MAX(MIN((Sheet7!C39 - Fuzzy_Parameters!$C$3)/(Fuzzy_Parameters!$C$4 - Fuzzy_Parameters!$C$3), 1, (Fuzzy_Parameters!$C$6 - Sheet7!C39)/(Fuzzy_Parameters!$C$6 - Fuzzy_Parameters!$C$5)), 0)</f>
        <v>0.6778149387</v>
      </c>
      <c r="E39" s="25">
        <f>MAX(MIN((Sheet7!C39 - Fuzzy_Parameters!$C$5)/(Fuzzy_Parameters!$C$6 - Fuzzy_Parameters!$C$5), 1), 0)</f>
        <v>0</v>
      </c>
      <c r="F39" s="25">
        <f>MAX(MIN(1, (Fuzzy_Parameters!$C$12 - Sheet7!D39)/(Fuzzy_Parameters!$C$12 - Fuzzy_Parameters!$C$11)), 0)</f>
        <v>0</v>
      </c>
      <c r="G39" s="25">
        <f>MAX(MIN((Sheet7!D39 - Fuzzy_Parameters!$C$11)/(Fuzzy_Parameters!$C$12 - Fuzzy_Parameters!$C$11), 1, (Fuzzy_Parameters!$C$14 - Sheet7!D39)/(Fuzzy_Parameters!$C$14 - Fuzzy_Parameters!$C$13)), 0)</f>
        <v>0.07916900618</v>
      </c>
      <c r="H39" s="25">
        <f>MAX(MIN((Sheet7!D39 - Fuzzy_Parameters!$C$13)/(Fuzzy_Parameters!$C$14 - Fuzzy_Parameters!$C$13), 1), 0)</f>
        <v>0.9208309938</v>
      </c>
      <c r="I39" s="25">
        <f>MAX(MIN(1, (Fuzzy_Parameters!$C$20 - Sheet7!E39)/(Fuzzy_Parameters!$C$20 - Fuzzy_Parameters!$C$19)), 0)</f>
        <v>0</v>
      </c>
      <c r="J39" s="25">
        <f>MAX(MIN((Sheet7!E39 - Fuzzy_Parameters!$C$19)/(Fuzzy_Parameters!$C$20 - Fuzzy_Parameters!$C$19), 1, (Fuzzy_Parameters!$C$22 - Sheet7!E39)/(Fuzzy_Parameters!$C$22 - Fuzzy_Parameters!$C$21)), 0)</f>
        <v>0</v>
      </c>
      <c r="K39" s="25">
        <f>MAX(MIN((Sheet7!E39 - Fuzzy_Parameters!$C$21)/(Fuzzy_Parameters!$C$22 - Fuzzy_Parameters!$C$21), 1), 0)</f>
        <v>1</v>
      </c>
      <c r="L39" s="25">
        <f>MAX(MIN(1, (Fuzzy_Parameters!$C$28 - Sheet7!F39)/(Fuzzy_Parameters!$C$28 - Fuzzy_Parameters!$C$27)), 0)</f>
        <v>1</v>
      </c>
      <c r="M39" s="25">
        <f>MAX(MIN((Sheet7!F39 - Fuzzy_Parameters!$C$27)/(Fuzzy_Parameters!$C$28 - Fuzzy_Parameters!$C$27), 1, (Fuzzy_Parameters!$C$30 - Sheet7!F39)/(Fuzzy_Parameters!$C$30 - Fuzzy_Parameters!$C$29)), 0)</f>
        <v>0</v>
      </c>
      <c r="N39" s="25">
        <f>MAX(MIN((Sheet7!F39 - Fuzzy_Parameters!$C$29)/(Fuzzy_Parameters!$C$30 - Fuzzy_Parameters!$C$29), 1), 0)</f>
        <v>0</v>
      </c>
    </row>
    <row r="40">
      <c r="A40" s="6" t="s">
        <v>13</v>
      </c>
      <c r="B40" s="55">
        <v>2023.0</v>
      </c>
      <c r="C40" s="25">
        <f>MAX(MIN(1, (Fuzzy_Parameters!$C$4 - Sheet7!C40)/(Fuzzy_Parameters!$C$4 - Fuzzy_Parameters!$C$3)), 0)</f>
        <v>0.4247491639</v>
      </c>
      <c r="D40" s="25">
        <f>MAX(MIN((Sheet7!C40 - Fuzzy_Parameters!$C$3)/(Fuzzy_Parameters!$C$4 - Fuzzy_Parameters!$C$3), 1, (Fuzzy_Parameters!$C$6 - Sheet7!C40)/(Fuzzy_Parameters!$C$6 - Fuzzy_Parameters!$C$5)), 0)</f>
        <v>0.5752508361</v>
      </c>
      <c r="E40" s="25">
        <f>MAX(MIN((Sheet7!C40 - Fuzzy_Parameters!$C$5)/(Fuzzy_Parameters!$C$6 - Fuzzy_Parameters!$C$5), 1), 0)</f>
        <v>0</v>
      </c>
      <c r="F40" s="25">
        <f>MAX(MIN(1, (Fuzzy_Parameters!$C$12 - Sheet7!D40)/(Fuzzy_Parameters!$C$12 - Fuzzy_Parameters!$C$11)), 0)</f>
        <v>0</v>
      </c>
      <c r="G40" s="25">
        <f>MAX(MIN((Sheet7!D40 - Fuzzy_Parameters!$C$11)/(Fuzzy_Parameters!$C$12 - Fuzzy_Parameters!$C$11), 1, (Fuzzy_Parameters!$C$14 - Sheet7!D40)/(Fuzzy_Parameters!$C$14 - Fuzzy_Parameters!$C$13)), 0)</f>
        <v>0.2021336328</v>
      </c>
      <c r="H40" s="25">
        <f>MAX(MIN((Sheet7!D40 - Fuzzy_Parameters!$C$13)/(Fuzzy_Parameters!$C$14 - Fuzzy_Parameters!$C$13), 1), 0)</f>
        <v>0.7978663672</v>
      </c>
      <c r="I40" s="25">
        <f>MAX(MIN(1, (Fuzzy_Parameters!$C$20 - Sheet7!E40)/(Fuzzy_Parameters!$C$20 - Fuzzy_Parameters!$C$19)), 0)</f>
        <v>0</v>
      </c>
      <c r="J40" s="25">
        <f>MAX(MIN((Sheet7!E40 - Fuzzy_Parameters!$C$19)/(Fuzzy_Parameters!$C$20 - Fuzzy_Parameters!$C$19), 1, (Fuzzy_Parameters!$C$22 - Sheet7!E40)/(Fuzzy_Parameters!$C$22 - Fuzzy_Parameters!$C$21)), 0)</f>
        <v>0</v>
      </c>
      <c r="K40" s="25">
        <f>MAX(MIN((Sheet7!E40 - Fuzzy_Parameters!$C$21)/(Fuzzy_Parameters!$C$22 - Fuzzy_Parameters!$C$21), 1), 0)</f>
        <v>1</v>
      </c>
      <c r="L40" s="25">
        <f>MAX(MIN(1, (Fuzzy_Parameters!$C$28 - Sheet7!F40)/(Fuzzy_Parameters!$C$28 - Fuzzy_Parameters!$C$27)), 0)</f>
        <v>1</v>
      </c>
      <c r="M40" s="25">
        <f>MAX(MIN((Sheet7!F40 - Fuzzy_Parameters!$C$27)/(Fuzzy_Parameters!$C$28 - Fuzzy_Parameters!$C$27), 1, (Fuzzy_Parameters!$C$30 - Sheet7!F40)/(Fuzzy_Parameters!$C$30 - Fuzzy_Parameters!$C$29)), 0)</f>
        <v>0</v>
      </c>
      <c r="N40" s="25">
        <f>MAX(MIN((Sheet7!F40 - Fuzzy_Parameters!$C$29)/(Fuzzy_Parameters!$C$30 - Fuzzy_Parameters!$C$29), 1), 0)</f>
        <v>0</v>
      </c>
    </row>
    <row r="41">
      <c r="A41" s="6" t="s">
        <v>14</v>
      </c>
      <c r="B41" s="55">
        <v>2025.0</v>
      </c>
      <c r="C41" s="25">
        <f>MAX(MIN(1, (Fuzzy_Parameters!$C$4 - Sheet7!C41)/(Fuzzy_Parameters!$C$4 - Fuzzy_Parameters!$C$3)), 0)</f>
        <v>0</v>
      </c>
      <c r="D41" s="25">
        <f>MAX(MIN((Sheet7!C41 - Fuzzy_Parameters!$C$3)/(Fuzzy_Parameters!$C$4 - Fuzzy_Parameters!$C$3), 1, (Fuzzy_Parameters!$C$6 - Sheet7!C41)/(Fuzzy_Parameters!$C$6 - Fuzzy_Parameters!$C$5)), 0)</f>
        <v>0</v>
      </c>
      <c r="E41" s="25">
        <f>MAX(MIN((Sheet7!C41 - Fuzzy_Parameters!$C$5)/(Fuzzy_Parameters!$C$6 - Fuzzy_Parameters!$C$5), 1), 0)</f>
        <v>1</v>
      </c>
      <c r="F41" s="25">
        <f>MAX(MIN(1, (Fuzzy_Parameters!$C$12 - Sheet7!D41)/(Fuzzy_Parameters!$C$12 - Fuzzy_Parameters!$C$11)), 0)</f>
        <v>0</v>
      </c>
      <c r="G41" s="25">
        <f>MAX(MIN((Sheet7!D41 - Fuzzy_Parameters!$C$11)/(Fuzzy_Parameters!$C$12 - Fuzzy_Parameters!$C$11), 1, (Fuzzy_Parameters!$C$14 - Sheet7!D41)/(Fuzzy_Parameters!$C$14 - Fuzzy_Parameters!$C$13)), 0)</f>
        <v>1</v>
      </c>
      <c r="H41" s="25">
        <f>MAX(MIN((Sheet7!D41 - Fuzzy_Parameters!$C$13)/(Fuzzy_Parameters!$C$14 - Fuzzy_Parameters!$C$13), 1), 0)</f>
        <v>0</v>
      </c>
      <c r="I41" s="25">
        <f>MAX(MIN(1, (Fuzzy_Parameters!$C$20 - Sheet7!E41)/(Fuzzy_Parameters!$C$20 - Fuzzy_Parameters!$C$19)), 0)</f>
        <v>0</v>
      </c>
      <c r="J41" s="25">
        <f>MAX(MIN((Sheet7!E41 - Fuzzy_Parameters!$C$19)/(Fuzzy_Parameters!$C$20 - Fuzzy_Parameters!$C$19), 1, (Fuzzy_Parameters!$C$22 - Sheet7!E41)/(Fuzzy_Parameters!$C$22 - Fuzzy_Parameters!$C$21)), 0)</f>
        <v>0</v>
      </c>
      <c r="K41" s="25">
        <f>MAX(MIN((Sheet7!E41 - Fuzzy_Parameters!$C$21)/(Fuzzy_Parameters!$C$22 - Fuzzy_Parameters!$C$21), 1), 0)</f>
        <v>1</v>
      </c>
      <c r="L41" s="25">
        <f>MAX(MIN(1, (Fuzzy_Parameters!$C$28 - Sheet7!F41)/(Fuzzy_Parameters!$C$28 - Fuzzy_Parameters!$C$27)), 0)</f>
        <v>0</v>
      </c>
      <c r="M41" s="25">
        <f>MAX(MIN((Sheet7!F41 - Fuzzy_Parameters!$C$27)/(Fuzzy_Parameters!$C$28 - Fuzzy_Parameters!$C$27), 1, (Fuzzy_Parameters!$C$30 - Sheet7!F41)/(Fuzzy_Parameters!$C$30 - Fuzzy_Parameters!$C$29)), 0)</f>
        <v>0</v>
      </c>
      <c r="N41" s="25">
        <f>MAX(MIN((Sheet7!F41 - Fuzzy_Parameters!$C$29)/(Fuzzy_Parameters!$C$30 - Fuzzy_Parameters!$C$29), 1), 0)</f>
        <v>1</v>
      </c>
    </row>
    <row r="42">
      <c r="A42" s="6" t="s">
        <v>14</v>
      </c>
      <c r="B42" s="26">
        <v>2024.0</v>
      </c>
      <c r="C42" s="25">
        <f>MAX(MIN(1, (Fuzzy_Parameters!$C$4 - Sheet7!C42)/(Fuzzy_Parameters!$C$4 - Fuzzy_Parameters!$C$3)), 0)</f>
        <v>0</v>
      </c>
      <c r="D42" s="25">
        <f>MAX(MIN((Sheet7!C42 - Fuzzy_Parameters!$C$3)/(Fuzzy_Parameters!$C$4 - Fuzzy_Parameters!$C$3), 1, (Fuzzy_Parameters!$C$6 - Sheet7!C42)/(Fuzzy_Parameters!$C$6 - Fuzzy_Parameters!$C$5)), 0)</f>
        <v>0</v>
      </c>
      <c r="E42" s="25">
        <f>MAX(MIN((Sheet7!C42 - Fuzzy_Parameters!$C$5)/(Fuzzy_Parameters!$C$6 - Fuzzy_Parameters!$C$5), 1), 0)</f>
        <v>1</v>
      </c>
      <c r="F42" s="25">
        <f>MAX(MIN(1, (Fuzzy_Parameters!$C$12 - Sheet7!D42)/(Fuzzy_Parameters!$C$12 - Fuzzy_Parameters!$C$11)), 0)</f>
        <v>0</v>
      </c>
      <c r="G42" s="25">
        <f>MAX(MIN((Sheet7!D42 - Fuzzy_Parameters!$C$11)/(Fuzzy_Parameters!$C$12 - Fuzzy_Parameters!$C$11), 1, (Fuzzy_Parameters!$C$14 - Sheet7!D42)/(Fuzzy_Parameters!$C$14 - Fuzzy_Parameters!$C$13)), 0)</f>
        <v>1</v>
      </c>
      <c r="H42" s="25">
        <f>MAX(MIN((Sheet7!D42 - Fuzzy_Parameters!$C$13)/(Fuzzy_Parameters!$C$14 - Fuzzy_Parameters!$C$13), 1), 0)</f>
        <v>0</v>
      </c>
      <c r="I42" s="25">
        <f>MAX(MIN(1, (Fuzzy_Parameters!$C$20 - Sheet7!E42)/(Fuzzy_Parameters!$C$20 - Fuzzy_Parameters!$C$19)), 0)</f>
        <v>0</v>
      </c>
      <c r="J42" s="25">
        <f>MAX(MIN((Sheet7!E42 - Fuzzy_Parameters!$C$19)/(Fuzzy_Parameters!$C$20 - Fuzzy_Parameters!$C$19), 1, (Fuzzy_Parameters!$C$22 - Sheet7!E42)/(Fuzzy_Parameters!$C$22 - Fuzzy_Parameters!$C$21)), 0)</f>
        <v>0</v>
      </c>
      <c r="K42" s="25">
        <f>MAX(MIN((Sheet7!E42 - Fuzzy_Parameters!$C$21)/(Fuzzy_Parameters!$C$22 - Fuzzy_Parameters!$C$21), 1), 0)</f>
        <v>1</v>
      </c>
      <c r="L42" s="25">
        <f>MAX(MIN(1, (Fuzzy_Parameters!$C$28 - Sheet7!F42)/(Fuzzy_Parameters!$C$28 - Fuzzy_Parameters!$C$27)), 0)</f>
        <v>0</v>
      </c>
      <c r="M42" s="25">
        <f>MAX(MIN((Sheet7!F42 - Fuzzy_Parameters!$C$27)/(Fuzzy_Parameters!$C$28 - Fuzzy_Parameters!$C$27), 1, (Fuzzy_Parameters!$C$30 - Sheet7!F42)/(Fuzzy_Parameters!$C$30 - Fuzzy_Parameters!$C$29)), 0)</f>
        <v>0</v>
      </c>
      <c r="N42" s="25">
        <f>MAX(MIN((Sheet7!F42 - Fuzzy_Parameters!$C$29)/(Fuzzy_Parameters!$C$30 - Fuzzy_Parameters!$C$29), 1), 0)</f>
        <v>1</v>
      </c>
    </row>
    <row r="43">
      <c r="A43" s="6" t="s">
        <v>14</v>
      </c>
      <c r="B43" s="55">
        <v>2023.0</v>
      </c>
      <c r="C43" s="25">
        <f>MAX(MIN(1, (Fuzzy_Parameters!$C$4 - Sheet7!C43)/(Fuzzy_Parameters!$C$4 - Fuzzy_Parameters!$C$3)), 0)</f>
        <v>0</v>
      </c>
      <c r="D43" s="25">
        <f>MAX(MIN((Sheet7!C43 - Fuzzy_Parameters!$C$3)/(Fuzzy_Parameters!$C$4 - Fuzzy_Parameters!$C$3), 1, (Fuzzy_Parameters!$C$6 - Sheet7!C43)/(Fuzzy_Parameters!$C$6 - Fuzzy_Parameters!$C$5)), 0)</f>
        <v>0.007601351351</v>
      </c>
      <c r="E43" s="25">
        <f>MAX(MIN((Sheet7!C43 - Fuzzy_Parameters!$C$5)/(Fuzzy_Parameters!$C$6 - Fuzzy_Parameters!$C$5), 1), 0)</f>
        <v>0.9923986486</v>
      </c>
      <c r="F43" s="25">
        <f>MAX(MIN(1, (Fuzzy_Parameters!$C$12 - Sheet7!D43)/(Fuzzy_Parameters!$C$12 - Fuzzy_Parameters!$C$11)), 0)</f>
        <v>0.04732690622</v>
      </c>
      <c r="G43" s="25">
        <f>MAX(MIN((Sheet7!D43 - Fuzzy_Parameters!$C$11)/(Fuzzy_Parameters!$C$12 - Fuzzy_Parameters!$C$11), 1, (Fuzzy_Parameters!$C$14 - Sheet7!D43)/(Fuzzy_Parameters!$C$14 - Fuzzy_Parameters!$C$13)), 0)</f>
        <v>0.9526730938</v>
      </c>
      <c r="H43" s="25">
        <f>MAX(MIN((Sheet7!D43 - Fuzzy_Parameters!$C$13)/(Fuzzy_Parameters!$C$14 - Fuzzy_Parameters!$C$13), 1), 0)</f>
        <v>0</v>
      </c>
      <c r="I43" s="25">
        <f>MAX(MIN(1, (Fuzzy_Parameters!$C$20 - Sheet7!E43)/(Fuzzy_Parameters!$C$20 - Fuzzy_Parameters!$C$19)), 0)</f>
        <v>0</v>
      </c>
      <c r="J43" s="25">
        <f>MAX(MIN((Sheet7!E43 - Fuzzy_Parameters!$C$19)/(Fuzzy_Parameters!$C$20 - Fuzzy_Parameters!$C$19), 1, (Fuzzy_Parameters!$C$22 - Sheet7!E43)/(Fuzzy_Parameters!$C$22 - Fuzzy_Parameters!$C$21)), 0)</f>
        <v>0</v>
      </c>
      <c r="K43" s="25">
        <f>MAX(MIN((Sheet7!E43 - Fuzzy_Parameters!$C$21)/(Fuzzy_Parameters!$C$22 - Fuzzy_Parameters!$C$21), 1), 0)</f>
        <v>1</v>
      </c>
      <c r="L43" s="25">
        <f>MAX(MIN(1, (Fuzzy_Parameters!$C$28 - Sheet7!F43)/(Fuzzy_Parameters!$C$28 - Fuzzy_Parameters!$C$27)), 0)</f>
        <v>0</v>
      </c>
      <c r="M43" s="25">
        <f>MAX(MIN((Sheet7!F43 - Fuzzy_Parameters!$C$27)/(Fuzzy_Parameters!$C$28 - Fuzzy_Parameters!$C$27), 1, (Fuzzy_Parameters!$C$30 - Sheet7!F43)/(Fuzzy_Parameters!$C$30 - Fuzzy_Parameters!$C$29)), 0)</f>
        <v>0</v>
      </c>
      <c r="N43" s="25">
        <f>MAX(MIN((Sheet7!F43 - Fuzzy_Parameters!$C$29)/(Fuzzy_Parameters!$C$30 - Fuzzy_Parameters!$C$29), 1), 0)</f>
        <v>1</v>
      </c>
    </row>
    <row r="44">
      <c r="A44" s="6" t="s">
        <v>15</v>
      </c>
      <c r="B44" s="55">
        <v>2025.0</v>
      </c>
      <c r="C44" s="25">
        <f>MAX(MIN(1, (Fuzzy_Parameters!$C$4 - Sheet7!C44)/(Fuzzy_Parameters!$C$4 - Fuzzy_Parameters!$C$3)), 0)</f>
        <v>0</v>
      </c>
      <c r="D44" s="25">
        <f>MAX(MIN((Sheet7!C44 - Fuzzy_Parameters!$C$3)/(Fuzzy_Parameters!$C$4 - Fuzzy_Parameters!$C$3), 1, (Fuzzy_Parameters!$C$6 - Sheet7!C44)/(Fuzzy_Parameters!$C$6 - Fuzzy_Parameters!$C$5)), 0)</f>
        <v>0</v>
      </c>
      <c r="E44" s="25">
        <f>MAX(MIN((Sheet7!C44 - Fuzzy_Parameters!$C$5)/(Fuzzy_Parameters!$C$6 - Fuzzy_Parameters!$C$5), 1), 0)</f>
        <v>1</v>
      </c>
      <c r="F44" s="25">
        <f>MAX(MIN(1, (Fuzzy_Parameters!$C$12 - Sheet7!D44)/(Fuzzy_Parameters!$C$12 - Fuzzy_Parameters!$C$11)), 0)</f>
        <v>0</v>
      </c>
      <c r="G44" s="25">
        <f>MAX(MIN((Sheet7!D44 - Fuzzy_Parameters!$C$11)/(Fuzzy_Parameters!$C$12 - Fuzzy_Parameters!$C$11), 1, (Fuzzy_Parameters!$C$14 - Sheet7!D44)/(Fuzzy_Parameters!$C$14 - Fuzzy_Parameters!$C$13)), 0)</f>
        <v>0.9438517687</v>
      </c>
      <c r="H44" s="25">
        <f>MAX(MIN((Sheet7!D44 - Fuzzy_Parameters!$C$13)/(Fuzzy_Parameters!$C$14 - Fuzzy_Parameters!$C$13), 1), 0)</f>
        <v>0.05614823133</v>
      </c>
      <c r="I44" s="25">
        <f>MAX(MIN(1, (Fuzzy_Parameters!$C$20 - Sheet7!E44)/(Fuzzy_Parameters!$C$20 - Fuzzy_Parameters!$C$19)), 0)</f>
        <v>0.5967741935</v>
      </c>
      <c r="J44" s="25">
        <f>MAX(MIN((Sheet7!E44 - Fuzzy_Parameters!$C$19)/(Fuzzy_Parameters!$C$20 - Fuzzy_Parameters!$C$19), 1, (Fuzzy_Parameters!$C$22 - Sheet7!E44)/(Fuzzy_Parameters!$C$22 - Fuzzy_Parameters!$C$21)), 0)</f>
        <v>0.4032258065</v>
      </c>
      <c r="K44" s="25">
        <f>MAX(MIN((Sheet7!E44 - Fuzzy_Parameters!$C$21)/(Fuzzy_Parameters!$C$22 - Fuzzy_Parameters!$C$21), 1), 0)</f>
        <v>0</v>
      </c>
      <c r="L44" s="25">
        <f>MAX(MIN(1, (Fuzzy_Parameters!$C$28 - Sheet7!F44)/(Fuzzy_Parameters!$C$28 - Fuzzy_Parameters!$C$27)), 0)</f>
        <v>0</v>
      </c>
      <c r="M44" s="25">
        <f>MAX(MIN((Sheet7!F44 - Fuzzy_Parameters!$C$27)/(Fuzzy_Parameters!$C$28 - Fuzzy_Parameters!$C$27), 1, (Fuzzy_Parameters!$C$30 - Sheet7!F44)/(Fuzzy_Parameters!$C$30 - Fuzzy_Parameters!$C$29)), 0)</f>
        <v>1</v>
      </c>
      <c r="N44" s="25">
        <f>MAX(MIN((Sheet7!F44 - Fuzzy_Parameters!$C$29)/(Fuzzy_Parameters!$C$30 - Fuzzy_Parameters!$C$29), 1), 0)</f>
        <v>0</v>
      </c>
    </row>
    <row r="45">
      <c r="A45" s="6" t="s">
        <v>15</v>
      </c>
      <c r="B45" s="26">
        <v>2024.0</v>
      </c>
      <c r="C45" s="25">
        <f>MAX(MIN(1, (Fuzzy_Parameters!$C$4 - Sheet7!C45)/(Fuzzy_Parameters!$C$4 - Fuzzy_Parameters!$C$3)), 0)</f>
        <v>0</v>
      </c>
      <c r="D45" s="25">
        <f>MAX(MIN((Sheet7!C45 - Fuzzy_Parameters!$C$3)/(Fuzzy_Parameters!$C$4 - Fuzzy_Parameters!$C$3), 1, (Fuzzy_Parameters!$C$6 - Sheet7!C45)/(Fuzzy_Parameters!$C$6 - Fuzzy_Parameters!$C$5)), 0)</f>
        <v>0</v>
      </c>
      <c r="E45" s="25">
        <f>MAX(MIN((Sheet7!C45 - Fuzzy_Parameters!$C$5)/(Fuzzy_Parameters!$C$6 - Fuzzy_Parameters!$C$5), 1), 0)</f>
        <v>1</v>
      </c>
      <c r="F45" s="25">
        <f>MAX(MIN(1, (Fuzzy_Parameters!$C$12 - Sheet7!D45)/(Fuzzy_Parameters!$C$12 - Fuzzy_Parameters!$C$11)), 0)</f>
        <v>0</v>
      </c>
      <c r="G45" s="25">
        <f>MAX(MIN((Sheet7!D45 - Fuzzy_Parameters!$C$11)/(Fuzzy_Parameters!$C$12 - Fuzzy_Parameters!$C$11), 1, (Fuzzy_Parameters!$C$14 - Sheet7!D45)/(Fuzzy_Parameters!$C$14 - Fuzzy_Parameters!$C$13)), 0)</f>
        <v>0.5682201011</v>
      </c>
      <c r="H45" s="25">
        <f>MAX(MIN((Sheet7!D45 - Fuzzy_Parameters!$C$13)/(Fuzzy_Parameters!$C$14 - Fuzzy_Parameters!$C$13), 1), 0)</f>
        <v>0.4317798989</v>
      </c>
      <c r="I45" s="25">
        <f>MAX(MIN(1, (Fuzzy_Parameters!$C$20 - Sheet7!E45)/(Fuzzy_Parameters!$C$20 - Fuzzy_Parameters!$C$19)), 0)</f>
        <v>0.2177419355</v>
      </c>
      <c r="J45" s="25">
        <f>MAX(MIN((Sheet7!E45 - Fuzzy_Parameters!$C$19)/(Fuzzy_Parameters!$C$20 - Fuzzy_Parameters!$C$19), 1, (Fuzzy_Parameters!$C$22 - Sheet7!E45)/(Fuzzy_Parameters!$C$22 - Fuzzy_Parameters!$C$21)), 0)</f>
        <v>0.7822580645</v>
      </c>
      <c r="K45" s="25">
        <f>MAX(MIN((Sheet7!E45 - Fuzzy_Parameters!$C$21)/(Fuzzy_Parameters!$C$22 - Fuzzy_Parameters!$C$21), 1), 0)</f>
        <v>0</v>
      </c>
      <c r="L45" s="25">
        <f>MAX(MIN(1, (Fuzzy_Parameters!$C$28 - Sheet7!F45)/(Fuzzy_Parameters!$C$28 - Fuzzy_Parameters!$C$27)), 0)</f>
        <v>0</v>
      </c>
      <c r="M45" s="25">
        <f>MAX(MIN((Sheet7!F45 - Fuzzy_Parameters!$C$27)/(Fuzzy_Parameters!$C$28 - Fuzzy_Parameters!$C$27), 1, (Fuzzy_Parameters!$C$30 - Sheet7!F45)/(Fuzzy_Parameters!$C$30 - Fuzzy_Parameters!$C$29)), 0)</f>
        <v>1</v>
      </c>
      <c r="N45" s="25">
        <f>MAX(MIN((Sheet7!F45 - Fuzzy_Parameters!$C$29)/(Fuzzy_Parameters!$C$30 - Fuzzy_Parameters!$C$29), 1), 0)</f>
        <v>0</v>
      </c>
    </row>
    <row r="46">
      <c r="A46" s="6" t="s">
        <v>15</v>
      </c>
      <c r="B46" s="55">
        <v>2023.0</v>
      </c>
      <c r="C46" s="25">
        <f>MAX(MIN(1, (Fuzzy_Parameters!$C$4 - Sheet7!C46)/(Fuzzy_Parameters!$C$4 - Fuzzy_Parameters!$C$3)), 0)</f>
        <v>0</v>
      </c>
      <c r="D46" s="25">
        <f>MAX(MIN((Sheet7!C46 - Fuzzy_Parameters!$C$3)/(Fuzzy_Parameters!$C$4 - Fuzzy_Parameters!$C$3), 1, (Fuzzy_Parameters!$C$6 - Sheet7!C46)/(Fuzzy_Parameters!$C$6 - Fuzzy_Parameters!$C$5)), 0)</f>
        <v>0.0213963964</v>
      </c>
      <c r="E46" s="25">
        <f>MAX(MIN((Sheet7!C46 - Fuzzy_Parameters!$C$5)/(Fuzzy_Parameters!$C$6 - Fuzzy_Parameters!$C$5), 1), 0)</f>
        <v>0.9786036036</v>
      </c>
      <c r="F46" s="25">
        <f>MAX(MIN(1, (Fuzzy_Parameters!$C$12 - Sheet7!D46)/(Fuzzy_Parameters!$C$12 - Fuzzy_Parameters!$C$11)), 0)</f>
        <v>0</v>
      </c>
      <c r="G46" s="25">
        <f>MAX(MIN((Sheet7!D46 - Fuzzy_Parameters!$C$11)/(Fuzzy_Parameters!$C$12 - Fuzzy_Parameters!$C$11), 1, (Fuzzy_Parameters!$C$14 - Sheet7!D46)/(Fuzzy_Parameters!$C$14 - Fuzzy_Parameters!$C$13)), 0)</f>
        <v>0.7237507019</v>
      </c>
      <c r="H46" s="25">
        <f>MAX(MIN((Sheet7!D46 - Fuzzy_Parameters!$C$13)/(Fuzzy_Parameters!$C$14 - Fuzzy_Parameters!$C$13), 1), 0)</f>
        <v>0.2762492981</v>
      </c>
      <c r="I46" s="25">
        <f>MAX(MIN(1, (Fuzzy_Parameters!$C$20 - Sheet7!E46)/(Fuzzy_Parameters!$C$20 - Fuzzy_Parameters!$C$19)), 0)</f>
        <v>0.7741935484</v>
      </c>
      <c r="J46" s="25">
        <f>MAX(MIN((Sheet7!E46 - Fuzzy_Parameters!$C$19)/(Fuzzy_Parameters!$C$20 - Fuzzy_Parameters!$C$19), 1, (Fuzzy_Parameters!$C$22 - Sheet7!E46)/(Fuzzy_Parameters!$C$22 - Fuzzy_Parameters!$C$21)), 0)</f>
        <v>0.2258064516</v>
      </c>
      <c r="K46" s="25">
        <f>MAX(MIN((Sheet7!E46 - Fuzzy_Parameters!$C$21)/(Fuzzy_Parameters!$C$22 - Fuzzy_Parameters!$C$21), 1), 0)</f>
        <v>0</v>
      </c>
      <c r="L46" s="25">
        <f>MAX(MIN(1, (Fuzzy_Parameters!$C$28 - Sheet7!F46)/(Fuzzy_Parameters!$C$28 - Fuzzy_Parameters!$C$27)), 0)</f>
        <v>0</v>
      </c>
      <c r="M46" s="25">
        <f>MAX(MIN((Sheet7!F46 - Fuzzy_Parameters!$C$27)/(Fuzzy_Parameters!$C$28 - Fuzzy_Parameters!$C$27), 1, (Fuzzy_Parameters!$C$30 - Sheet7!F46)/(Fuzzy_Parameters!$C$30 - Fuzzy_Parameters!$C$29)), 0)</f>
        <v>1</v>
      </c>
      <c r="N46" s="25">
        <f>MAX(MIN((Sheet7!F46 - Fuzzy_Parameters!$C$29)/(Fuzzy_Parameters!$C$30 - Fuzzy_Parameters!$C$29), 1), 0)</f>
        <v>0</v>
      </c>
    </row>
    <row r="47">
      <c r="A47" s="6" t="s">
        <v>16</v>
      </c>
      <c r="B47" s="55">
        <v>2025.0</v>
      </c>
      <c r="C47" s="25">
        <f>MAX(MIN(1, (Fuzzy_Parameters!$C$4 - Sheet7!C47)/(Fuzzy_Parameters!$C$4 - Fuzzy_Parameters!$C$3)), 0)</f>
        <v>0</v>
      </c>
      <c r="D47" s="25">
        <f>MAX(MIN((Sheet7!C47 - Fuzzy_Parameters!$C$3)/(Fuzzy_Parameters!$C$4 - Fuzzy_Parameters!$C$3), 1, (Fuzzy_Parameters!$C$6 - Sheet7!C47)/(Fuzzy_Parameters!$C$6 - Fuzzy_Parameters!$C$5)), 0)</f>
        <v>0</v>
      </c>
      <c r="E47" s="25">
        <f>MAX(MIN((Sheet7!C47 - Fuzzy_Parameters!$C$5)/(Fuzzy_Parameters!$C$6 - Fuzzy_Parameters!$C$5), 1), 0)</f>
        <v>1</v>
      </c>
      <c r="F47" s="25">
        <f>MAX(MIN(1, (Fuzzy_Parameters!$C$12 - Sheet7!D47)/(Fuzzy_Parameters!$C$12 - Fuzzy_Parameters!$C$11)), 0)</f>
        <v>0</v>
      </c>
      <c r="G47" s="25">
        <f>MAX(MIN((Sheet7!D47 - Fuzzy_Parameters!$C$11)/(Fuzzy_Parameters!$C$12 - Fuzzy_Parameters!$C$11), 1, (Fuzzy_Parameters!$C$14 - Sheet7!D47)/(Fuzzy_Parameters!$C$14 - Fuzzy_Parameters!$C$13)), 0)</f>
        <v>1</v>
      </c>
      <c r="H47" s="25">
        <f>MAX(MIN((Sheet7!D47 - Fuzzy_Parameters!$C$13)/(Fuzzy_Parameters!$C$14 - Fuzzy_Parameters!$C$13), 1), 0)</f>
        <v>0</v>
      </c>
      <c r="I47" s="25">
        <f>MAX(MIN(1, (Fuzzy_Parameters!$C$20 - Sheet7!E47)/(Fuzzy_Parameters!$C$20 - Fuzzy_Parameters!$C$19)), 0)</f>
        <v>0.6048387097</v>
      </c>
      <c r="J47" s="25">
        <f>MAX(MIN((Sheet7!E47 - Fuzzy_Parameters!$C$19)/(Fuzzy_Parameters!$C$20 - Fuzzy_Parameters!$C$19), 1, (Fuzzy_Parameters!$C$22 - Sheet7!E47)/(Fuzzy_Parameters!$C$22 - Fuzzy_Parameters!$C$21)), 0)</f>
        <v>0.3951612903</v>
      </c>
      <c r="K47" s="25">
        <f>MAX(MIN((Sheet7!E47 - Fuzzy_Parameters!$C$21)/(Fuzzy_Parameters!$C$22 - Fuzzy_Parameters!$C$21), 1), 0)</f>
        <v>0</v>
      </c>
      <c r="L47" s="25">
        <f>MAX(MIN(1, (Fuzzy_Parameters!$C$28 - Sheet7!F47)/(Fuzzy_Parameters!$C$28 - Fuzzy_Parameters!$C$27)), 0)</f>
        <v>0</v>
      </c>
      <c r="M47" s="25">
        <f>MAX(MIN((Sheet7!F47 - Fuzzy_Parameters!$C$27)/(Fuzzy_Parameters!$C$28 - Fuzzy_Parameters!$C$27), 1, (Fuzzy_Parameters!$C$30 - Sheet7!F47)/(Fuzzy_Parameters!$C$30 - Fuzzy_Parameters!$C$29)), 0)</f>
        <v>0.9227957883</v>
      </c>
      <c r="N47" s="25">
        <f>MAX(MIN((Sheet7!F47 - Fuzzy_Parameters!$C$29)/(Fuzzy_Parameters!$C$30 - Fuzzy_Parameters!$C$29), 1), 0)</f>
        <v>0.07720421169</v>
      </c>
    </row>
    <row r="48">
      <c r="A48" s="6" t="s">
        <v>16</v>
      </c>
      <c r="B48" s="26">
        <v>2024.0</v>
      </c>
      <c r="C48" s="25">
        <f>MAX(MIN(1, (Fuzzy_Parameters!$C$4 - Sheet7!C48)/(Fuzzy_Parameters!$C$4 - Fuzzy_Parameters!$C$3)), 0)</f>
        <v>0</v>
      </c>
      <c r="D48" s="25">
        <f>MAX(MIN((Sheet7!C48 - Fuzzy_Parameters!$C$3)/(Fuzzy_Parameters!$C$4 - Fuzzy_Parameters!$C$3), 1, (Fuzzy_Parameters!$C$6 - Sheet7!C48)/(Fuzzy_Parameters!$C$6 - Fuzzy_Parameters!$C$5)), 0)</f>
        <v>0</v>
      </c>
      <c r="E48" s="25">
        <f>MAX(MIN((Sheet7!C48 - Fuzzy_Parameters!$C$5)/(Fuzzy_Parameters!$C$6 - Fuzzy_Parameters!$C$5), 1), 0)</f>
        <v>1</v>
      </c>
      <c r="F48" s="25">
        <f>MAX(MIN(1, (Fuzzy_Parameters!$C$12 - Sheet7!D48)/(Fuzzy_Parameters!$C$12 - Fuzzy_Parameters!$C$11)), 0)</f>
        <v>0</v>
      </c>
      <c r="G48" s="25">
        <f>MAX(MIN((Sheet7!D48 - Fuzzy_Parameters!$C$11)/(Fuzzy_Parameters!$C$12 - Fuzzy_Parameters!$C$11), 1, (Fuzzy_Parameters!$C$14 - Sheet7!D48)/(Fuzzy_Parameters!$C$14 - Fuzzy_Parameters!$C$13)), 0)</f>
        <v>1</v>
      </c>
      <c r="H48" s="25">
        <f>MAX(MIN((Sheet7!D48 - Fuzzy_Parameters!$C$13)/(Fuzzy_Parameters!$C$14 - Fuzzy_Parameters!$C$13), 1), 0)</f>
        <v>0</v>
      </c>
      <c r="I48" s="25">
        <f>MAX(MIN(1, (Fuzzy_Parameters!$C$20 - Sheet7!E48)/(Fuzzy_Parameters!$C$20 - Fuzzy_Parameters!$C$19)), 0)</f>
        <v>0.8629032258</v>
      </c>
      <c r="J48" s="25">
        <f>MAX(MIN((Sheet7!E48 - Fuzzy_Parameters!$C$19)/(Fuzzy_Parameters!$C$20 - Fuzzy_Parameters!$C$19), 1, (Fuzzy_Parameters!$C$22 - Sheet7!E48)/(Fuzzy_Parameters!$C$22 - Fuzzy_Parameters!$C$21)), 0)</f>
        <v>0.1370967742</v>
      </c>
      <c r="K48" s="25">
        <f>MAX(MIN((Sheet7!E48 - Fuzzy_Parameters!$C$21)/(Fuzzy_Parameters!$C$22 - Fuzzy_Parameters!$C$21), 1), 0)</f>
        <v>0</v>
      </c>
      <c r="L48" s="25">
        <f>MAX(MIN(1, (Fuzzy_Parameters!$C$28 - Sheet7!F48)/(Fuzzy_Parameters!$C$28 - Fuzzy_Parameters!$C$27)), 0)</f>
        <v>0</v>
      </c>
      <c r="M48" s="25">
        <f>MAX(MIN((Sheet7!F48 - Fuzzy_Parameters!$C$27)/(Fuzzy_Parameters!$C$28 - Fuzzy_Parameters!$C$27), 1, (Fuzzy_Parameters!$C$30 - Sheet7!F48)/(Fuzzy_Parameters!$C$30 - Fuzzy_Parameters!$C$29)), 0)</f>
        <v>0.9281692309</v>
      </c>
      <c r="N48" s="25">
        <f>MAX(MIN((Sheet7!F48 - Fuzzy_Parameters!$C$29)/(Fuzzy_Parameters!$C$30 - Fuzzy_Parameters!$C$29), 1), 0)</f>
        <v>0.07183076911</v>
      </c>
    </row>
    <row r="49">
      <c r="A49" s="6" t="s">
        <v>16</v>
      </c>
      <c r="B49" s="55">
        <v>2023.0</v>
      </c>
      <c r="C49" s="25">
        <f>MAX(MIN(1, (Fuzzy_Parameters!$C$4 - Sheet7!C49)/(Fuzzy_Parameters!$C$4 - Fuzzy_Parameters!$C$3)), 0)</f>
        <v>0</v>
      </c>
      <c r="D49" s="25">
        <f>MAX(MIN((Sheet7!C49 - Fuzzy_Parameters!$C$3)/(Fuzzy_Parameters!$C$4 - Fuzzy_Parameters!$C$3), 1, (Fuzzy_Parameters!$C$6 - Sheet7!C49)/(Fuzzy_Parameters!$C$6 - Fuzzy_Parameters!$C$5)), 0)</f>
        <v>0</v>
      </c>
      <c r="E49" s="25">
        <f>MAX(MIN((Sheet7!C49 - Fuzzy_Parameters!$C$5)/(Fuzzy_Parameters!$C$6 - Fuzzy_Parameters!$C$5), 1), 0)</f>
        <v>1</v>
      </c>
      <c r="F49" s="25">
        <f>MAX(MIN(1, (Fuzzy_Parameters!$C$12 - Sheet7!D49)/(Fuzzy_Parameters!$C$12 - Fuzzy_Parameters!$C$11)), 0)</f>
        <v>0.2077125329</v>
      </c>
      <c r="G49" s="25">
        <f>MAX(MIN((Sheet7!D49 - Fuzzy_Parameters!$C$11)/(Fuzzy_Parameters!$C$12 - Fuzzy_Parameters!$C$11), 1, (Fuzzy_Parameters!$C$14 - Sheet7!D49)/(Fuzzy_Parameters!$C$14 - Fuzzy_Parameters!$C$13)), 0)</f>
        <v>0.7922874671</v>
      </c>
      <c r="H49" s="25">
        <f>MAX(MIN((Sheet7!D49 - Fuzzy_Parameters!$C$13)/(Fuzzy_Parameters!$C$14 - Fuzzy_Parameters!$C$13), 1), 0)</f>
        <v>0</v>
      </c>
      <c r="I49" s="25">
        <f>MAX(MIN(1, (Fuzzy_Parameters!$C$20 - Sheet7!E49)/(Fuzzy_Parameters!$C$20 - Fuzzy_Parameters!$C$19)), 0)</f>
        <v>1</v>
      </c>
      <c r="J49" s="25">
        <f>MAX(MIN((Sheet7!E49 - Fuzzy_Parameters!$C$19)/(Fuzzy_Parameters!$C$20 - Fuzzy_Parameters!$C$19), 1, (Fuzzy_Parameters!$C$22 - Sheet7!E49)/(Fuzzy_Parameters!$C$22 - Fuzzy_Parameters!$C$21)), 0)</f>
        <v>0</v>
      </c>
      <c r="K49" s="25">
        <f>MAX(MIN((Sheet7!E49 - Fuzzy_Parameters!$C$21)/(Fuzzy_Parameters!$C$22 - Fuzzy_Parameters!$C$21), 1), 0)</f>
        <v>0</v>
      </c>
      <c r="L49" s="25">
        <f>MAX(MIN(1, (Fuzzy_Parameters!$C$28 - Sheet7!F49)/(Fuzzy_Parameters!$C$28 - Fuzzy_Parameters!$C$27)), 0)</f>
        <v>0</v>
      </c>
      <c r="M49" s="25">
        <f>MAX(MIN((Sheet7!F49 - Fuzzy_Parameters!$C$27)/(Fuzzy_Parameters!$C$28 - Fuzzy_Parameters!$C$27), 1, (Fuzzy_Parameters!$C$30 - Sheet7!F49)/(Fuzzy_Parameters!$C$30 - Fuzzy_Parameters!$C$29)), 0)</f>
        <v>0.9227957883</v>
      </c>
      <c r="N49" s="25">
        <f>MAX(MIN((Sheet7!F49 - Fuzzy_Parameters!$C$29)/(Fuzzy_Parameters!$C$30 - Fuzzy_Parameters!$C$29), 1), 0)</f>
        <v>0.07720421169</v>
      </c>
    </row>
    <row r="50">
      <c r="A50" s="6" t="s">
        <v>17</v>
      </c>
      <c r="B50" s="55">
        <v>2025.0</v>
      </c>
      <c r="C50" s="25">
        <f>MAX(MIN(1, (Fuzzy_Parameters!$C$4 - Sheet7!C50)/(Fuzzy_Parameters!$C$4 - Fuzzy_Parameters!$C$3)), 0)</f>
        <v>0</v>
      </c>
      <c r="D50" s="25">
        <f>MAX(MIN((Sheet7!C50 - Fuzzy_Parameters!$C$3)/(Fuzzy_Parameters!$C$4 - Fuzzy_Parameters!$C$3), 1, (Fuzzy_Parameters!$C$6 - Sheet7!C50)/(Fuzzy_Parameters!$C$6 - Fuzzy_Parameters!$C$5)), 0)</f>
        <v>0</v>
      </c>
      <c r="E50" s="25">
        <f>MAX(MIN((Sheet7!C50 - Fuzzy_Parameters!$C$5)/(Fuzzy_Parameters!$C$6 - Fuzzy_Parameters!$C$5), 1), 0)</f>
        <v>1</v>
      </c>
      <c r="F50" s="25">
        <f>MAX(MIN(1, (Fuzzy_Parameters!$C$12 - Sheet7!D50)/(Fuzzy_Parameters!$C$12 - Fuzzy_Parameters!$C$11)), 0)</f>
        <v>0</v>
      </c>
      <c r="G50" s="25">
        <f>MAX(MIN((Sheet7!D50 - Fuzzy_Parameters!$C$11)/(Fuzzy_Parameters!$C$12 - Fuzzy_Parameters!$C$11), 1, (Fuzzy_Parameters!$C$14 - Sheet7!D50)/(Fuzzy_Parameters!$C$14 - Fuzzy_Parameters!$C$13)), 0)</f>
        <v>0.8596294217</v>
      </c>
      <c r="H50" s="25">
        <f>MAX(MIN((Sheet7!D50 - Fuzzy_Parameters!$C$13)/(Fuzzy_Parameters!$C$14 - Fuzzy_Parameters!$C$13), 1), 0)</f>
        <v>0.1403705783</v>
      </c>
      <c r="I50" s="25">
        <f>MAX(MIN(1, (Fuzzy_Parameters!$C$20 - Sheet7!E50)/(Fuzzy_Parameters!$C$20 - Fuzzy_Parameters!$C$19)), 0)</f>
        <v>0.2016129032</v>
      </c>
      <c r="J50" s="25">
        <f>MAX(MIN((Sheet7!E50 - Fuzzy_Parameters!$C$19)/(Fuzzy_Parameters!$C$20 - Fuzzy_Parameters!$C$19), 1, (Fuzzy_Parameters!$C$22 - Sheet7!E50)/(Fuzzy_Parameters!$C$22 - Fuzzy_Parameters!$C$21)), 0)</f>
        <v>0.7983870968</v>
      </c>
      <c r="K50" s="25">
        <f>MAX(MIN((Sheet7!E50 - Fuzzy_Parameters!$C$21)/(Fuzzy_Parameters!$C$22 - Fuzzy_Parameters!$C$21), 1), 0)</f>
        <v>0</v>
      </c>
      <c r="L50" s="25">
        <f>MAX(MIN(1, (Fuzzy_Parameters!$C$28 - Sheet7!F50)/(Fuzzy_Parameters!$C$28 - Fuzzy_Parameters!$C$27)), 0)</f>
        <v>0.8786159529</v>
      </c>
      <c r="M50" s="25">
        <f>MAX(MIN((Sheet7!F50 - Fuzzy_Parameters!$C$27)/(Fuzzy_Parameters!$C$28 - Fuzzy_Parameters!$C$27), 1, (Fuzzy_Parameters!$C$30 - Sheet7!F50)/(Fuzzy_Parameters!$C$30 - Fuzzy_Parameters!$C$29)), 0)</f>
        <v>0.1213840471</v>
      </c>
      <c r="N50" s="25">
        <f>MAX(MIN((Sheet7!F50 - Fuzzy_Parameters!$C$29)/(Fuzzy_Parameters!$C$30 - Fuzzy_Parameters!$C$29), 1), 0)</f>
        <v>0</v>
      </c>
    </row>
    <row r="51">
      <c r="A51" s="6" t="s">
        <v>17</v>
      </c>
      <c r="B51" s="26">
        <v>2024.0</v>
      </c>
      <c r="C51" s="25">
        <f>MAX(MIN(1, (Fuzzy_Parameters!$C$4 - Sheet7!C51)/(Fuzzy_Parameters!$C$4 - Fuzzy_Parameters!$C$3)), 0)</f>
        <v>0</v>
      </c>
      <c r="D51" s="25">
        <f>MAX(MIN((Sheet7!C51 - Fuzzy_Parameters!$C$3)/(Fuzzy_Parameters!$C$4 - Fuzzy_Parameters!$C$3), 1, (Fuzzy_Parameters!$C$6 - Sheet7!C51)/(Fuzzy_Parameters!$C$6 - Fuzzy_Parameters!$C$5)), 0)</f>
        <v>0</v>
      </c>
      <c r="E51" s="25">
        <f>MAX(MIN((Sheet7!C51 - Fuzzy_Parameters!$C$5)/(Fuzzy_Parameters!$C$6 - Fuzzy_Parameters!$C$5), 1), 0)</f>
        <v>1</v>
      </c>
      <c r="F51" s="25">
        <f>MAX(MIN(1, (Fuzzy_Parameters!$C$12 - Sheet7!D51)/(Fuzzy_Parameters!$C$12 - Fuzzy_Parameters!$C$11)), 0)</f>
        <v>0</v>
      </c>
      <c r="G51" s="25">
        <f>MAX(MIN((Sheet7!D51 - Fuzzy_Parameters!$C$11)/(Fuzzy_Parameters!$C$12 - Fuzzy_Parameters!$C$11), 1, (Fuzzy_Parameters!$C$14 - Sheet7!D51)/(Fuzzy_Parameters!$C$14 - Fuzzy_Parameters!$C$13)), 0)</f>
        <v>1</v>
      </c>
      <c r="H51" s="25">
        <f>MAX(MIN((Sheet7!D51 - Fuzzy_Parameters!$C$13)/(Fuzzy_Parameters!$C$14 - Fuzzy_Parameters!$C$13), 1), 0)</f>
        <v>0</v>
      </c>
      <c r="I51" s="25">
        <f>MAX(MIN(1, (Fuzzy_Parameters!$C$20 - Sheet7!E51)/(Fuzzy_Parameters!$C$20 - Fuzzy_Parameters!$C$19)), 0)</f>
        <v>0</v>
      </c>
      <c r="J51" s="25">
        <f>MAX(MIN((Sheet7!E51 - Fuzzy_Parameters!$C$19)/(Fuzzy_Parameters!$C$20 - Fuzzy_Parameters!$C$19), 1, (Fuzzy_Parameters!$C$22 - Sheet7!E51)/(Fuzzy_Parameters!$C$22 - Fuzzy_Parameters!$C$21)), 0)</f>
        <v>1</v>
      </c>
      <c r="K51" s="25">
        <f>MAX(MIN((Sheet7!E51 - Fuzzy_Parameters!$C$21)/(Fuzzy_Parameters!$C$22 - Fuzzy_Parameters!$C$21), 1), 0)</f>
        <v>0</v>
      </c>
      <c r="L51" s="25">
        <f>MAX(MIN(1, (Fuzzy_Parameters!$C$28 - Sheet7!F51)/(Fuzzy_Parameters!$C$28 - Fuzzy_Parameters!$C$27)), 0)</f>
        <v>0.7033693833</v>
      </c>
      <c r="M51" s="25">
        <f>MAX(MIN((Sheet7!F51 - Fuzzy_Parameters!$C$27)/(Fuzzy_Parameters!$C$28 - Fuzzy_Parameters!$C$27), 1, (Fuzzy_Parameters!$C$30 - Sheet7!F51)/(Fuzzy_Parameters!$C$30 - Fuzzy_Parameters!$C$29)), 0)</f>
        <v>0.2966306167</v>
      </c>
      <c r="N51" s="25">
        <f>MAX(MIN((Sheet7!F51 - Fuzzy_Parameters!$C$29)/(Fuzzy_Parameters!$C$30 - Fuzzy_Parameters!$C$29), 1), 0)</f>
        <v>0</v>
      </c>
    </row>
    <row r="52">
      <c r="A52" s="6" t="s">
        <v>17</v>
      </c>
      <c r="B52" s="55">
        <v>2023.0</v>
      </c>
      <c r="C52" s="25">
        <f>MAX(MIN(1, (Fuzzy_Parameters!$C$4 - Sheet7!C52)/(Fuzzy_Parameters!$C$4 - Fuzzy_Parameters!$C$3)), 0)</f>
        <v>0</v>
      </c>
      <c r="D52" s="25">
        <f>MAX(MIN((Sheet7!C52 - Fuzzy_Parameters!$C$3)/(Fuzzy_Parameters!$C$4 - Fuzzy_Parameters!$C$3), 1, (Fuzzy_Parameters!$C$6 - Sheet7!C52)/(Fuzzy_Parameters!$C$6 - Fuzzy_Parameters!$C$5)), 0)</f>
        <v>0</v>
      </c>
      <c r="E52" s="25">
        <f>MAX(MIN((Sheet7!C52 - Fuzzy_Parameters!$C$5)/(Fuzzy_Parameters!$C$6 - Fuzzy_Parameters!$C$5), 1), 0)</f>
        <v>1</v>
      </c>
      <c r="F52" s="25">
        <f>MAX(MIN(1, (Fuzzy_Parameters!$C$12 - Sheet7!D52)/(Fuzzy_Parameters!$C$12 - Fuzzy_Parameters!$C$11)), 0)</f>
        <v>0</v>
      </c>
      <c r="G52" s="25">
        <f>MAX(MIN((Sheet7!D52 - Fuzzy_Parameters!$C$11)/(Fuzzy_Parameters!$C$12 - Fuzzy_Parameters!$C$11), 1, (Fuzzy_Parameters!$C$14 - Sheet7!D52)/(Fuzzy_Parameters!$C$14 - Fuzzy_Parameters!$C$13)), 0)</f>
        <v>1</v>
      </c>
      <c r="H52" s="25">
        <f>MAX(MIN((Sheet7!D52 - Fuzzy_Parameters!$C$13)/(Fuzzy_Parameters!$C$14 - Fuzzy_Parameters!$C$13), 1), 0)</f>
        <v>0</v>
      </c>
      <c r="I52" s="25">
        <f>MAX(MIN(1, (Fuzzy_Parameters!$C$20 - Sheet7!E52)/(Fuzzy_Parameters!$C$20 - Fuzzy_Parameters!$C$19)), 0)</f>
        <v>0.3951612903</v>
      </c>
      <c r="J52" s="25">
        <f>MAX(MIN((Sheet7!E52 - Fuzzy_Parameters!$C$19)/(Fuzzy_Parameters!$C$20 - Fuzzy_Parameters!$C$19), 1, (Fuzzy_Parameters!$C$22 - Sheet7!E52)/(Fuzzy_Parameters!$C$22 - Fuzzy_Parameters!$C$21)), 0)</f>
        <v>0.6048387097</v>
      </c>
      <c r="K52" s="25">
        <f>MAX(MIN((Sheet7!E52 - Fuzzy_Parameters!$C$21)/(Fuzzy_Parameters!$C$22 - Fuzzy_Parameters!$C$21), 1), 0)</f>
        <v>0</v>
      </c>
      <c r="L52" s="25">
        <f>MAX(MIN(1, (Fuzzy_Parameters!$C$28 - Sheet7!F52)/(Fuzzy_Parameters!$C$28 - Fuzzy_Parameters!$C$27)), 0)</f>
        <v>0.7033693833</v>
      </c>
      <c r="M52" s="25">
        <f>MAX(MIN((Sheet7!F52 - Fuzzy_Parameters!$C$27)/(Fuzzy_Parameters!$C$28 - Fuzzy_Parameters!$C$27), 1, (Fuzzy_Parameters!$C$30 - Sheet7!F52)/(Fuzzy_Parameters!$C$30 - Fuzzy_Parameters!$C$29)), 0)</f>
        <v>0.2966306167</v>
      </c>
      <c r="N52" s="25">
        <f>MAX(MIN((Sheet7!F52 - Fuzzy_Parameters!$C$29)/(Fuzzy_Parameters!$C$30 - Fuzzy_Parameters!$C$29), 1), 0)</f>
        <v>0</v>
      </c>
    </row>
    <row r="53">
      <c r="A53" s="6" t="s">
        <v>18</v>
      </c>
      <c r="B53" s="55">
        <v>2025.0</v>
      </c>
      <c r="C53" s="25">
        <f>MAX(MIN(1, (Fuzzy_Parameters!$C$4 - Sheet7!C53)/(Fuzzy_Parameters!$C$4 - Fuzzy_Parameters!$C$3)), 0)</f>
        <v>0</v>
      </c>
      <c r="D53" s="25">
        <f>MAX(MIN((Sheet7!C53 - Fuzzy_Parameters!$C$3)/(Fuzzy_Parameters!$C$4 - Fuzzy_Parameters!$C$3), 1, (Fuzzy_Parameters!$C$6 - Sheet7!C53)/(Fuzzy_Parameters!$C$6 - Fuzzy_Parameters!$C$5)), 0)</f>
        <v>1</v>
      </c>
      <c r="E53" s="25">
        <f>MAX(MIN((Sheet7!C53 - Fuzzy_Parameters!$C$5)/(Fuzzy_Parameters!$C$6 - Fuzzy_Parameters!$C$5), 1), 0)</f>
        <v>0</v>
      </c>
      <c r="F53" s="25">
        <f>MAX(MIN(1, (Fuzzy_Parameters!$C$12 - Sheet7!D53)/(Fuzzy_Parameters!$C$12 - Fuzzy_Parameters!$C$11)), 0)</f>
        <v>0</v>
      </c>
      <c r="G53" s="25">
        <f>MAX(MIN((Sheet7!D53 - Fuzzy_Parameters!$C$11)/(Fuzzy_Parameters!$C$12 - Fuzzy_Parameters!$C$11), 1, (Fuzzy_Parameters!$C$14 - Sheet7!D53)/(Fuzzy_Parameters!$C$14 - Fuzzy_Parameters!$C$13)), 0)</f>
        <v>0.4637843908</v>
      </c>
      <c r="H53" s="25">
        <f>MAX(MIN((Sheet7!D53 - Fuzzy_Parameters!$C$13)/(Fuzzy_Parameters!$C$14 - Fuzzy_Parameters!$C$13), 1), 0)</f>
        <v>0.5362156092</v>
      </c>
      <c r="I53" s="25">
        <f>MAX(MIN(1, (Fuzzy_Parameters!$C$20 - Sheet7!E53)/(Fuzzy_Parameters!$C$20 - Fuzzy_Parameters!$C$19)), 0)</f>
        <v>0.6290322581</v>
      </c>
      <c r="J53" s="25">
        <f>MAX(MIN((Sheet7!E53 - Fuzzy_Parameters!$C$19)/(Fuzzy_Parameters!$C$20 - Fuzzy_Parameters!$C$19), 1, (Fuzzy_Parameters!$C$22 - Sheet7!E53)/(Fuzzy_Parameters!$C$22 - Fuzzy_Parameters!$C$21)), 0)</f>
        <v>0.3709677419</v>
      </c>
      <c r="K53" s="25">
        <f>MAX(MIN((Sheet7!E53 - Fuzzy_Parameters!$C$21)/(Fuzzy_Parameters!$C$22 - Fuzzy_Parameters!$C$21), 1), 0)</f>
        <v>0</v>
      </c>
      <c r="L53" s="25">
        <f>MAX(MIN(1, (Fuzzy_Parameters!$C$28 - Sheet7!F53)/(Fuzzy_Parameters!$C$28 - Fuzzy_Parameters!$C$27)), 0)</f>
        <v>0</v>
      </c>
      <c r="M53" s="25">
        <f>MAX(MIN((Sheet7!F53 - Fuzzy_Parameters!$C$27)/(Fuzzy_Parameters!$C$28 - Fuzzy_Parameters!$C$27), 1, (Fuzzy_Parameters!$C$30 - Sheet7!F53)/(Fuzzy_Parameters!$C$30 - Fuzzy_Parameters!$C$29)), 0)</f>
        <v>1</v>
      </c>
      <c r="N53" s="25">
        <f>MAX(MIN((Sheet7!F53 - Fuzzy_Parameters!$C$29)/(Fuzzy_Parameters!$C$30 - Fuzzy_Parameters!$C$29), 1), 0)</f>
        <v>0</v>
      </c>
    </row>
    <row r="54">
      <c r="A54" s="6" t="s">
        <v>18</v>
      </c>
      <c r="B54" s="26">
        <v>2024.0</v>
      </c>
      <c r="C54" s="25">
        <f>MAX(MIN(1, (Fuzzy_Parameters!$C$4 - Sheet7!C54)/(Fuzzy_Parameters!$C$4 - Fuzzy_Parameters!$C$3)), 0)</f>
        <v>0</v>
      </c>
      <c r="D54" s="25">
        <f>MAX(MIN((Sheet7!C54 - Fuzzy_Parameters!$C$3)/(Fuzzy_Parameters!$C$4 - Fuzzy_Parameters!$C$3), 1, (Fuzzy_Parameters!$C$6 - Sheet7!C54)/(Fuzzy_Parameters!$C$6 - Fuzzy_Parameters!$C$5)), 0)</f>
        <v>1</v>
      </c>
      <c r="E54" s="25">
        <f>MAX(MIN((Sheet7!C54 - Fuzzy_Parameters!$C$5)/(Fuzzy_Parameters!$C$6 - Fuzzy_Parameters!$C$5), 1), 0)</f>
        <v>0</v>
      </c>
      <c r="F54" s="25">
        <f>MAX(MIN(1, (Fuzzy_Parameters!$C$12 - Sheet7!D54)/(Fuzzy_Parameters!$C$12 - Fuzzy_Parameters!$C$11)), 0)</f>
        <v>0</v>
      </c>
      <c r="G54" s="25">
        <f>MAX(MIN((Sheet7!D54 - Fuzzy_Parameters!$C$11)/(Fuzzy_Parameters!$C$12 - Fuzzy_Parameters!$C$11), 1, (Fuzzy_Parameters!$C$14 - Sheet7!D54)/(Fuzzy_Parameters!$C$14 - Fuzzy_Parameters!$C$13)), 0)</f>
        <v>0.419427288</v>
      </c>
      <c r="H54" s="25">
        <f>MAX(MIN((Sheet7!D54 - Fuzzy_Parameters!$C$13)/(Fuzzy_Parameters!$C$14 - Fuzzy_Parameters!$C$13), 1), 0)</f>
        <v>0.580572712</v>
      </c>
      <c r="I54" s="25">
        <f>MAX(MIN(1, (Fuzzy_Parameters!$C$20 - Sheet7!E54)/(Fuzzy_Parameters!$C$20 - Fuzzy_Parameters!$C$19)), 0)</f>
        <v>0.6451612903</v>
      </c>
      <c r="J54" s="25">
        <f>MAX(MIN((Sheet7!E54 - Fuzzy_Parameters!$C$19)/(Fuzzy_Parameters!$C$20 - Fuzzy_Parameters!$C$19), 1, (Fuzzy_Parameters!$C$22 - Sheet7!E54)/(Fuzzy_Parameters!$C$22 - Fuzzy_Parameters!$C$21)), 0)</f>
        <v>0.3548387097</v>
      </c>
      <c r="K54" s="25">
        <f>MAX(MIN((Sheet7!E54 - Fuzzy_Parameters!$C$21)/(Fuzzy_Parameters!$C$22 - Fuzzy_Parameters!$C$21), 1), 0)</f>
        <v>0</v>
      </c>
      <c r="L54" s="25">
        <f>MAX(MIN(1, (Fuzzy_Parameters!$C$28 - Sheet7!F54)/(Fuzzy_Parameters!$C$28 - Fuzzy_Parameters!$C$27)), 0)</f>
        <v>0</v>
      </c>
      <c r="M54" s="25">
        <f>MAX(MIN((Sheet7!F54 - Fuzzy_Parameters!$C$27)/(Fuzzy_Parameters!$C$28 - Fuzzy_Parameters!$C$27), 1, (Fuzzy_Parameters!$C$30 - Sheet7!F54)/(Fuzzy_Parameters!$C$30 - Fuzzy_Parameters!$C$29)), 0)</f>
        <v>1</v>
      </c>
      <c r="N54" s="25">
        <f>MAX(MIN((Sheet7!F54 - Fuzzy_Parameters!$C$29)/(Fuzzy_Parameters!$C$30 - Fuzzy_Parameters!$C$29), 1), 0)</f>
        <v>0</v>
      </c>
    </row>
    <row r="55">
      <c r="A55" s="6" t="s">
        <v>18</v>
      </c>
      <c r="B55" s="55">
        <v>2023.0</v>
      </c>
      <c r="C55" s="25">
        <f>MAX(MIN(1, (Fuzzy_Parameters!$C$4 - Sheet7!C55)/(Fuzzy_Parameters!$C$4 - Fuzzy_Parameters!$C$3)), 0)</f>
        <v>0.1560758082</v>
      </c>
      <c r="D55" s="25">
        <f>MAX(MIN((Sheet7!C55 - Fuzzy_Parameters!$C$3)/(Fuzzy_Parameters!$C$4 - Fuzzy_Parameters!$C$3), 1, (Fuzzy_Parameters!$C$6 - Sheet7!C55)/(Fuzzy_Parameters!$C$6 - Fuzzy_Parameters!$C$5)), 0)</f>
        <v>0.8439241918</v>
      </c>
      <c r="E55" s="25">
        <f>MAX(MIN((Sheet7!C55 - Fuzzy_Parameters!$C$5)/(Fuzzy_Parameters!$C$6 - Fuzzy_Parameters!$C$5), 1), 0)</f>
        <v>0</v>
      </c>
      <c r="F55" s="25">
        <f>MAX(MIN(1, (Fuzzy_Parameters!$C$12 - Sheet7!D55)/(Fuzzy_Parameters!$C$12 - Fuzzy_Parameters!$C$11)), 0)</f>
        <v>0</v>
      </c>
      <c r="G55" s="25">
        <f>MAX(MIN((Sheet7!D55 - Fuzzy_Parameters!$C$11)/(Fuzzy_Parameters!$C$12 - Fuzzy_Parameters!$C$11), 1, (Fuzzy_Parameters!$C$14 - Sheet7!D55)/(Fuzzy_Parameters!$C$14 - Fuzzy_Parameters!$C$13)), 0)</f>
        <v>1</v>
      </c>
      <c r="H55" s="25">
        <f>MAX(MIN((Sheet7!D55 - Fuzzy_Parameters!$C$13)/(Fuzzy_Parameters!$C$14 - Fuzzy_Parameters!$C$13), 1), 0)</f>
        <v>0</v>
      </c>
      <c r="I55" s="25">
        <f>MAX(MIN(1, (Fuzzy_Parameters!$C$20 - Sheet7!E55)/(Fuzzy_Parameters!$C$20 - Fuzzy_Parameters!$C$19)), 0)</f>
        <v>1</v>
      </c>
      <c r="J55" s="25">
        <f>MAX(MIN((Sheet7!E55 - Fuzzy_Parameters!$C$19)/(Fuzzy_Parameters!$C$20 - Fuzzy_Parameters!$C$19), 1, (Fuzzy_Parameters!$C$22 - Sheet7!E55)/(Fuzzy_Parameters!$C$22 - Fuzzy_Parameters!$C$21)), 0)</f>
        <v>0</v>
      </c>
      <c r="K55" s="25">
        <f>MAX(MIN((Sheet7!E55 - Fuzzy_Parameters!$C$21)/(Fuzzy_Parameters!$C$22 - Fuzzy_Parameters!$C$21), 1), 0)</f>
        <v>0</v>
      </c>
      <c r="L55" s="25">
        <f>MAX(MIN(1, (Fuzzy_Parameters!$C$28 - Sheet7!F55)/(Fuzzy_Parameters!$C$28 - Fuzzy_Parameters!$C$27)), 0)</f>
        <v>0</v>
      </c>
      <c r="M55" s="25">
        <f>MAX(MIN((Sheet7!F55 - Fuzzy_Parameters!$C$27)/(Fuzzy_Parameters!$C$28 - Fuzzy_Parameters!$C$27), 1, (Fuzzy_Parameters!$C$30 - Sheet7!F55)/(Fuzzy_Parameters!$C$30 - Fuzzy_Parameters!$C$29)), 0)</f>
        <v>1</v>
      </c>
      <c r="N55" s="25">
        <f>MAX(MIN((Sheet7!F55 - Fuzzy_Parameters!$C$29)/(Fuzzy_Parameters!$C$30 - Fuzzy_Parameters!$C$29), 1), 0)</f>
        <v>0</v>
      </c>
    </row>
    <row r="56">
      <c r="A56" s="6" t="s">
        <v>19</v>
      </c>
      <c r="B56" s="55">
        <v>2025.0</v>
      </c>
      <c r="C56" s="25">
        <f>MAX(MIN(1, (Fuzzy_Parameters!$C$4 - Sheet7!C56)/(Fuzzy_Parameters!$C$4 - Fuzzy_Parameters!$C$3)), 0)</f>
        <v>0.2876254181</v>
      </c>
      <c r="D56" s="25">
        <f>MAX(MIN((Sheet7!C56 - Fuzzy_Parameters!$C$3)/(Fuzzy_Parameters!$C$4 - Fuzzy_Parameters!$C$3), 1, (Fuzzy_Parameters!$C$6 - Sheet7!C56)/(Fuzzy_Parameters!$C$6 - Fuzzy_Parameters!$C$5)), 0)</f>
        <v>0.7123745819</v>
      </c>
      <c r="E56" s="25">
        <f>MAX(MIN((Sheet7!C56 - Fuzzy_Parameters!$C$5)/(Fuzzy_Parameters!$C$6 - Fuzzy_Parameters!$C$5), 1), 0)</f>
        <v>0</v>
      </c>
      <c r="F56" s="25">
        <f>MAX(MIN(1, (Fuzzy_Parameters!$C$12 - Sheet7!D56)/(Fuzzy_Parameters!$C$12 - Fuzzy_Parameters!$C$11)), 0)</f>
        <v>0</v>
      </c>
      <c r="G56" s="25">
        <f>MAX(MIN((Sheet7!D56 - Fuzzy_Parameters!$C$11)/(Fuzzy_Parameters!$C$12 - Fuzzy_Parameters!$C$11), 1, (Fuzzy_Parameters!$C$14 - Sheet7!D56)/(Fuzzy_Parameters!$C$14 - Fuzzy_Parameters!$C$13)), 0)</f>
        <v>0</v>
      </c>
      <c r="H56" s="25">
        <f>MAX(MIN((Sheet7!D56 - Fuzzy_Parameters!$C$13)/(Fuzzy_Parameters!$C$14 - Fuzzy_Parameters!$C$13), 1), 0)</f>
        <v>1</v>
      </c>
      <c r="I56" s="25">
        <f>MAX(MIN(1, (Fuzzy_Parameters!$C$20 - Sheet7!E56)/(Fuzzy_Parameters!$C$20 - Fuzzy_Parameters!$C$19)), 0)</f>
        <v>0</v>
      </c>
      <c r="J56" s="25">
        <f>MAX(MIN((Sheet7!E56 - Fuzzy_Parameters!$C$19)/(Fuzzy_Parameters!$C$20 - Fuzzy_Parameters!$C$19), 1, (Fuzzy_Parameters!$C$22 - Sheet7!E56)/(Fuzzy_Parameters!$C$22 - Fuzzy_Parameters!$C$21)), 0)</f>
        <v>0.01395348837</v>
      </c>
      <c r="K56" s="25">
        <f>MAX(MIN((Sheet7!E56 - Fuzzy_Parameters!$C$21)/(Fuzzy_Parameters!$C$22 - Fuzzy_Parameters!$C$21), 1), 0)</f>
        <v>0.9860465116</v>
      </c>
      <c r="L56" s="25">
        <f>MAX(MIN(1, (Fuzzy_Parameters!$C$28 - Sheet7!F56)/(Fuzzy_Parameters!$C$28 - Fuzzy_Parameters!$C$27)), 0)</f>
        <v>0</v>
      </c>
      <c r="M56" s="25">
        <f>MAX(MIN((Sheet7!F56 - Fuzzy_Parameters!$C$27)/(Fuzzy_Parameters!$C$28 - Fuzzy_Parameters!$C$27), 1, (Fuzzy_Parameters!$C$30 - Sheet7!F56)/(Fuzzy_Parameters!$C$30 - Fuzzy_Parameters!$C$29)), 0)</f>
        <v>1</v>
      </c>
      <c r="N56" s="25">
        <f>MAX(MIN((Sheet7!F56 - Fuzzy_Parameters!$C$29)/(Fuzzy_Parameters!$C$30 - Fuzzy_Parameters!$C$29), 1), 0)</f>
        <v>0</v>
      </c>
    </row>
    <row r="57">
      <c r="A57" s="6" t="s">
        <v>19</v>
      </c>
      <c r="B57" s="26">
        <v>2024.0</v>
      </c>
      <c r="C57" s="25">
        <f>MAX(MIN(1, (Fuzzy_Parameters!$C$4 - Sheet7!C57)/(Fuzzy_Parameters!$C$4 - Fuzzy_Parameters!$C$3)), 0)</f>
        <v>0.2129319955</v>
      </c>
      <c r="D57" s="25">
        <f>MAX(MIN((Sheet7!C57 - Fuzzy_Parameters!$C$3)/(Fuzzy_Parameters!$C$4 - Fuzzy_Parameters!$C$3), 1, (Fuzzy_Parameters!$C$6 - Sheet7!C57)/(Fuzzy_Parameters!$C$6 - Fuzzy_Parameters!$C$5)), 0)</f>
        <v>0.7870680045</v>
      </c>
      <c r="E57" s="25">
        <f>MAX(MIN((Sheet7!C57 - Fuzzy_Parameters!$C$5)/(Fuzzy_Parameters!$C$6 - Fuzzy_Parameters!$C$5), 1), 0)</f>
        <v>0</v>
      </c>
      <c r="F57" s="25">
        <f>MAX(MIN(1, (Fuzzy_Parameters!$C$12 - Sheet7!D57)/(Fuzzy_Parameters!$C$12 - Fuzzy_Parameters!$C$11)), 0)</f>
        <v>0</v>
      </c>
      <c r="G57" s="25">
        <f>MAX(MIN((Sheet7!D57 - Fuzzy_Parameters!$C$11)/(Fuzzy_Parameters!$C$12 - Fuzzy_Parameters!$C$11), 1, (Fuzzy_Parameters!$C$14 - Sheet7!D57)/(Fuzzy_Parameters!$C$14 - Fuzzy_Parameters!$C$13)), 0)</f>
        <v>0</v>
      </c>
      <c r="H57" s="25">
        <f>MAX(MIN((Sheet7!D57 - Fuzzy_Parameters!$C$13)/(Fuzzy_Parameters!$C$14 - Fuzzy_Parameters!$C$13), 1), 0)</f>
        <v>1</v>
      </c>
      <c r="I57" s="25">
        <f>MAX(MIN(1, (Fuzzy_Parameters!$C$20 - Sheet7!E57)/(Fuzzy_Parameters!$C$20 - Fuzzy_Parameters!$C$19)), 0)</f>
        <v>0</v>
      </c>
      <c r="J57" s="25">
        <f>MAX(MIN((Sheet7!E57 - Fuzzy_Parameters!$C$19)/(Fuzzy_Parameters!$C$20 - Fuzzy_Parameters!$C$19), 1, (Fuzzy_Parameters!$C$22 - Sheet7!E57)/(Fuzzy_Parameters!$C$22 - Fuzzy_Parameters!$C$21)), 0)</f>
        <v>0.1441860465</v>
      </c>
      <c r="K57" s="25">
        <f>MAX(MIN((Sheet7!E57 - Fuzzy_Parameters!$C$21)/(Fuzzy_Parameters!$C$22 - Fuzzy_Parameters!$C$21), 1), 0)</f>
        <v>0.8558139535</v>
      </c>
      <c r="L57" s="25">
        <f>MAX(MIN(1, (Fuzzy_Parameters!$C$28 - Sheet7!F57)/(Fuzzy_Parameters!$C$28 - Fuzzy_Parameters!$C$27)), 0)</f>
        <v>0</v>
      </c>
      <c r="M57" s="25">
        <f>MAX(MIN((Sheet7!F57 - Fuzzy_Parameters!$C$27)/(Fuzzy_Parameters!$C$28 - Fuzzy_Parameters!$C$27), 1, (Fuzzy_Parameters!$C$30 - Sheet7!F57)/(Fuzzy_Parameters!$C$30 - Fuzzy_Parameters!$C$29)), 0)</f>
        <v>1</v>
      </c>
      <c r="N57" s="25">
        <f>MAX(MIN((Sheet7!F57 - Fuzzy_Parameters!$C$29)/(Fuzzy_Parameters!$C$30 - Fuzzy_Parameters!$C$29), 1), 0)</f>
        <v>0</v>
      </c>
    </row>
    <row r="58">
      <c r="A58" s="6" t="s">
        <v>19</v>
      </c>
      <c r="B58" s="55">
        <v>2023.0</v>
      </c>
      <c r="C58" s="25">
        <f>MAX(MIN(1, (Fuzzy_Parameters!$C$4 - Sheet7!C58)/(Fuzzy_Parameters!$C$4 - Fuzzy_Parameters!$C$3)), 0)</f>
        <v>0</v>
      </c>
      <c r="D58" s="25">
        <f>MAX(MIN((Sheet7!C58 - Fuzzy_Parameters!$C$3)/(Fuzzy_Parameters!$C$4 - Fuzzy_Parameters!$C$3), 1, (Fuzzy_Parameters!$C$6 - Sheet7!C58)/(Fuzzy_Parameters!$C$6 - Fuzzy_Parameters!$C$5)), 0)</f>
        <v>1</v>
      </c>
      <c r="E58" s="25">
        <f>MAX(MIN((Sheet7!C58 - Fuzzy_Parameters!$C$5)/(Fuzzy_Parameters!$C$6 - Fuzzy_Parameters!$C$5), 1), 0)</f>
        <v>0</v>
      </c>
      <c r="F58" s="25">
        <f>MAX(MIN(1, (Fuzzy_Parameters!$C$12 - Sheet7!D58)/(Fuzzy_Parameters!$C$12 - Fuzzy_Parameters!$C$11)), 0)</f>
        <v>0</v>
      </c>
      <c r="G58" s="25">
        <f>MAX(MIN((Sheet7!D58 - Fuzzy_Parameters!$C$11)/(Fuzzy_Parameters!$C$12 - Fuzzy_Parameters!$C$11), 1, (Fuzzy_Parameters!$C$14 - Sheet7!D58)/(Fuzzy_Parameters!$C$14 - Fuzzy_Parameters!$C$13)), 0)</f>
        <v>0</v>
      </c>
      <c r="H58" s="25">
        <f>MAX(MIN((Sheet7!D58 - Fuzzy_Parameters!$C$13)/(Fuzzy_Parameters!$C$14 - Fuzzy_Parameters!$C$13), 1), 0)</f>
        <v>1</v>
      </c>
      <c r="I58" s="25">
        <f>MAX(MIN(1, (Fuzzy_Parameters!$C$20 - Sheet7!E58)/(Fuzzy_Parameters!$C$20 - Fuzzy_Parameters!$C$19)), 0)</f>
        <v>0</v>
      </c>
      <c r="J58" s="25">
        <f>MAX(MIN((Sheet7!E58 - Fuzzy_Parameters!$C$19)/(Fuzzy_Parameters!$C$20 - Fuzzy_Parameters!$C$19), 1, (Fuzzy_Parameters!$C$22 - Sheet7!E58)/(Fuzzy_Parameters!$C$22 - Fuzzy_Parameters!$C$21)), 0)</f>
        <v>1</v>
      </c>
      <c r="K58" s="25">
        <f>MAX(MIN((Sheet7!E58 - Fuzzy_Parameters!$C$21)/(Fuzzy_Parameters!$C$22 - Fuzzy_Parameters!$C$21), 1), 0)</f>
        <v>0</v>
      </c>
      <c r="L58" s="25">
        <f>MAX(MIN(1, (Fuzzy_Parameters!$C$28 - Sheet7!F58)/(Fuzzy_Parameters!$C$28 - Fuzzy_Parameters!$C$27)), 0)</f>
        <v>0</v>
      </c>
      <c r="M58" s="25">
        <f>MAX(MIN((Sheet7!F58 - Fuzzy_Parameters!$C$27)/(Fuzzy_Parameters!$C$28 - Fuzzy_Parameters!$C$27), 1, (Fuzzy_Parameters!$C$30 - Sheet7!F58)/(Fuzzy_Parameters!$C$30 - Fuzzy_Parameters!$C$29)), 0)</f>
        <v>0.9498749752</v>
      </c>
      <c r="N58" s="25">
        <f>MAX(MIN((Sheet7!F58 - Fuzzy_Parameters!$C$29)/(Fuzzy_Parameters!$C$30 - Fuzzy_Parameters!$C$29), 1), 0)</f>
        <v>0.05012502484</v>
      </c>
    </row>
    <row r="59">
      <c r="A59" s="6" t="s">
        <v>20</v>
      </c>
      <c r="B59" s="55">
        <v>2025.0</v>
      </c>
      <c r="C59" s="25">
        <f>MAX(MIN(1, (Fuzzy_Parameters!$C$4 - Sheet7!C59)/(Fuzzy_Parameters!$C$4 - Fuzzy_Parameters!$C$3)), 0)</f>
        <v>0</v>
      </c>
      <c r="D59" s="25">
        <f>MAX(MIN((Sheet7!C59 - Fuzzy_Parameters!$C$3)/(Fuzzy_Parameters!$C$4 - Fuzzy_Parameters!$C$3), 1, (Fuzzy_Parameters!$C$6 - Sheet7!C59)/(Fuzzy_Parameters!$C$6 - Fuzzy_Parameters!$C$5)), 0)</f>
        <v>0.6683558559</v>
      </c>
      <c r="E59" s="25">
        <f>MAX(MIN((Sheet7!C59 - Fuzzy_Parameters!$C$5)/(Fuzzy_Parameters!$C$6 - Fuzzy_Parameters!$C$5), 1), 0)</f>
        <v>0.3316441441</v>
      </c>
      <c r="F59" s="25">
        <f>MAX(MIN(1, (Fuzzy_Parameters!$C$12 - Sheet7!D59)/(Fuzzy_Parameters!$C$12 - Fuzzy_Parameters!$C$11)), 0)</f>
        <v>0.4513584575</v>
      </c>
      <c r="G59" s="25">
        <f>MAX(MIN((Sheet7!D59 - Fuzzy_Parameters!$C$11)/(Fuzzy_Parameters!$C$12 - Fuzzy_Parameters!$C$11), 1, (Fuzzy_Parameters!$C$14 - Sheet7!D59)/(Fuzzy_Parameters!$C$14 - Fuzzy_Parameters!$C$13)), 0)</f>
        <v>0.5486415425</v>
      </c>
      <c r="H59" s="25">
        <f>MAX(MIN((Sheet7!D59 - Fuzzy_Parameters!$C$13)/(Fuzzy_Parameters!$C$14 - Fuzzy_Parameters!$C$13), 1), 0)</f>
        <v>0</v>
      </c>
      <c r="I59" s="25">
        <f>MAX(MIN(1, (Fuzzy_Parameters!$C$20 - Sheet7!E59)/(Fuzzy_Parameters!$C$20 - Fuzzy_Parameters!$C$19)), 0)</f>
        <v>0.6693548387</v>
      </c>
      <c r="J59" s="25">
        <f>MAX(MIN((Sheet7!E59 - Fuzzy_Parameters!$C$19)/(Fuzzy_Parameters!$C$20 - Fuzzy_Parameters!$C$19), 1, (Fuzzy_Parameters!$C$22 - Sheet7!E59)/(Fuzzy_Parameters!$C$22 - Fuzzy_Parameters!$C$21)), 0)</f>
        <v>0.3306451613</v>
      </c>
      <c r="K59" s="25">
        <f>MAX(MIN((Sheet7!E59 - Fuzzy_Parameters!$C$21)/(Fuzzy_Parameters!$C$22 - Fuzzy_Parameters!$C$21), 1), 0)</f>
        <v>0</v>
      </c>
      <c r="L59" s="25">
        <f>MAX(MIN(1, (Fuzzy_Parameters!$C$28 - Sheet7!F59)/(Fuzzy_Parameters!$C$28 - Fuzzy_Parameters!$C$27)), 0)</f>
        <v>0.5631385063</v>
      </c>
      <c r="M59" s="25">
        <f>MAX(MIN((Sheet7!F59 - Fuzzy_Parameters!$C$27)/(Fuzzy_Parameters!$C$28 - Fuzzy_Parameters!$C$27), 1, (Fuzzy_Parameters!$C$30 - Sheet7!F59)/(Fuzzy_Parameters!$C$30 - Fuzzy_Parameters!$C$29)), 0)</f>
        <v>0.4368614937</v>
      </c>
      <c r="N59" s="25">
        <f>MAX(MIN((Sheet7!F59 - Fuzzy_Parameters!$C$29)/(Fuzzy_Parameters!$C$30 - Fuzzy_Parameters!$C$29), 1), 0)</f>
        <v>0</v>
      </c>
    </row>
    <row r="60">
      <c r="A60" s="6" t="s">
        <v>20</v>
      </c>
      <c r="B60" s="26">
        <v>2024.0</v>
      </c>
      <c r="C60" s="25">
        <f>MAX(MIN(1, (Fuzzy_Parameters!$C$4 - Sheet7!C60)/(Fuzzy_Parameters!$C$4 - Fuzzy_Parameters!$C$3)), 0)</f>
        <v>0</v>
      </c>
      <c r="D60" s="25">
        <f>MAX(MIN((Sheet7!C60 - Fuzzy_Parameters!$C$3)/(Fuzzy_Parameters!$C$4 - Fuzzy_Parameters!$C$3), 1, (Fuzzy_Parameters!$C$6 - Sheet7!C60)/(Fuzzy_Parameters!$C$6 - Fuzzy_Parameters!$C$5)), 0)</f>
        <v>0</v>
      </c>
      <c r="E60" s="25">
        <f>MAX(MIN((Sheet7!C60 - Fuzzy_Parameters!$C$5)/(Fuzzy_Parameters!$C$6 - Fuzzy_Parameters!$C$5), 1), 0)</f>
        <v>1</v>
      </c>
      <c r="F60" s="25">
        <f>MAX(MIN(1, (Fuzzy_Parameters!$C$12 - Sheet7!D60)/(Fuzzy_Parameters!$C$12 - Fuzzy_Parameters!$C$11)), 0)</f>
        <v>0.5363716039</v>
      </c>
      <c r="G60" s="25">
        <f>MAX(MIN((Sheet7!D60 - Fuzzy_Parameters!$C$11)/(Fuzzy_Parameters!$C$12 - Fuzzy_Parameters!$C$11), 1, (Fuzzy_Parameters!$C$14 - Sheet7!D60)/(Fuzzy_Parameters!$C$14 - Fuzzy_Parameters!$C$13)), 0)</f>
        <v>0.4636283961</v>
      </c>
      <c r="H60" s="25">
        <f>MAX(MIN((Sheet7!D60 - Fuzzy_Parameters!$C$13)/(Fuzzy_Parameters!$C$14 - Fuzzy_Parameters!$C$13), 1), 0)</f>
        <v>0</v>
      </c>
      <c r="I60" s="25">
        <f>MAX(MIN(1, (Fuzzy_Parameters!$C$20 - Sheet7!E60)/(Fuzzy_Parameters!$C$20 - Fuzzy_Parameters!$C$19)), 0)</f>
        <v>0.3064516129</v>
      </c>
      <c r="J60" s="25">
        <f>MAX(MIN((Sheet7!E60 - Fuzzy_Parameters!$C$19)/(Fuzzy_Parameters!$C$20 - Fuzzy_Parameters!$C$19), 1, (Fuzzy_Parameters!$C$22 - Sheet7!E60)/(Fuzzy_Parameters!$C$22 - Fuzzy_Parameters!$C$21)), 0)</f>
        <v>0.6935483871</v>
      </c>
      <c r="K60" s="25">
        <f>MAX(MIN((Sheet7!E60 - Fuzzy_Parameters!$C$21)/(Fuzzy_Parameters!$C$22 - Fuzzy_Parameters!$C$21), 1), 0)</f>
        <v>0</v>
      </c>
      <c r="L60" s="25">
        <f>MAX(MIN(1, (Fuzzy_Parameters!$C$28 - Sheet7!F60)/(Fuzzy_Parameters!$C$28 - Fuzzy_Parameters!$C$27)), 0)</f>
        <v>0.5631385063</v>
      </c>
      <c r="M60" s="25">
        <f>MAX(MIN((Sheet7!F60 - Fuzzy_Parameters!$C$27)/(Fuzzy_Parameters!$C$28 - Fuzzy_Parameters!$C$27), 1, (Fuzzy_Parameters!$C$30 - Sheet7!F60)/(Fuzzy_Parameters!$C$30 - Fuzzy_Parameters!$C$29)), 0)</f>
        <v>0.4368614937</v>
      </c>
      <c r="N60" s="25">
        <f>MAX(MIN((Sheet7!F60 - Fuzzy_Parameters!$C$29)/(Fuzzy_Parameters!$C$30 - Fuzzy_Parameters!$C$29), 1), 0)</f>
        <v>0</v>
      </c>
    </row>
    <row r="61">
      <c r="A61" s="6" t="s">
        <v>20</v>
      </c>
      <c r="B61" s="55">
        <v>2023.0</v>
      </c>
      <c r="C61" s="25">
        <f>MAX(MIN(1, (Fuzzy_Parameters!$C$4 - Sheet7!C61)/(Fuzzy_Parameters!$C$4 - Fuzzy_Parameters!$C$3)), 0)</f>
        <v>0</v>
      </c>
      <c r="D61" s="25">
        <f>MAX(MIN((Sheet7!C61 - Fuzzy_Parameters!$C$3)/(Fuzzy_Parameters!$C$4 - Fuzzy_Parameters!$C$3), 1, (Fuzzy_Parameters!$C$6 - Sheet7!C61)/(Fuzzy_Parameters!$C$6 - Fuzzy_Parameters!$C$5)), 0)</f>
        <v>0</v>
      </c>
      <c r="E61" s="25">
        <f>MAX(MIN((Sheet7!C61 - Fuzzy_Parameters!$C$5)/(Fuzzy_Parameters!$C$6 - Fuzzy_Parameters!$C$5), 1), 0)</f>
        <v>1</v>
      </c>
      <c r="F61" s="25">
        <f>MAX(MIN(1, (Fuzzy_Parameters!$C$12 - Sheet7!D61)/(Fuzzy_Parameters!$C$12 - Fuzzy_Parameters!$C$11)), 0)</f>
        <v>0.6345311131</v>
      </c>
      <c r="G61" s="25">
        <f>MAX(MIN((Sheet7!D61 - Fuzzy_Parameters!$C$11)/(Fuzzy_Parameters!$C$12 - Fuzzy_Parameters!$C$11), 1, (Fuzzy_Parameters!$C$14 - Sheet7!D61)/(Fuzzy_Parameters!$C$14 - Fuzzy_Parameters!$C$13)), 0)</f>
        <v>0.3654688869</v>
      </c>
      <c r="H61" s="25">
        <f>MAX(MIN((Sheet7!D61 - Fuzzy_Parameters!$C$13)/(Fuzzy_Parameters!$C$14 - Fuzzy_Parameters!$C$13), 1), 0)</f>
        <v>0</v>
      </c>
      <c r="I61" s="25">
        <f>MAX(MIN(1, (Fuzzy_Parameters!$C$20 - Sheet7!E61)/(Fuzzy_Parameters!$C$20 - Fuzzy_Parameters!$C$19)), 0)</f>
        <v>0.6612903226</v>
      </c>
      <c r="J61" s="25">
        <f>MAX(MIN((Sheet7!E61 - Fuzzy_Parameters!$C$19)/(Fuzzy_Parameters!$C$20 - Fuzzy_Parameters!$C$19), 1, (Fuzzy_Parameters!$C$22 - Sheet7!E61)/(Fuzzy_Parameters!$C$22 - Fuzzy_Parameters!$C$21)), 0)</f>
        <v>0.3387096774</v>
      </c>
      <c r="K61" s="25">
        <f>MAX(MIN((Sheet7!E61 - Fuzzy_Parameters!$C$21)/(Fuzzy_Parameters!$C$22 - Fuzzy_Parameters!$C$21), 1), 0)</f>
        <v>0</v>
      </c>
      <c r="L61" s="25">
        <f>MAX(MIN(1, (Fuzzy_Parameters!$C$28 - Sheet7!F61)/(Fuzzy_Parameters!$C$28 - Fuzzy_Parameters!$C$27)), 0)</f>
        <v>0.4813676254</v>
      </c>
      <c r="M61" s="25">
        <f>MAX(MIN((Sheet7!F61 - Fuzzy_Parameters!$C$27)/(Fuzzy_Parameters!$C$28 - Fuzzy_Parameters!$C$27), 1, (Fuzzy_Parameters!$C$30 - Sheet7!F61)/(Fuzzy_Parameters!$C$30 - Fuzzy_Parameters!$C$29)), 0)</f>
        <v>0.5186323746</v>
      </c>
      <c r="N61" s="25">
        <f>MAX(MIN((Sheet7!F61 - Fuzzy_Parameters!$C$29)/(Fuzzy_Parameters!$C$30 - Fuzzy_Parameters!$C$29), 1), 0)</f>
        <v>0</v>
      </c>
    </row>
    <row r="62">
      <c r="A62" s="6" t="s">
        <v>21</v>
      </c>
      <c r="B62" s="55">
        <v>2025.0</v>
      </c>
      <c r="C62" s="25">
        <f>MAX(MIN(1, (Fuzzy_Parameters!$C$4 - Sheet7!C62)/(Fuzzy_Parameters!$C$4 - Fuzzy_Parameters!$C$3)), 0)</f>
        <v>0</v>
      </c>
      <c r="D62" s="25">
        <f>MAX(MIN((Sheet7!C62 - Fuzzy_Parameters!$C$3)/(Fuzzy_Parameters!$C$4 - Fuzzy_Parameters!$C$3), 1, (Fuzzy_Parameters!$C$6 - Sheet7!C62)/(Fuzzy_Parameters!$C$6 - Fuzzy_Parameters!$C$5)), 0)</f>
        <v>0</v>
      </c>
      <c r="E62" s="25">
        <f>MAX(MIN((Sheet7!C62 - Fuzzy_Parameters!$C$5)/(Fuzzy_Parameters!$C$6 - Fuzzy_Parameters!$C$5), 1), 0)</f>
        <v>1</v>
      </c>
      <c r="F62" s="25">
        <f>MAX(MIN(1, (Fuzzy_Parameters!$C$12 - Sheet7!D62)/(Fuzzy_Parameters!$C$12 - Fuzzy_Parameters!$C$11)), 0)</f>
        <v>0</v>
      </c>
      <c r="G62" s="25">
        <f>MAX(MIN((Sheet7!D62 - Fuzzy_Parameters!$C$11)/(Fuzzy_Parameters!$C$12 - Fuzzy_Parameters!$C$11), 1, (Fuzzy_Parameters!$C$14 - Sheet7!D62)/(Fuzzy_Parameters!$C$14 - Fuzzy_Parameters!$C$13)), 0)</f>
        <v>1</v>
      </c>
      <c r="H62" s="25">
        <f>MAX(MIN((Sheet7!D62 - Fuzzy_Parameters!$C$13)/(Fuzzy_Parameters!$C$14 - Fuzzy_Parameters!$C$13), 1), 0)</f>
        <v>0</v>
      </c>
      <c r="I62" s="25">
        <f>MAX(MIN(1, (Fuzzy_Parameters!$C$20 - Sheet7!E62)/(Fuzzy_Parameters!$C$20 - Fuzzy_Parameters!$C$19)), 0)</f>
        <v>0.9838709677</v>
      </c>
      <c r="J62" s="25">
        <f>MAX(MIN((Sheet7!E62 - Fuzzy_Parameters!$C$19)/(Fuzzy_Parameters!$C$20 - Fuzzy_Parameters!$C$19), 1, (Fuzzy_Parameters!$C$22 - Sheet7!E62)/(Fuzzy_Parameters!$C$22 - Fuzzy_Parameters!$C$21)), 0)</f>
        <v>0.01612903226</v>
      </c>
      <c r="K62" s="25">
        <f>MAX(MIN((Sheet7!E62 - Fuzzy_Parameters!$C$21)/(Fuzzy_Parameters!$C$22 - Fuzzy_Parameters!$C$21), 1), 0)</f>
        <v>0</v>
      </c>
      <c r="L62" s="25">
        <f>MAX(MIN(1, (Fuzzy_Parameters!$C$28 - Sheet7!F62)/(Fuzzy_Parameters!$C$28 - Fuzzy_Parameters!$C$27)), 0)</f>
        <v>0</v>
      </c>
      <c r="M62" s="25">
        <f>MAX(MIN((Sheet7!F62 - Fuzzy_Parameters!$C$27)/(Fuzzy_Parameters!$C$28 - Fuzzy_Parameters!$C$27), 1, (Fuzzy_Parameters!$C$30 - Sheet7!F62)/(Fuzzy_Parameters!$C$30 - Fuzzy_Parameters!$C$29)), 0)</f>
        <v>0</v>
      </c>
      <c r="N62" s="25">
        <f>MAX(MIN((Sheet7!F62 - Fuzzy_Parameters!$C$29)/(Fuzzy_Parameters!$C$30 - Fuzzy_Parameters!$C$29), 1), 0)</f>
        <v>1</v>
      </c>
    </row>
    <row r="63">
      <c r="A63" s="6" t="s">
        <v>21</v>
      </c>
      <c r="B63" s="26">
        <v>2024.0</v>
      </c>
      <c r="C63" s="25">
        <f>MAX(MIN(1, (Fuzzy_Parameters!$C$4 - Sheet7!C63)/(Fuzzy_Parameters!$C$4 - Fuzzy_Parameters!$C$3)), 0)</f>
        <v>0</v>
      </c>
      <c r="D63" s="25">
        <f>MAX(MIN((Sheet7!C63 - Fuzzy_Parameters!$C$3)/(Fuzzy_Parameters!$C$4 - Fuzzy_Parameters!$C$3), 1, (Fuzzy_Parameters!$C$6 - Sheet7!C63)/(Fuzzy_Parameters!$C$6 - Fuzzy_Parameters!$C$5)), 0)</f>
        <v>0.001126126126</v>
      </c>
      <c r="E63" s="25">
        <f>MAX(MIN((Sheet7!C63 - Fuzzy_Parameters!$C$5)/(Fuzzy_Parameters!$C$6 - Fuzzy_Parameters!$C$5), 1), 0)</f>
        <v>0.9988738739</v>
      </c>
      <c r="F63" s="25">
        <f>MAX(MIN(1, (Fuzzy_Parameters!$C$12 - Sheet7!D63)/(Fuzzy_Parameters!$C$12 - Fuzzy_Parameters!$C$11)), 0)</f>
        <v>0</v>
      </c>
      <c r="G63" s="25">
        <f>MAX(MIN((Sheet7!D63 - Fuzzy_Parameters!$C$11)/(Fuzzy_Parameters!$C$12 - Fuzzy_Parameters!$C$11), 1, (Fuzzy_Parameters!$C$14 - Sheet7!D63)/(Fuzzy_Parameters!$C$14 - Fuzzy_Parameters!$C$13)), 0)</f>
        <v>1</v>
      </c>
      <c r="H63" s="25">
        <f>MAX(MIN((Sheet7!D63 - Fuzzy_Parameters!$C$13)/(Fuzzy_Parameters!$C$14 - Fuzzy_Parameters!$C$13), 1), 0)</f>
        <v>0</v>
      </c>
      <c r="I63" s="25">
        <f>MAX(MIN(1, (Fuzzy_Parameters!$C$20 - Sheet7!E63)/(Fuzzy_Parameters!$C$20 - Fuzzy_Parameters!$C$19)), 0)</f>
        <v>0.8790322581</v>
      </c>
      <c r="J63" s="25">
        <f>MAX(MIN((Sheet7!E63 - Fuzzy_Parameters!$C$19)/(Fuzzy_Parameters!$C$20 - Fuzzy_Parameters!$C$19), 1, (Fuzzy_Parameters!$C$22 - Sheet7!E63)/(Fuzzy_Parameters!$C$22 - Fuzzy_Parameters!$C$21)), 0)</f>
        <v>0.1209677419</v>
      </c>
      <c r="K63" s="25">
        <f>MAX(MIN((Sheet7!E63 - Fuzzy_Parameters!$C$21)/(Fuzzy_Parameters!$C$22 - Fuzzy_Parameters!$C$21), 1), 0)</f>
        <v>0</v>
      </c>
      <c r="L63" s="25">
        <f>MAX(MIN(1, (Fuzzy_Parameters!$C$28 - Sheet7!F63)/(Fuzzy_Parameters!$C$28 - Fuzzy_Parameters!$C$27)), 0)</f>
        <v>0</v>
      </c>
      <c r="M63" s="25">
        <f>MAX(MIN((Sheet7!F63 - Fuzzy_Parameters!$C$27)/(Fuzzy_Parameters!$C$28 - Fuzzy_Parameters!$C$27), 1, (Fuzzy_Parameters!$C$30 - Sheet7!F63)/(Fuzzy_Parameters!$C$30 - Fuzzy_Parameters!$C$29)), 0)</f>
        <v>0</v>
      </c>
      <c r="N63" s="25">
        <f>MAX(MIN((Sheet7!F63 - Fuzzy_Parameters!$C$29)/(Fuzzy_Parameters!$C$30 - Fuzzy_Parameters!$C$29), 1), 0)</f>
        <v>1</v>
      </c>
    </row>
    <row r="64">
      <c r="A64" s="6" t="s">
        <v>21</v>
      </c>
      <c r="B64" s="55">
        <v>2023.0</v>
      </c>
      <c r="C64" s="25">
        <f>MAX(MIN(1, (Fuzzy_Parameters!$C$4 - Sheet7!C64)/(Fuzzy_Parameters!$C$4 - Fuzzy_Parameters!$C$3)), 0)</f>
        <v>0</v>
      </c>
      <c r="D64" s="25">
        <f>MAX(MIN((Sheet7!C64 - Fuzzy_Parameters!$C$3)/(Fuzzy_Parameters!$C$4 - Fuzzy_Parameters!$C$3), 1, (Fuzzy_Parameters!$C$6 - Sheet7!C64)/(Fuzzy_Parameters!$C$6 - Fuzzy_Parameters!$C$5)), 0)</f>
        <v>0.3620495495</v>
      </c>
      <c r="E64" s="25">
        <f>MAX(MIN((Sheet7!C64 - Fuzzy_Parameters!$C$5)/(Fuzzy_Parameters!$C$6 - Fuzzy_Parameters!$C$5), 1), 0)</f>
        <v>0.6379504505</v>
      </c>
      <c r="F64" s="25">
        <f>MAX(MIN(1, (Fuzzy_Parameters!$C$12 - Sheet7!D64)/(Fuzzy_Parameters!$C$12 - Fuzzy_Parameters!$C$11)), 0)</f>
        <v>0</v>
      </c>
      <c r="G64" s="25">
        <f>MAX(MIN((Sheet7!D64 - Fuzzy_Parameters!$C$11)/(Fuzzy_Parameters!$C$12 - Fuzzy_Parameters!$C$11), 1, (Fuzzy_Parameters!$C$14 - Sheet7!D64)/(Fuzzy_Parameters!$C$14 - Fuzzy_Parameters!$C$13)), 0)</f>
        <v>1</v>
      </c>
      <c r="H64" s="25">
        <f>MAX(MIN((Sheet7!D64 - Fuzzy_Parameters!$C$13)/(Fuzzy_Parameters!$C$14 - Fuzzy_Parameters!$C$13), 1), 0)</f>
        <v>0</v>
      </c>
      <c r="I64" s="25">
        <f>MAX(MIN(1, (Fuzzy_Parameters!$C$20 - Sheet7!E64)/(Fuzzy_Parameters!$C$20 - Fuzzy_Parameters!$C$19)), 0)</f>
        <v>1</v>
      </c>
      <c r="J64" s="25">
        <f>MAX(MIN((Sheet7!E64 - Fuzzy_Parameters!$C$19)/(Fuzzy_Parameters!$C$20 - Fuzzy_Parameters!$C$19), 1, (Fuzzy_Parameters!$C$22 - Sheet7!E64)/(Fuzzy_Parameters!$C$22 - Fuzzy_Parameters!$C$21)), 0)</f>
        <v>0</v>
      </c>
      <c r="K64" s="25">
        <f>MAX(MIN((Sheet7!E64 - Fuzzy_Parameters!$C$21)/(Fuzzy_Parameters!$C$22 - Fuzzy_Parameters!$C$21), 1), 0)</f>
        <v>0</v>
      </c>
      <c r="L64" s="25">
        <f>MAX(MIN(1, (Fuzzy_Parameters!$C$28 - Sheet7!F64)/(Fuzzy_Parameters!$C$28 - Fuzzy_Parameters!$C$27)), 0)</f>
        <v>0</v>
      </c>
      <c r="M64" s="25">
        <f>MAX(MIN((Sheet7!F64 - Fuzzy_Parameters!$C$27)/(Fuzzy_Parameters!$C$28 - Fuzzy_Parameters!$C$27), 1, (Fuzzy_Parameters!$C$30 - Sheet7!F64)/(Fuzzy_Parameters!$C$30 - Fuzzy_Parameters!$C$29)), 0)</f>
        <v>0</v>
      </c>
      <c r="N64" s="25">
        <f>MAX(MIN((Sheet7!F64 - Fuzzy_Parameters!$C$29)/(Fuzzy_Parameters!$C$30 - Fuzzy_Parameters!$C$29), 1), 0)</f>
        <v>1</v>
      </c>
    </row>
    <row r="65">
      <c r="A65" s="6" t="s">
        <v>22</v>
      </c>
      <c r="B65" s="55">
        <v>2025.0</v>
      </c>
      <c r="C65" s="25">
        <f>MAX(MIN(1, (Fuzzy_Parameters!$C$4 - Sheet7!C65)/(Fuzzy_Parameters!$C$4 - Fuzzy_Parameters!$C$3)), 0)</f>
        <v>0</v>
      </c>
      <c r="D65" s="25">
        <f>MAX(MIN((Sheet7!C65 - Fuzzy_Parameters!$C$3)/(Fuzzy_Parameters!$C$4 - Fuzzy_Parameters!$C$3), 1, (Fuzzy_Parameters!$C$6 - Sheet7!C65)/(Fuzzy_Parameters!$C$6 - Fuzzy_Parameters!$C$5)), 0)</f>
        <v>0.8336148649</v>
      </c>
      <c r="E65" s="25">
        <f>MAX(MIN((Sheet7!C65 - Fuzzy_Parameters!$C$5)/(Fuzzy_Parameters!$C$6 - Fuzzy_Parameters!$C$5), 1), 0)</f>
        <v>0.1663851351</v>
      </c>
      <c r="F65" s="25">
        <f>MAX(MIN(1, (Fuzzy_Parameters!$C$12 - Sheet7!D65)/(Fuzzy_Parameters!$C$12 - Fuzzy_Parameters!$C$11)), 0)</f>
        <v>0</v>
      </c>
      <c r="G65" s="25">
        <f>MAX(MIN((Sheet7!D65 - Fuzzy_Parameters!$C$11)/(Fuzzy_Parameters!$C$12 - Fuzzy_Parameters!$C$11), 1, (Fuzzy_Parameters!$C$14 - Sheet7!D65)/(Fuzzy_Parameters!$C$14 - Fuzzy_Parameters!$C$13)), 0)</f>
        <v>0.5249859629</v>
      </c>
      <c r="H65" s="25">
        <f>MAX(MIN((Sheet7!D65 - Fuzzy_Parameters!$C$13)/(Fuzzy_Parameters!$C$14 - Fuzzy_Parameters!$C$13), 1), 0)</f>
        <v>0.4750140371</v>
      </c>
      <c r="I65" s="25">
        <f>MAX(MIN(1, (Fuzzy_Parameters!$C$20 - Sheet7!E65)/(Fuzzy_Parameters!$C$20 - Fuzzy_Parameters!$C$19)), 0)</f>
        <v>0</v>
      </c>
      <c r="J65" s="25">
        <f>MAX(MIN((Sheet7!E65 - Fuzzy_Parameters!$C$19)/(Fuzzy_Parameters!$C$20 - Fuzzy_Parameters!$C$19), 1, (Fuzzy_Parameters!$C$22 - Sheet7!E65)/(Fuzzy_Parameters!$C$22 - Fuzzy_Parameters!$C$21)), 0)</f>
        <v>0</v>
      </c>
      <c r="K65" s="25">
        <f>MAX(MIN((Sheet7!E65 - Fuzzy_Parameters!$C$21)/(Fuzzy_Parameters!$C$22 - Fuzzy_Parameters!$C$21), 1), 0)</f>
        <v>1</v>
      </c>
      <c r="L65" s="25">
        <f>MAX(MIN(1, (Fuzzy_Parameters!$C$28 - Sheet7!F65)/(Fuzzy_Parameters!$C$28 - Fuzzy_Parameters!$C$27)), 0)</f>
        <v>0.9692964932</v>
      </c>
      <c r="M65" s="25">
        <f>MAX(MIN((Sheet7!F65 - Fuzzy_Parameters!$C$27)/(Fuzzy_Parameters!$C$28 - Fuzzy_Parameters!$C$27), 1, (Fuzzy_Parameters!$C$30 - Sheet7!F65)/(Fuzzy_Parameters!$C$30 - Fuzzy_Parameters!$C$29)), 0)</f>
        <v>0.03070350678</v>
      </c>
      <c r="N65" s="25">
        <f>MAX(MIN((Sheet7!F65 - Fuzzy_Parameters!$C$29)/(Fuzzy_Parameters!$C$30 - Fuzzy_Parameters!$C$29), 1), 0)</f>
        <v>0</v>
      </c>
    </row>
    <row r="66">
      <c r="A66" s="6" t="s">
        <v>22</v>
      </c>
      <c r="B66" s="26">
        <v>2024.0</v>
      </c>
      <c r="C66" s="25">
        <f>MAX(MIN(1, (Fuzzy_Parameters!$C$4 - Sheet7!C66)/(Fuzzy_Parameters!$C$4 - Fuzzy_Parameters!$C$3)), 0)</f>
        <v>0</v>
      </c>
      <c r="D66" s="25">
        <f>MAX(MIN((Sheet7!C66 - Fuzzy_Parameters!$C$3)/(Fuzzy_Parameters!$C$4 - Fuzzy_Parameters!$C$3), 1, (Fuzzy_Parameters!$C$6 - Sheet7!C66)/(Fuzzy_Parameters!$C$6 - Fuzzy_Parameters!$C$5)), 0)</f>
        <v>0.9940878378</v>
      </c>
      <c r="E66" s="25">
        <f>MAX(MIN((Sheet7!C66 - Fuzzy_Parameters!$C$5)/(Fuzzy_Parameters!$C$6 - Fuzzy_Parameters!$C$5), 1), 0)</f>
        <v>0.005912162162</v>
      </c>
      <c r="F66" s="25">
        <f>MAX(MIN(1, (Fuzzy_Parameters!$C$12 - Sheet7!D66)/(Fuzzy_Parameters!$C$12 - Fuzzy_Parameters!$C$11)), 0)</f>
        <v>0</v>
      </c>
      <c r="G66" s="25">
        <f>MAX(MIN((Sheet7!D66 - Fuzzy_Parameters!$C$11)/(Fuzzy_Parameters!$C$12 - Fuzzy_Parameters!$C$11), 1, (Fuzzy_Parameters!$C$14 - Sheet7!D66)/(Fuzzy_Parameters!$C$14 - Fuzzy_Parameters!$C$13)), 0)</f>
        <v>0.6822010107</v>
      </c>
      <c r="H66" s="25">
        <f>MAX(MIN((Sheet7!D66 - Fuzzy_Parameters!$C$13)/(Fuzzy_Parameters!$C$14 - Fuzzy_Parameters!$C$13), 1), 0)</f>
        <v>0.3177989893</v>
      </c>
      <c r="I66" s="25">
        <f>MAX(MIN(1, (Fuzzy_Parameters!$C$20 - Sheet7!E66)/(Fuzzy_Parameters!$C$20 - Fuzzy_Parameters!$C$19)), 0)</f>
        <v>0</v>
      </c>
      <c r="J66" s="25">
        <f>MAX(MIN((Sheet7!E66 - Fuzzy_Parameters!$C$19)/(Fuzzy_Parameters!$C$20 - Fuzzy_Parameters!$C$19), 1, (Fuzzy_Parameters!$C$22 - Sheet7!E66)/(Fuzzy_Parameters!$C$22 - Fuzzy_Parameters!$C$21)), 0)</f>
        <v>0</v>
      </c>
      <c r="K66" s="25">
        <f>MAX(MIN((Sheet7!E66 - Fuzzy_Parameters!$C$21)/(Fuzzy_Parameters!$C$22 - Fuzzy_Parameters!$C$21), 1), 0)</f>
        <v>1</v>
      </c>
      <c r="L66" s="25">
        <f>MAX(MIN(1, (Fuzzy_Parameters!$C$28 - Sheet7!F66)/(Fuzzy_Parameters!$C$28 - Fuzzy_Parameters!$C$27)), 0)</f>
        <v>0.7609107821</v>
      </c>
      <c r="M66" s="25">
        <f>MAX(MIN((Sheet7!F66 - Fuzzy_Parameters!$C$27)/(Fuzzy_Parameters!$C$28 - Fuzzy_Parameters!$C$27), 1, (Fuzzy_Parameters!$C$30 - Sheet7!F66)/(Fuzzy_Parameters!$C$30 - Fuzzy_Parameters!$C$29)), 0)</f>
        <v>0.2390892179</v>
      </c>
      <c r="N66" s="25">
        <f>MAX(MIN((Sheet7!F66 - Fuzzy_Parameters!$C$29)/(Fuzzy_Parameters!$C$30 - Fuzzy_Parameters!$C$29), 1), 0)</f>
        <v>0</v>
      </c>
    </row>
    <row r="67">
      <c r="A67" s="6" t="s">
        <v>22</v>
      </c>
      <c r="B67" s="55">
        <v>2023.0</v>
      </c>
      <c r="C67" s="25">
        <f>MAX(MIN(1, (Fuzzy_Parameters!$C$4 - Sheet7!C67)/(Fuzzy_Parameters!$C$4 - Fuzzy_Parameters!$C$3)), 0)</f>
        <v>0</v>
      </c>
      <c r="D67" s="25">
        <f>MAX(MIN((Sheet7!C67 - Fuzzy_Parameters!$C$3)/(Fuzzy_Parameters!$C$4 - Fuzzy_Parameters!$C$3), 1, (Fuzzy_Parameters!$C$6 - Sheet7!C67)/(Fuzzy_Parameters!$C$6 - Fuzzy_Parameters!$C$5)), 0)</f>
        <v>1</v>
      </c>
      <c r="E67" s="25">
        <f>MAX(MIN((Sheet7!C67 - Fuzzy_Parameters!$C$5)/(Fuzzy_Parameters!$C$6 - Fuzzy_Parameters!$C$5), 1), 0)</f>
        <v>0</v>
      </c>
      <c r="F67" s="25">
        <f>MAX(MIN(1, (Fuzzy_Parameters!$C$12 - Sheet7!D67)/(Fuzzy_Parameters!$C$12 - Fuzzy_Parameters!$C$11)), 0)</f>
        <v>0</v>
      </c>
      <c r="G67" s="25">
        <f>MAX(MIN((Sheet7!D67 - Fuzzy_Parameters!$C$11)/(Fuzzy_Parameters!$C$12 - Fuzzy_Parameters!$C$11), 1, (Fuzzy_Parameters!$C$14 - Sheet7!D67)/(Fuzzy_Parameters!$C$14 - Fuzzy_Parameters!$C$13)), 0)</f>
        <v>0.7119595733</v>
      </c>
      <c r="H67" s="25">
        <f>MAX(MIN((Sheet7!D67 - Fuzzy_Parameters!$C$13)/(Fuzzy_Parameters!$C$14 - Fuzzy_Parameters!$C$13), 1), 0)</f>
        <v>0.2880404267</v>
      </c>
      <c r="I67" s="25">
        <f>MAX(MIN(1, (Fuzzy_Parameters!$C$20 - Sheet7!E67)/(Fuzzy_Parameters!$C$20 - Fuzzy_Parameters!$C$19)), 0)</f>
        <v>0</v>
      </c>
      <c r="J67" s="25">
        <f>MAX(MIN((Sheet7!E67 - Fuzzy_Parameters!$C$19)/(Fuzzy_Parameters!$C$20 - Fuzzy_Parameters!$C$19), 1, (Fuzzy_Parameters!$C$22 - Sheet7!E67)/(Fuzzy_Parameters!$C$22 - Fuzzy_Parameters!$C$21)), 0)</f>
        <v>0.2604651163</v>
      </c>
      <c r="K67" s="25">
        <f>MAX(MIN((Sheet7!E67 - Fuzzy_Parameters!$C$21)/(Fuzzy_Parameters!$C$22 - Fuzzy_Parameters!$C$21), 1), 0)</f>
        <v>0.7395348837</v>
      </c>
      <c r="L67" s="25">
        <f>MAX(MIN(1, (Fuzzy_Parameters!$C$28 - Sheet7!F67)/(Fuzzy_Parameters!$C$28 - Fuzzy_Parameters!$C$27)), 0)</f>
        <v>0.618624784</v>
      </c>
      <c r="M67" s="25">
        <f>MAX(MIN((Sheet7!F67 - Fuzzy_Parameters!$C$27)/(Fuzzy_Parameters!$C$28 - Fuzzy_Parameters!$C$27), 1, (Fuzzy_Parameters!$C$30 - Sheet7!F67)/(Fuzzy_Parameters!$C$30 - Fuzzy_Parameters!$C$29)), 0)</f>
        <v>0.381375216</v>
      </c>
      <c r="N67" s="25">
        <f>MAX(MIN((Sheet7!F67 - Fuzzy_Parameters!$C$29)/(Fuzzy_Parameters!$C$30 - Fuzzy_Parameters!$C$29), 1), 0)</f>
        <v>0</v>
      </c>
    </row>
    <row r="68">
      <c r="A68" s="6" t="s">
        <v>24</v>
      </c>
      <c r="B68" s="55">
        <v>2025.0</v>
      </c>
      <c r="C68" s="25">
        <f>MAX(MIN(1, (Fuzzy_Parameters!$C$4 - Sheet7!C68)/(Fuzzy_Parameters!$C$4 - Fuzzy_Parameters!$C$3)), 0)</f>
        <v>1</v>
      </c>
      <c r="D68" s="25">
        <f>MAX(MIN((Sheet7!C68 - Fuzzy_Parameters!$C$3)/(Fuzzy_Parameters!$C$4 - Fuzzy_Parameters!$C$3), 1, (Fuzzy_Parameters!$C$6 - Sheet7!C68)/(Fuzzy_Parameters!$C$6 - Fuzzy_Parameters!$C$5)), 0)</f>
        <v>0</v>
      </c>
      <c r="E68" s="25">
        <f>MAX(MIN((Sheet7!C68 - Fuzzy_Parameters!$C$5)/(Fuzzy_Parameters!$C$6 - Fuzzy_Parameters!$C$5), 1), 0)</f>
        <v>0</v>
      </c>
      <c r="F68" s="25">
        <f>MAX(MIN(1, (Fuzzy_Parameters!$C$12 - Sheet7!D68)/(Fuzzy_Parameters!$C$12 - Fuzzy_Parameters!$C$11)), 0)</f>
        <v>0</v>
      </c>
      <c r="G68" s="25">
        <f>MAX(MIN((Sheet7!D68 - Fuzzy_Parameters!$C$11)/(Fuzzy_Parameters!$C$12 - Fuzzy_Parameters!$C$11), 1, (Fuzzy_Parameters!$C$14 - Sheet7!D68)/(Fuzzy_Parameters!$C$14 - Fuzzy_Parameters!$C$13)), 0)</f>
        <v>0</v>
      </c>
      <c r="H68" s="25">
        <f>MAX(MIN((Sheet7!D68 - Fuzzy_Parameters!$C$13)/(Fuzzy_Parameters!$C$14 - Fuzzy_Parameters!$C$13), 1), 0)</f>
        <v>1</v>
      </c>
      <c r="I68" s="25">
        <f>MAX(MIN(1, (Fuzzy_Parameters!$C$20 - Sheet7!E68)/(Fuzzy_Parameters!$C$20 - Fuzzy_Parameters!$C$19)), 0)</f>
        <v>1</v>
      </c>
      <c r="J68" s="25">
        <f>MAX(MIN((Sheet7!E68 - Fuzzy_Parameters!$C$19)/(Fuzzy_Parameters!$C$20 - Fuzzy_Parameters!$C$19), 1, (Fuzzy_Parameters!$C$22 - Sheet7!E68)/(Fuzzy_Parameters!$C$22 - Fuzzy_Parameters!$C$21)), 0)</f>
        <v>0</v>
      </c>
      <c r="K68" s="25">
        <f>MAX(MIN((Sheet7!E68 - Fuzzy_Parameters!$C$21)/(Fuzzy_Parameters!$C$22 - Fuzzy_Parameters!$C$21), 1), 0)</f>
        <v>0</v>
      </c>
      <c r="L68" s="25">
        <f>MAX(MIN(1, (Fuzzy_Parameters!$C$28 - Sheet7!F68)/(Fuzzy_Parameters!$C$28 - Fuzzy_Parameters!$C$27)), 0)</f>
        <v>0</v>
      </c>
      <c r="M68" s="25">
        <f>MAX(MIN((Sheet7!F68 - Fuzzy_Parameters!$C$27)/(Fuzzy_Parameters!$C$28 - Fuzzy_Parameters!$C$27), 1, (Fuzzy_Parameters!$C$30 - Sheet7!F68)/(Fuzzy_Parameters!$C$30 - Fuzzy_Parameters!$C$29)), 0)</f>
        <v>1</v>
      </c>
      <c r="N68" s="25">
        <f>MAX(MIN((Sheet7!F68 - Fuzzy_Parameters!$C$29)/(Fuzzy_Parameters!$C$30 - Fuzzy_Parameters!$C$29), 1), 0)</f>
        <v>0</v>
      </c>
    </row>
    <row r="69">
      <c r="A69" s="6" t="s">
        <v>24</v>
      </c>
      <c r="B69" s="26">
        <v>2024.0</v>
      </c>
      <c r="C69" s="25">
        <f>MAX(MIN(1, (Fuzzy_Parameters!$C$4 - Sheet7!C69)/(Fuzzy_Parameters!$C$4 - Fuzzy_Parameters!$C$3)), 0)</f>
        <v>1</v>
      </c>
      <c r="D69" s="25">
        <f>MAX(MIN((Sheet7!C69 - Fuzzy_Parameters!$C$3)/(Fuzzy_Parameters!$C$4 - Fuzzy_Parameters!$C$3), 1, (Fuzzy_Parameters!$C$6 - Sheet7!C69)/(Fuzzy_Parameters!$C$6 - Fuzzy_Parameters!$C$5)), 0)</f>
        <v>0</v>
      </c>
      <c r="E69" s="25">
        <f>MAX(MIN((Sheet7!C69 - Fuzzy_Parameters!$C$5)/(Fuzzy_Parameters!$C$6 - Fuzzy_Parameters!$C$5), 1), 0)</f>
        <v>0</v>
      </c>
      <c r="F69" s="25">
        <f>MAX(MIN(1, (Fuzzy_Parameters!$C$12 - Sheet7!D69)/(Fuzzy_Parameters!$C$12 - Fuzzy_Parameters!$C$11)), 0)</f>
        <v>1</v>
      </c>
      <c r="G69" s="25">
        <f>MAX(MIN((Sheet7!D69 - Fuzzy_Parameters!$C$11)/(Fuzzy_Parameters!$C$12 - Fuzzy_Parameters!$C$11), 1, (Fuzzy_Parameters!$C$14 - Sheet7!D69)/(Fuzzy_Parameters!$C$14 - Fuzzy_Parameters!$C$13)), 0)</f>
        <v>0</v>
      </c>
      <c r="H69" s="25">
        <f>MAX(MIN((Sheet7!D69 - Fuzzy_Parameters!$C$13)/(Fuzzy_Parameters!$C$14 - Fuzzy_Parameters!$C$13), 1), 0)</f>
        <v>0</v>
      </c>
      <c r="I69" s="25">
        <f>MAX(MIN(1, (Fuzzy_Parameters!$C$20 - Sheet7!E69)/(Fuzzy_Parameters!$C$20 - Fuzzy_Parameters!$C$19)), 0)</f>
        <v>1</v>
      </c>
      <c r="J69" s="25">
        <f>MAX(MIN((Sheet7!E69 - Fuzzy_Parameters!$C$19)/(Fuzzy_Parameters!$C$20 - Fuzzy_Parameters!$C$19), 1, (Fuzzy_Parameters!$C$22 - Sheet7!E69)/(Fuzzy_Parameters!$C$22 - Fuzzy_Parameters!$C$21)), 0)</f>
        <v>0</v>
      </c>
      <c r="K69" s="25">
        <f>MAX(MIN((Sheet7!E69 - Fuzzy_Parameters!$C$21)/(Fuzzy_Parameters!$C$22 - Fuzzy_Parameters!$C$21), 1), 0)</f>
        <v>0</v>
      </c>
      <c r="L69" s="25">
        <f>MAX(MIN(1, (Fuzzy_Parameters!$C$28 - Sheet7!F69)/(Fuzzy_Parameters!$C$28 - Fuzzy_Parameters!$C$27)), 0)</f>
        <v>0</v>
      </c>
      <c r="M69" s="25">
        <f>MAX(MIN((Sheet7!F69 - Fuzzy_Parameters!$C$27)/(Fuzzy_Parameters!$C$28 - Fuzzy_Parameters!$C$27), 1, (Fuzzy_Parameters!$C$30 - Sheet7!F69)/(Fuzzy_Parameters!$C$30 - Fuzzy_Parameters!$C$29)), 0)</f>
        <v>1</v>
      </c>
      <c r="N69" s="25">
        <f>MAX(MIN((Sheet7!F69 - Fuzzy_Parameters!$C$29)/(Fuzzy_Parameters!$C$30 - Fuzzy_Parameters!$C$29), 1), 0)</f>
        <v>0</v>
      </c>
    </row>
    <row r="70">
      <c r="A70" s="6" t="s">
        <v>24</v>
      </c>
      <c r="B70" s="55">
        <v>2023.0</v>
      </c>
      <c r="C70" s="25">
        <f>MAX(MIN(1, (Fuzzy_Parameters!$C$4 - Sheet7!C70)/(Fuzzy_Parameters!$C$4 - Fuzzy_Parameters!$C$3)), 0)</f>
        <v>1</v>
      </c>
      <c r="D70" s="25">
        <f>MAX(MIN((Sheet7!C70 - Fuzzy_Parameters!$C$3)/(Fuzzy_Parameters!$C$4 - Fuzzy_Parameters!$C$3), 1, (Fuzzy_Parameters!$C$6 - Sheet7!C70)/(Fuzzy_Parameters!$C$6 - Fuzzy_Parameters!$C$5)), 0)</f>
        <v>0</v>
      </c>
      <c r="E70" s="25">
        <f>MAX(MIN((Sheet7!C70 - Fuzzy_Parameters!$C$5)/(Fuzzy_Parameters!$C$6 - Fuzzy_Parameters!$C$5), 1), 0)</f>
        <v>0</v>
      </c>
      <c r="F70" s="25">
        <f>MAX(MIN(1, (Fuzzy_Parameters!$C$12 - Sheet7!D70)/(Fuzzy_Parameters!$C$12 - Fuzzy_Parameters!$C$11)), 0)</f>
        <v>0</v>
      </c>
      <c r="G70" s="25">
        <f>MAX(MIN((Sheet7!D70 - Fuzzy_Parameters!$C$11)/(Fuzzy_Parameters!$C$12 - Fuzzy_Parameters!$C$11), 1, (Fuzzy_Parameters!$C$14 - Sheet7!D70)/(Fuzzy_Parameters!$C$14 - Fuzzy_Parameters!$C$13)), 0)</f>
        <v>0</v>
      </c>
      <c r="H70" s="25">
        <f>MAX(MIN((Sheet7!D70 - Fuzzy_Parameters!$C$13)/(Fuzzy_Parameters!$C$14 - Fuzzy_Parameters!$C$13), 1), 0)</f>
        <v>1</v>
      </c>
      <c r="I70" s="25">
        <f>MAX(MIN(1, (Fuzzy_Parameters!$C$20 - Sheet7!E70)/(Fuzzy_Parameters!$C$20 - Fuzzy_Parameters!$C$19)), 0)</f>
        <v>1</v>
      </c>
      <c r="J70" s="25">
        <f>MAX(MIN((Sheet7!E70 - Fuzzy_Parameters!$C$19)/(Fuzzy_Parameters!$C$20 - Fuzzy_Parameters!$C$19), 1, (Fuzzy_Parameters!$C$22 - Sheet7!E70)/(Fuzzy_Parameters!$C$22 - Fuzzy_Parameters!$C$21)), 0)</f>
        <v>0</v>
      </c>
      <c r="K70" s="25">
        <f>MAX(MIN((Sheet7!E70 - Fuzzy_Parameters!$C$21)/(Fuzzy_Parameters!$C$22 - Fuzzy_Parameters!$C$21), 1), 0)</f>
        <v>0</v>
      </c>
      <c r="L70" s="25">
        <f>MAX(MIN(1, (Fuzzy_Parameters!$C$28 - Sheet7!F70)/(Fuzzy_Parameters!$C$28 - Fuzzy_Parameters!$C$27)), 0)</f>
        <v>0</v>
      </c>
      <c r="M70" s="25">
        <f>MAX(MIN((Sheet7!F70 - Fuzzy_Parameters!$C$27)/(Fuzzy_Parameters!$C$28 - Fuzzy_Parameters!$C$27), 1, (Fuzzy_Parameters!$C$30 - Sheet7!F70)/(Fuzzy_Parameters!$C$30 - Fuzzy_Parameters!$C$29)), 0)</f>
        <v>1</v>
      </c>
      <c r="N70" s="25">
        <f>MAX(MIN((Sheet7!F70 - Fuzzy_Parameters!$C$29)/(Fuzzy_Parameters!$C$30 - Fuzzy_Parameters!$C$29), 1), 0)</f>
        <v>0</v>
      </c>
    </row>
    <row r="71">
      <c r="A71" s="6" t="s">
        <v>25</v>
      </c>
      <c r="B71" s="55">
        <v>2025.0</v>
      </c>
      <c r="C71" s="25">
        <f>MAX(MIN(1, (Fuzzy_Parameters!$C$4 - Sheet7!C71)/(Fuzzy_Parameters!$C$4 - Fuzzy_Parameters!$C$3)), 0)</f>
        <v>0</v>
      </c>
      <c r="D71" s="25">
        <f>MAX(MIN((Sheet7!C71 - Fuzzy_Parameters!$C$3)/(Fuzzy_Parameters!$C$4 - Fuzzy_Parameters!$C$3), 1, (Fuzzy_Parameters!$C$6 - Sheet7!C71)/(Fuzzy_Parameters!$C$6 - Fuzzy_Parameters!$C$5)), 0)</f>
        <v>0</v>
      </c>
      <c r="E71" s="25">
        <f>MAX(MIN((Sheet7!C71 - Fuzzy_Parameters!$C$5)/(Fuzzy_Parameters!$C$6 - Fuzzy_Parameters!$C$5), 1), 0)</f>
        <v>1</v>
      </c>
      <c r="F71" s="25">
        <f>MAX(MIN(1, (Fuzzy_Parameters!$C$12 - Sheet7!D71)/(Fuzzy_Parameters!$C$12 - Fuzzy_Parameters!$C$11)), 0)</f>
        <v>0</v>
      </c>
      <c r="G71" s="25">
        <f>MAX(MIN((Sheet7!D71 - Fuzzy_Parameters!$C$11)/(Fuzzy_Parameters!$C$12 - Fuzzy_Parameters!$C$11), 1, (Fuzzy_Parameters!$C$14 - Sheet7!D71)/(Fuzzy_Parameters!$C$14 - Fuzzy_Parameters!$C$13)), 0)</f>
        <v>0</v>
      </c>
      <c r="H71" s="25">
        <f>MAX(MIN((Sheet7!D71 - Fuzzy_Parameters!$C$13)/(Fuzzy_Parameters!$C$14 - Fuzzy_Parameters!$C$13), 1), 0)</f>
        <v>1</v>
      </c>
      <c r="I71" s="25">
        <f>MAX(MIN(1, (Fuzzy_Parameters!$C$20 - Sheet7!E71)/(Fuzzy_Parameters!$C$20 - Fuzzy_Parameters!$C$19)), 0)</f>
        <v>0</v>
      </c>
      <c r="J71" s="25">
        <f>MAX(MIN((Sheet7!E71 - Fuzzy_Parameters!$C$19)/(Fuzzy_Parameters!$C$20 - Fuzzy_Parameters!$C$19), 1, (Fuzzy_Parameters!$C$22 - Sheet7!E71)/(Fuzzy_Parameters!$C$22 - Fuzzy_Parameters!$C$21)), 0)</f>
        <v>0.3813953488</v>
      </c>
      <c r="K71" s="25">
        <f>MAX(MIN((Sheet7!E71 - Fuzzy_Parameters!$C$21)/(Fuzzy_Parameters!$C$22 - Fuzzy_Parameters!$C$21), 1), 0)</f>
        <v>0.6186046512</v>
      </c>
      <c r="L71" s="25">
        <f>MAX(MIN(1, (Fuzzy_Parameters!$C$28 - Sheet7!F71)/(Fuzzy_Parameters!$C$28 - Fuzzy_Parameters!$C$27)), 0)</f>
        <v>0</v>
      </c>
      <c r="M71" s="25">
        <f>MAX(MIN((Sheet7!F71 - Fuzzy_Parameters!$C$27)/(Fuzzy_Parameters!$C$28 - Fuzzy_Parameters!$C$27), 1, (Fuzzy_Parameters!$C$30 - Sheet7!F71)/(Fuzzy_Parameters!$C$30 - Fuzzy_Parameters!$C$29)), 0)</f>
        <v>1</v>
      </c>
      <c r="N71" s="25">
        <f>MAX(MIN((Sheet7!F71 - Fuzzy_Parameters!$C$29)/(Fuzzy_Parameters!$C$30 - Fuzzy_Parameters!$C$29), 1), 0)</f>
        <v>0</v>
      </c>
    </row>
    <row r="72">
      <c r="A72" s="6" t="s">
        <v>25</v>
      </c>
      <c r="B72" s="26">
        <v>2024.0</v>
      </c>
      <c r="C72" s="25">
        <f>MAX(MIN(1, (Fuzzy_Parameters!$C$4 - Sheet7!C72)/(Fuzzy_Parameters!$C$4 - Fuzzy_Parameters!$C$3)), 0)</f>
        <v>0</v>
      </c>
      <c r="D72" s="25">
        <f>MAX(MIN((Sheet7!C72 - Fuzzy_Parameters!$C$3)/(Fuzzy_Parameters!$C$4 - Fuzzy_Parameters!$C$3), 1, (Fuzzy_Parameters!$C$6 - Sheet7!C72)/(Fuzzy_Parameters!$C$6 - Fuzzy_Parameters!$C$5)), 0)</f>
        <v>0</v>
      </c>
      <c r="E72" s="25">
        <f>MAX(MIN((Sheet7!C72 - Fuzzy_Parameters!$C$5)/(Fuzzy_Parameters!$C$6 - Fuzzy_Parameters!$C$5), 1), 0)</f>
        <v>1</v>
      </c>
      <c r="F72" s="25">
        <f>MAX(MIN(1, (Fuzzy_Parameters!$C$12 - Sheet7!D72)/(Fuzzy_Parameters!$C$12 - Fuzzy_Parameters!$C$11)), 0)</f>
        <v>0</v>
      </c>
      <c r="G72" s="25">
        <f>MAX(MIN((Sheet7!D72 - Fuzzy_Parameters!$C$11)/(Fuzzy_Parameters!$C$12 - Fuzzy_Parameters!$C$11), 1, (Fuzzy_Parameters!$C$14 - Sheet7!D72)/(Fuzzy_Parameters!$C$14 - Fuzzy_Parameters!$C$13)), 0)</f>
        <v>0</v>
      </c>
      <c r="H72" s="25">
        <f>MAX(MIN((Sheet7!D72 - Fuzzy_Parameters!$C$13)/(Fuzzy_Parameters!$C$14 - Fuzzy_Parameters!$C$13), 1), 0)</f>
        <v>1</v>
      </c>
      <c r="I72" s="25">
        <f>MAX(MIN(1, (Fuzzy_Parameters!$C$20 - Sheet7!E72)/(Fuzzy_Parameters!$C$20 - Fuzzy_Parameters!$C$19)), 0)</f>
        <v>0</v>
      </c>
      <c r="J72" s="25">
        <f>MAX(MIN((Sheet7!E72 - Fuzzy_Parameters!$C$19)/(Fuzzy_Parameters!$C$20 - Fuzzy_Parameters!$C$19), 1, (Fuzzy_Parameters!$C$22 - Sheet7!E72)/(Fuzzy_Parameters!$C$22 - Fuzzy_Parameters!$C$21)), 0)</f>
        <v>0.04186046512</v>
      </c>
      <c r="K72" s="25">
        <f>MAX(MIN((Sheet7!E72 - Fuzzy_Parameters!$C$21)/(Fuzzy_Parameters!$C$22 - Fuzzy_Parameters!$C$21), 1), 0)</f>
        <v>0.9581395349</v>
      </c>
      <c r="L72" s="25">
        <f>MAX(MIN(1, (Fuzzy_Parameters!$C$28 - Sheet7!F72)/(Fuzzy_Parameters!$C$28 - Fuzzy_Parameters!$C$27)), 0)</f>
        <v>0</v>
      </c>
      <c r="M72" s="25">
        <f>MAX(MIN((Sheet7!F72 - Fuzzy_Parameters!$C$27)/(Fuzzy_Parameters!$C$28 - Fuzzy_Parameters!$C$27), 1, (Fuzzy_Parameters!$C$30 - Sheet7!F72)/(Fuzzy_Parameters!$C$30 - Fuzzy_Parameters!$C$29)), 0)</f>
        <v>1</v>
      </c>
      <c r="N72" s="25">
        <f>MAX(MIN((Sheet7!F72 - Fuzzy_Parameters!$C$29)/(Fuzzy_Parameters!$C$30 - Fuzzy_Parameters!$C$29), 1), 0)</f>
        <v>0</v>
      </c>
    </row>
    <row r="73">
      <c r="A73" s="6" t="s">
        <v>25</v>
      </c>
      <c r="B73" s="55">
        <v>2023.0</v>
      </c>
      <c r="C73" s="25">
        <f>MAX(MIN(1, (Fuzzy_Parameters!$C$4 - Sheet7!C73)/(Fuzzy_Parameters!$C$4 - Fuzzy_Parameters!$C$3)), 0)</f>
        <v>0</v>
      </c>
      <c r="D73" s="25">
        <f>MAX(MIN((Sheet7!C73 - Fuzzy_Parameters!$C$3)/(Fuzzy_Parameters!$C$4 - Fuzzy_Parameters!$C$3), 1, (Fuzzy_Parameters!$C$6 - Sheet7!C73)/(Fuzzy_Parameters!$C$6 - Fuzzy_Parameters!$C$5)), 0)</f>
        <v>0</v>
      </c>
      <c r="E73" s="25">
        <f>MAX(MIN((Sheet7!C73 - Fuzzy_Parameters!$C$5)/(Fuzzy_Parameters!$C$6 - Fuzzy_Parameters!$C$5), 1), 0)</f>
        <v>1</v>
      </c>
      <c r="F73" s="25">
        <f>MAX(MIN(1, (Fuzzy_Parameters!$C$12 - Sheet7!D73)/(Fuzzy_Parameters!$C$12 - Fuzzy_Parameters!$C$11)), 0)</f>
        <v>0</v>
      </c>
      <c r="G73" s="25">
        <f>MAX(MIN((Sheet7!D73 - Fuzzy_Parameters!$C$11)/(Fuzzy_Parameters!$C$12 - Fuzzy_Parameters!$C$11), 1, (Fuzzy_Parameters!$C$14 - Sheet7!D73)/(Fuzzy_Parameters!$C$14 - Fuzzy_Parameters!$C$13)), 0)</f>
        <v>0</v>
      </c>
      <c r="H73" s="25">
        <f>MAX(MIN((Sheet7!D73 - Fuzzy_Parameters!$C$13)/(Fuzzy_Parameters!$C$14 - Fuzzy_Parameters!$C$13), 1), 0)</f>
        <v>1</v>
      </c>
      <c r="I73" s="25">
        <f>MAX(MIN(1, (Fuzzy_Parameters!$C$20 - Sheet7!E73)/(Fuzzy_Parameters!$C$20 - Fuzzy_Parameters!$C$19)), 0)</f>
        <v>0</v>
      </c>
      <c r="J73" s="25">
        <f>MAX(MIN((Sheet7!E73 - Fuzzy_Parameters!$C$19)/(Fuzzy_Parameters!$C$20 - Fuzzy_Parameters!$C$19), 1, (Fuzzy_Parameters!$C$22 - Sheet7!E73)/(Fuzzy_Parameters!$C$22 - Fuzzy_Parameters!$C$21)), 0)</f>
        <v>0.3395348837</v>
      </c>
      <c r="K73" s="25">
        <f>MAX(MIN((Sheet7!E73 - Fuzzy_Parameters!$C$21)/(Fuzzy_Parameters!$C$22 - Fuzzy_Parameters!$C$21), 1), 0)</f>
        <v>0.6604651163</v>
      </c>
      <c r="L73" s="25">
        <f>MAX(MIN(1, (Fuzzy_Parameters!$C$28 - Sheet7!F73)/(Fuzzy_Parameters!$C$28 - Fuzzy_Parameters!$C$27)), 0)</f>
        <v>0.09650119716</v>
      </c>
      <c r="M73" s="25">
        <f>MAX(MIN((Sheet7!F73 - Fuzzy_Parameters!$C$27)/(Fuzzy_Parameters!$C$28 - Fuzzy_Parameters!$C$27), 1, (Fuzzy_Parameters!$C$30 - Sheet7!F73)/(Fuzzy_Parameters!$C$30 - Fuzzy_Parameters!$C$29)), 0)</f>
        <v>0.9034988028</v>
      </c>
      <c r="N73" s="25">
        <f>MAX(MIN((Sheet7!F73 - Fuzzy_Parameters!$C$29)/(Fuzzy_Parameters!$C$30 - Fuzzy_Parameters!$C$29), 1), 0)</f>
        <v>0</v>
      </c>
    </row>
    <row r="74">
      <c r="A74" s="6" t="s">
        <v>26</v>
      </c>
      <c r="B74" s="55">
        <v>2025.0</v>
      </c>
      <c r="C74" s="25">
        <f>MAX(MIN(1, (Fuzzy_Parameters!$C$4 - Sheet7!C74)/(Fuzzy_Parameters!$C$4 - Fuzzy_Parameters!$C$3)), 0)</f>
        <v>0</v>
      </c>
      <c r="D74" s="25">
        <f>MAX(MIN((Sheet7!C74 - Fuzzy_Parameters!$C$3)/(Fuzzy_Parameters!$C$4 - Fuzzy_Parameters!$C$3), 1, (Fuzzy_Parameters!$C$6 - Sheet7!C74)/(Fuzzy_Parameters!$C$6 - Fuzzy_Parameters!$C$5)), 0)</f>
        <v>0.7685810811</v>
      </c>
      <c r="E74" s="25">
        <f>MAX(MIN((Sheet7!C74 - Fuzzy_Parameters!$C$5)/(Fuzzy_Parameters!$C$6 - Fuzzy_Parameters!$C$5), 1), 0)</f>
        <v>0.2314189189</v>
      </c>
      <c r="F74" s="25">
        <f>MAX(MIN(1, (Fuzzy_Parameters!$C$12 - Sheet7!D74)/(Fuzzy_Parameters!$C$12 - Fuzzy_Parameters!$C$11)), 0)</f>
        <v>0</v>
      </c>
      <c r="G74" s="25">
        <f>MAX(MIN((Sheet7!D74 - Fuzzy_Parameters!$C$11)/(Fuzzy_Parameters!$C$12 - Fuzzy_Parameters!$C$11), 1, (Fuzzy_Parameters!$C$14 - Sheet7!D74)/(Fuzzy_Parameters!$C$14 - Fuzzy_Parameters!$C$13)), 0)</f>
        <v>0</v>
      </c>
      <c r="H74" s="25">
        <f>MAX(MIN((Sheet7!D74 - Fuzzy_Parameters!$C$13)/(Fuzzy_Parameters!$C$14 - Fuzzy_Parameters!$C$13), 1), 0)</f>
        <v>1</v>
      </c>
      <c r="I74" s="25">
        <f>MAX(MIN(1, (Fuzzy_Parameters!$C$20 - Sheet7!E74)/(Fuzzy_Parameters!$C$20 - Fuzzy_Parameters!$C$19)), 0)</f>
        <v>0.2016129032</v>
      </c>
      <c r="J74" s="25">
        <f>MAX(MIN((Sheet7!E74 - Fuzzy_Parameters!$C$19)/(Fuzzy_Parameters!$C$20 - Fuzzy_Parameters!$C$19), 1, (Fuzzy_Parameters!$C$22 - Sheet7!E74)/(Fuzzy_Parameters!$C$22 - Fuzzy_Parameters!$C$21)), 0)</f>
        <v>0.7983870968</v>
      </c>
      <c r="K74" s="25">
        <f>MAX(MIN((Sheet7!E74 - Fuzzy_Parameters!$C$21)/(Fuzzy_Parameters!$C$22 - Fuzzy_Parameters!$C$21), 1), 0)</f>
        <v>0</v>
      </c>
      <c r="L74" s="25">
        <f>MAX(MIN(1, (Fuzzy_Parameters!$C$28 - Sheet7!F74)/(Fuzzy_Parameters!$C$28 - Fuzzy_Parameters!$C$27)), 0)</f>
        <v>1</v>
      </c>
      <c r="M74" s="25">
        <f>MAX(MIN((Sheet7!F74 - Fuzzy_Parameters!$C$27)/(Fuzzy_Parameters!$C$28 - Fuzzy_Parameters!$C$27), 1, (Fuzzy_Parameters!$C$30 - Sheet7!F74)/(Fuzzy_Parameters!$C$30 - Fuzzy_Parameters!$C$29)), 0)</f>
        <v>0</v>
      </c>
      <c r="N74" s="25">
        <f>MAX(MIN((Sheet7!F74 - Fuzzy_Parameters!$C$29)/(Fuzzy_Parameters!$C$30 - Fuzzy_Parameters!$C$29), 1), 0)</f>
        <v>0</v>
      </c>
    </row>
    <row r="75">
      <c r="A75" s="6" t="s">
        <v>26</v>
      </c>
      <c r="B75" s="26">
        <v>2024.0</v>
      </c>
      <c r="C75" s="25">
        <f>MAX(MIN(1, (Fuzzy_Parameters!$C$4 - Sheet7!C75)/(Fuzzy_Parameters!$C$4 - Fuzzy_Parameters!$C$3)), 0)</f>
        <v>0</v>
      </c>
      <c r="D75" s="25">
        <f>MAX(MIN((Sheet7!C75 - Fuzzy_Parameters!$C$3)/(Fuzzy_Parameters!$C$4 - Fuzzy_Parameters!$C$3), 1, (Fuzzy_Parameters!$C$6 - Sheet7!C75)/(Fuzzy_Parameters!$C$6 - Fuzzy_Parameters!$C$5)), 0)</f>
        <v>1</v>
      </c>
      <c r="E75" s="25">
        <f>MAX(MIN((Sheet7!C75 - Fuzzy_Parameters!$C$5)/(Fuzzy_Parameters!$C$6 - Fuzzy_Parameters!$C$5), 1), 0)</f>
        <v>0</v>
      </c>
      <c r="F75" s="25">
        <f>MAX(MIN(1, (Fuzzy_Parameters!$C$12 - Sheet7!D75)/(Fuzzy_Parameters!$C$12 - Fuzzy_Parameters!$C$11)), 0)</f>
        <v>0</v>
      </c>
      <c r="G75" s="25">
        <f>MAX(MIN((Sheet7!D75 - Fuzzy_Parameters!$C$11)/(Fuzzy_Parameters!$C$12 - Fuzzy_Parameters!$C$11), 1, (Fuzzy_Parameters!$C$14 - Sheet7!D75)/(Fuzzy_Parameters!$C$14 - Fuzzy_Parameters!$C$13)), 0)</f>
        <v>0</v>
      </c>
      <c r="H75" s="25">
        <f>MAX(MIN((Sheet7!D75 - Fuzzy_Parameters!$C$13)/(Fuzzy_Parameters!$C$14 - Fuzzy_Parameters!$C$13), 1), 0)</f>
        <v>1</v>
      </c>
      <c r="I75" s="25">
        <f>MAX(MIN(1, (Fuzzy_Parameters!$C$20 - Sheet7!E75)/(Fuzzy_Parameters!$C$20 - Fuzzy_Parameters!$C$19)), 0)</f>
        <v>0.4032258065</v>
      </c>
      <c r="J75" s="25">
        <f>MAX(MIN((Sheet7!E75 - Fuzzy_Parameters!$C$19)/(Fuzzy_Parameters!$C$20 - Fuzzy_Parameters!$C$19), 1, (Fuzzy_Parameters!$C$22 - Sheet7!E75)/(Fuzzy_Parameters!$C$22 - Fuzzy_Parameters!$C$21)), 0)</f>
        <v>0.5967741935</v>
      </c>
      <c r="K75" s="25">
        <f>MAX(MIN((Sheet7!E75 - Fuzzy_Parameters!$C$21)/(Fuzzy_Parameters!$C$22 - Fuzzy_Parameters!$C$21), 1), 0)</f>
        <v>0</v>
      </c>
      <c r="L75" s="25">
        <f>MAX(MIN(1, (Fuzzy_Parameters!$C$28 - Sheet7!F75)/(Fuzzy_Parameters!$C$28 - Fuzzy_Parameters!$C$27)), 0)</f>
        <v>1</v>
      </c>
      <c r="M75" s="25">
        <f>MAX(MIN((Sheet7!F75 - Fuzzy_Parameters!$C$27)/(Fuzzy_Parameters!$C$28 - Fuzzy_Parameters!$C$27), 1, (Fuzzy_Parameters!$C$30 - Sheet7!F75)/(Fuzzy_Parameters!$C$30 - Fuzzy_Parameters!$C$29)), 0)</f>
        <v>0</v>
      </c>
      <c r="N75" s="25">
        <f>MAX(MIN((Sheet7!F75 - Fuzzy_Parameters!$C$29)/(Fuzzy_Parameters!$C$30 - Fuzzy_Parameters!$C$29), 1), 0)</f>
        <v>0</v>
      </c>
    </row>
    <row r="76">
      <c r="A76" s="6" t="s">
        <v>26</v>
      </c>
      <c r="B76" s="55">
        <v>2023.0</v>
      </c>
      <c r="C76" s="25">
        <f>MAX(MIN(1, (Fuzzy_Parameters!$C$4 - Sheet7!C76)/(Fuzzy_Parameters!$C$4 - Fuzzy_Parameters!$C$3)), 0)</f>
        <v>0</v>
      </c>
      <c r="D76" s="25">
        <f>MAX(MIN((Sheet7!C76 - Fuzzy_Parameters!$C$3)/(Fuzzy_Parameters!$C$4 - Fuzzy_Parameters!$C$3), 1, (Fuzzy_Parameters!$C$6 - Sheet7!C76)/(Fuzzy_Parameters!$C$6 - Fuzzy_Parameters!$C$5)), 0)</f>
        <v>0.575731982</v>
      </c>
      <c r="E76" s="25">
        <f>MAX(MIN((Sheet7!C76 - Fuzzy_Parameters!$C$5)/(Fuzzy_Parameters!$C$6 - Fuzzy_Parameters!$C$5), 1), 0)</f>
        <v>0.424268018</v>
      </c>
      <c r="F76" s="25">
        <f>MAX(MIN(1, (Fuzzy_Parameters!$C$12 - Sheet7!D76)/(Fuzzy_Parameters!$C$12 - Fuzzy_Parameters!$C$11)), 0)</f>
        <v>0</v>
      </c>
      <c r="G76" s="25">
        <f>MAX(MIN((Sheet7!D76 - Fuzzy_Parameters!$C$11)/(Fuzzy_Parameters!$C$12 - Fuzzy_Parameters!$C$11), 1, (Fuzzy_Parameters!$C$14 - Sheet7!D76)/(Fuzzy_Parameters!$C$14 - Fuzzy_Parameters!$C$13)), 0)</f>
        <v>0</v>
      </c>
      <c r="H76" s="25">
        <f>MAX(MIN((Sheet7!D76 - Fuzzy_Parameters!$C$13)/(Fuzzy_Parameters!$C$14 - Fuzzy_Parameters!$C$13), 1), 0)</f>
        <v>1</v>
      </c>
      <c r="I76" s="25">
        <f>MAX(MIN(1, (Fuzzy_Parameters!$C$20 - Sheet7!E76)/(Fuzzy_Parameters!$C$20 - Fuzzy_Parameters!$C$19)), 0)</f>
        <v>0.6451612903</v>
      </c>
      <c r="J76" s="25">
        <f>MAX(MIN((Sheet7!E76 - Fuzzy_Parameters!$C$19)/(Fuzzy_Parameters!$C$20 - Fuzzy_Parameters!$C$19), 1, (Fuzzy_Parameters!$C$22 - Sheet7!E76)/(Fuzzy_Parameters!$C$22 - Fuzzy_Parameters!$C$21)), 0)</f>
        <v>0.3548387097</v>
      </c>
      <c r="K76" s="25">
        <f>MAX(MIN((Sheet7!E76 - Fuzzy_Parameters!$C$21)/(Fuzzy_Parameters!$C$22 - Fuzzy_Parameters!$C$21), 1), 0)</f>
        <v>0</v>
      </c>
      <c r="L76" s="25">
        <f>MAX(MIN(1, (Fuzzy_Parameters!$C$28 - Sheet7!F76)/(Fuzzy_Parameters!$C$28 - Fuzzy_Parameters!$C$27)), 0)</f>
        <v>1</v>
      </c>
      <c r="M76" s="25">
        <f>MAX(MIN((Sheet7!F76 - Fuzzy_Parameters!$C$27)/(Fuzzy_Parameters!$C$28 - Fuzzy_Parameters!$C$27), 1, (Fuzzy_Parameters!$C$30 - Sheet7!F76)/(Fuzzy_Parameters!$C$30 - Fuzzy_Parameters!$C$29)), 0)</f>
        <v>0</v>
      </c>
      <c r="N76" s="25">
        <f>MAX(MIN((Sheet7!F76 - Fuzzy_Parameters!$C$29)/(Fuzzy_Parameters!$C$30 - Fuzzy_Parameters!$C$29), 1), 0)</f>
        <v>0</v>
      </c>
    </row>
    <row r="77">
      <c r="A77" s="6" t="s">
        <v>27</v>
      </c>
      <c r="B77" s="55">
        <v>2025.0</v>
      </c>
      <c r="C77" s="25">
        <f>MAX(MIN(1, (Fuzzy_Parameters!$C$4 - Sheet7!C77)/(Fuzzy_Parameters!$C$4 - Fuzzy_Parameters!$C$3)), 0)</f>
        <v>0</v>
      </c>
      <c r="D77" s="25">
        <f>MAX(MIN((Sheet7!C77 - Fuzzy_Parameters!$C$3)/(Fuzzy_Parameters!$C$4 - Fuzzy_Parameters!$C$3), 1, (Fuzzy_Parameters!$C$6 - Sheet7!C77)/(Fuzzy_Parameters!$C$6 - Fuzzy_Parameters!$C$5)), 0)</f>
        <v>1</v>
      </c>
      <c r="E77" s="25">
        <f>MAX(MIN((Sheet7!C77 - Fuzzy_Parameters!$C$5)/(Fuzzy_Parameters!$C$6 - Fuzzy_Parameters!$C$5), 1), 0)</f>
        <v>0</v>
      </c>
      <c r="F77" s="25">
        <f>MAX(MIN(1, (Fuzzy_Parameters!$C$12 - Sheet7!D77)/(Fuzzy_Parameters!$C$12 - Fuzzy_Parameters!$C$11)), 0)</f>
        <v>0</v>
      </c>
      <c r="G77" s="25">
        <f>MAX(MIN((Sheet7!D77 - Fuzzy_Parameters!$C$11)/(Fuzzy_Parameters!$C$12 - Fuzzy_Parameters!$C$11), 1, (Fuzzy_Parameters!$C$14 - Sheet7!D77)/(Fuzzy_Parameters!$C$14 - Fuzzy_Parameters!$C$13)), 0)</f>
        <v>0.7394722066</v>
      </c>
      <c r="H77" s="25">
        <f>MAX(MIN((Sheet7!D77 - Fuzzy_Parameters!$C$13)/(Fuzzy_Parameters!$C$14 - Fuzzy_Parameters!$C$13), 1), 0)</f>
        <v>0.2605277934</v>
      </c>
      <c r="I77" s="25">
        <f>MAX(MIN(1, (Fuzzy_Parameters!$C$20 - Sheet7!E77)/(Fuzzy_Parameters!$C$20 - Fuzzy_Parameters!$C$19)), 0)</f>
        <v>0</v>
      </c>
      <c r="J77" s="25">
        <f>MAX(MIN((Sheet7!E77 - Fuzzy_Parameters!$C$19)/(Fuzzy_Parameters!$C$20 - Fuzzy_Parameters!$C$19), 1, (Fuzzy_Parameters!$C$22 - Sheet7!E77)/(Fuzzy_Parameters!$C$22 - Fuzzy_Parameters!$C$21)), 0)</f>
        <v>0.6604651163</v>
      </c>
      <c r="K77" s="25">
        <f>MAX(MIN((Sheet7!E77 - Fuzzy_Parameters!$C$21)/(Fuzzy_Parameters!$C$22 - Fuzzy_Parameters!$C$21), 1), 0)</f>
        <v>0.3395348837</v>
      </c>
      <c r="L77" s="25">
        <f>MAX(MIN(1, (Fuzzy_Parameters!$C$28 - Sheet7!F77)/(Fuzzy_Parameters!$C$28 - Fuzzy_Parameters!$C$27)), 0)</f>
        <v>0</v>
      </c>
      <c r="M77" s="25">
        <f>MAX(MIN((Sheet7!F77 - Fuzzy_Parameters!$C$27)/(Fuzzy_Parameters!$C$28 - Fuzzy_Parameters!$C$27), 1, (Fuzzy_Parameters!$C$30 - Sheet7!F77)/(Fuzzy_Parameters!$C$30 - Fuzzy_Parameters!$C$29)), 0)</f>
        <v>0.9281692309</v>
      </c>
      <c r="N77" s="25">
        <f>MAX(MIN((Sheet7!F77 - Fuzzy_Parameters!$C$29)/(Fuzzy_Parameters!$C$30 - Fuzzy_Parameters!$C$29), 1), 0)</f>
        <v>0.07183076911</v>
      </c>
    </row>
    <row r="78">
      <c r="A78" s="6" t="s">
        <v>27</v>
      </c>
      <c r="B78" s="26">
        <v>2024.0</v>
      </c>
      <c r="C78" s="25">
        <f>MAX(MIN(1, (Fuzzy_Parameters!$C$4 - Sheet7!C78)/(Fuzzy_Parameters!$C$4 - Fuzzy_Parameters!$C$3)), 0)</f>
        <v>0</v>
      </c>
      <c r="D78" s="25">
        <f>MAX(MIN((Sheet7!C78 - Fuzzy_Parameters!$C$3)/(Fuzzy_Parameters!$C$4 - Fuzzy_Parameters!$C$3), 1, (Fuzzy_Parameters!$C$6 - Sheet7!C78)/(Fuzzy_Parameters!$C$6 - Fuzzy_Parameters!$C$5)), 0)</f>
        <v>1</v>
      </c>
      <c r="E78" s="25">
        <f>MAX(MIN((Sheet7!C78 - Fuzzy_Parameters!$C$5)/(Fuzzy_Parameters!$C$6 - Fuzzy_Parameters!$C$5), 1), 0)</f>
        <v>0</v>
      </c>
      <c r="F78" s="25">
        <f>MAX(MIN(1, (Fuzzy_Parameters!$C$12 - Sheet7!D78)/(Fuzzy_Parameters!$C$12 - Fuzzy_Parameters!$C$11)), 0)</f>
        <v>0</v>
      </c>
      <c r="G78" s="25">
        <f>MAX(MIN((Sheet7!D78 - Fuzzy_Parameters!$C$11)/(Fuzzy_Parameters!$C$12 - Fuzzy_Parameters!$C$11), 1, (Fuzzy_Parameters!$C$14 - Sheet7!D78)/(Fuzzy_Parameters!$C$14 - Fuzzy_Parameters!$C$13)), 0)</f>
        <v>0.9550814149</v>
      </c>
      <c r="H78" s="25">
        <f>MAX(MIN((Sheet7!D78 - Fuzzy_Parameters!$C$13)/(Fuzzy_Parameters!$C$14 - Fuzzy_Parameters!$C$13), 1), 0)</f>
        <v>0.04491858506</v>
      </c>
      <c r="I78" s="25">
        <f>MAX(MIN(1, (Fuzzy_Parameters!$C$20 - Sheet7!E78)/(Fuzzy_Parameters!$C$20 - Fuzzy_Parameters!$C$19)), 0)</f>
        <v>0</v>
      </c>
      <c r="J78" s="25">
        <f>MAX(MIN((Sheet7!E78 - Fuzzy_Parameters!$C$19)/(Fuzzy_Parameters!$C$20 - Fuzzy_Parameters!$C$19), 1, (Fuzzy_Parameters!$C$22 - Sheet7!E78)/(Fuzzy_Parameters!$C$22 - Fuzzy_Parameters!$C$21)), 0)</f>
        <v>0</v>
      </c>
      <c r="K78" s="25">
        <f>MAX(MIN((Sheet7!E78 - Fuzzy_Parameters!$C$21)/(Fuzzy_Parameters!$C$22 - Fuzzy_Parameters!$C$21), 1), 0)</f>
        <v>1</v>
      </c>
      <c r="L78" s="25">
        <f>MAX(MIN(1, (Fuzzy_Parameters!$C$28 - Sheet7!F78)/(Fuzzy_Parameters!$C$28 - Fuzzy_Parameters!$C$27)), 0)</f>
        <v>0</v>
      </c>
      <c r="M78" s="25">
        <f>MAX(MIN((Sheet7!F78 - Fuzzy_Parameters!$C$27)/(Fuzzy_Parameters!$C$28 - Fuzzy_Parameters!$C$27), 1, (Fuzzy_Parameters!$C$30 - Sheet7!F78)/(Fuzzy_Parameters!$C$30 - Fuzzy_Parameters!$C$29)), 0)</f>
        <v>1</v>
      </c>
      <c r="N78" s="25">
        <f>MAX(MIN((Sheet7!F78 - Fuzzy_Parameters!$C$29)/(Fuzzy_Parameters!$C$30 - Fuzzy_Parameters!$C$29), 1), 0)</f>
        <v>0</v>
      </c>
    </row>
    <row r="79">
      <c r="A79" s="6" t="s">
        <v>27</v>
      </c>
      <c r="B79" s="55">
        <v>2023.0</v>
      </c>
      <c r="C79" s="25">
        <f>MAX(MIN(1, (Fuzzy_Parameters!$C$4 - Sheet7!C79)/(Fuzzy_Parameters!$C$4 - Fuzzy_Parameters!$C$3)), 0)</f>
        <v>0</v>
      </c>
      <c r="D79" s="25">
        <f>MAX(MIN((Sheet7!C79 - Fuzzy_Parameters!$C$3)/(Fuzzy_Parameters!$C$4 - Fuzzy_Parameters!$C$3), 1, (Fuzzy_Parameters!$C$6 - Sheet7!C79)/(Fuzzy_Parameters!$C$6 - Fuzzy_Parameters!$C$5)), 0)</f>
        <v>1</v>
      </c>
      <c r="E79" s="25">
        <f>MAX(MIN((Sheet7!C79 - Fuzzy_Parameters!$C$5)/(Fuzzy_Parameters!$C$6 - Fuzzy_Parameters!$C$5), 1), 0)</f>
        <v>0</v>
      </c>
      <c r="F79" s="25">
        <f>MAX(MIN(1, (Fuzzy_Parameters!$C$12 - Sheet7!D79)/(Fuzzy_Parameters!$C$12 - Fuzzy_Parameters!$C$11)), 0)</f>
        <v>0</v>
      </c>
      <c r="G79" s="25">
        <f>MAX(MIN((Sheet7!D79 - Fuzzy_Parameters!$C$11)/(Fuzzy_Parameters!$C$12 - Fuzzy_Parameters!$C$11), 1, (Fuzzy_Parameters!$C$14 - Sheet7!D79)/(Fuzzy_Parameters!$C$14 - Fuzzy_Parameters!$C$13)), 0)</f>
        <v>1</v>
      </c>
      <c r="H79" s="25">
        <f>MAX(MIN((Sheet7!D79 - Fuzzy_Parameters!$C$13)/(Fuzzy_Parameters!$C$14 - Fuzzy_Parameters!$C$13), 1), 0)</f>
        <v>0</v>
      </c>
      <c r="I79" s="25">
        <f>MAX(MIN(1, (Fuzzy_Parameters!$C$20 - Sheet7!E79)/(Fuzzy_Parameters!$C$20 - Fuzzy_Parameters!$C$19)), 0)</f>
        <v>0</v>
      </c>
      <c r="J79" s="25">
        <f>MAX(MIN((Sheet7!E79 - Fuzzy_Parameters!$C$19)/(Fuzzy_Parameters!$C$20 - Fuzzy_Parameters!$C$19), 1, (Fuzzy_Parameters!$C$22 - Sheet7!E79)/(Fuzzy_Parameters!$C$22 - Fuzzy_Parameters!$C$21)), 0)</f>
        <v>0.1906976744</v>
      </c>
      <c r="K79" s="25">
        <f>MAX(MIN((Sheet7!E79 - Fuzzy_Parameters!$C$21)/(Fuzzy_Parameters!$C$22 - Fuzzy_Parameters!$C$21), 1), 0)</f>
        <v>0.8093023256</v>
      </c>
      <c r="L79" s="25">
        <f>MAX(MIN(1, (Fuzzy_Parameters!$C$28 - Sheet7!F79)/(Fuzzy_Parameters!$C$28 - Fuzzy_Parameters!$C$27)), 0)</f>
        <v>0</v>
      </c>
      <c r="M79" s="25">
        <f>MAX(MIN((Sheet7!F79 - Fuzzy_Parameters!$C$27)/(Fuzzy_Parameters!$C$28 - Fuzzy_Parameters!$C$27), 1, (Fuzzy_Parameters!$C$30 - Sheet7!F79)/(Fuzzy_Parameters!$C$30 - Fuzzy_Parameters!$C$29)), 0)</f>
        <v>1</v>
      </c>
      <c r="N79" s="25">
        <f>MAX(MIN((Sheet7!F79 - Fuzzy_Parameters!$C$29)/(Fuzzy_Parameters!$C$30 - Fuzzy_Parameters!$C$29), 1), 0)</f>
        <v>0</v>
      </c>
    </row>
    <row r="80">
      <c r="A80" s="6" t="s">
        <v>28</v>
      </c>
      <c r="B80" s="55">
        <v>2025.0</v>
      </c>
      <c r="C80" s="25">
        <f>MAX(MIN(1, (Fuzzy_Parameters!$C$4 - Sheet7!C80)/(Fuzzy_Parameters!$C$4 - Fuzzy_Parameters!$C$3)), 0)</f>
        <v>0</v>
      </c>
      <c r="D80" s="25">
        <f>MAX(MIN((Sheet7!C80 - Fuzzy_Parameters!$C$3)/(Fuzzy_Parameters!$C$4 - Fuzzy_Parameters!$C$3), 1, (Fuzzy_Parameters!$C$6 - Sheet7!C80)/(Fuzzy_Parameters!$C$6 - Fuzzy_Parameters!$C$5)), 0)</f>
        <v>0.892454955</v>
      </c>
      <c r="E80" s="25">
        <f>MAX(MIN((Sheet7!C80 - Fuzzy_Parameters!$C$5)/(Fuzzy_Parameters!$C$6 - Fuzzy_Parameters!$C$5), 1), 0)</f>
        <v>0.107545045</v>
      </c>
      <c r="F80" s="25">
        <f>MAX(MIN(1, (Fuzzy_Parameters!$C$12 - Sheet7!D80)/(Fuzzy_Parameters!$C$12 - Fuzzy_Parameters!$C$11)), 0)</f>
        <v>0.6581945662</v>
      </c>
      <c r="G80" s="25">
        <f>MAX(MIN((Sheet7!D80 - Fuzzy_Parameters!$C$11)/(Fuzzy_Parameters!$C$12 - Fuzzy_Parameters!$C$11), 1, (Fuzzy_Parameters!$C$14 - Sheet7!D80)/(Fuzzy_Parameters!$C$14 - Fuzzy_Parameters!$C$13)), 0)</f>
        <v>0.3418054338</v>
      </c>
      <c r="H80" s="25">
        <f>MAX(MIN((Sheet7!D80 - Fuzzy_Parameters!$C$13)/(Fuzzy_Parameters!$C$14 - Fuzzy_Parameters!$C$13), 1), 0)</f>
        <v>0</v>
      </c>
      <c r="I80" s="25">
        <f>MAX(MIN(1, (Fuzzy_Parameters!$C$20 - Sheet7!E80)/(Fuzzy_Parameters!$C$20 - Fuzzy_Parameters!$C$19)), 0)</f>
        <v>0</v>
      </c>
      <c r="J80" s="25">
        <f>MAX(MIN((Sheet7!E80 - Fuzzy_Parameters!$C$19)/(Fuzzy_Parameters!$C$20 - Fuzzy_Parameters!$C$19), 1, (Fuzzy_Parameters!$C$22 - Sheet7!E80)/(Fuzzy_Parameters!$C$22 - Fuzzy_Parameters!$C$21)), 0)</f>
        <v>0</v>
      </c>
      <c r="K80" s="25">
        <f>MAX(MIN((Sheet7!E80 - Fuzzy_Parameters!$C$21)/(Fuzzy_Parameters!$C$22 - Fuzzy_Parameters!$C$21), 1), 0)</f>
        <v>1</v>
      </c>
      <c r="L80" s="25">
        <f>MAX(MIN(1, (Fuzzy_Parameters!$C$28 - Sheet7!F80)/(Fuzzy_Parameters!$C$28 - Fuzzy_Parameters!$C$27)), 0)</f>
        <v>1</v>
      </c>
      <c r="M80" s="25">
        <f>MAX(MIN((Sheet7!F80 - Fuzzy_Parameters!$C$27)/(Fuzzy_Parameters!$C$28 - Fuzzy_Parameters!$C$27), 1, (Fuzzy_Parameters!$C$30 - Sheet7!F80)/(Fuzzy_Parameters!$C$30 - Fuzzy_Parameters!$C$29)), 0)</f>
        <v>0</v>
      </c>
      <c r="N80" s="25">
        <f>MAX(MIN((Sheet7!F80 - Fuzzy_Parameters!$C$29)/(Fuzzy_Parameters!$C$30 - Fuzzy_Parameters!$C$29), 1), 0)</f>
        <v>0</v>
      </c>
    </row>
    <row r="81">
      <c r="A81" s="6" t="s">
        <v>28</v>
      </c>
      <c r="B81" s="26">
        <v>2024.0</v>
      </c>
      <c r="C81" s="25">
        <f>MAX(MIN(1, (Fuzzy_Parameters!$C$4 - Sheet7!C81)/(Fuzzy_Parameters!$C$4 - Fuzzy_Parameters!$C$3)), 0)</f>
        <v>0</v>
      </c>
      <c r="D81" s="25">
        <f>MAX(MIN((Sheet7!C81 - Fuzzy_Parameters!$C$3)/(Fuzzy_Parameters!$C$4 - Fuzzy_Parameters!$C$3), 1, (Fuzzy_Parameters!$C$6 - Sheet7!C81)/(Fuzzy_Parameters!$C$6 - Fuzzy_Parameters!$C$5)), 0)</f>
        <v>0.9400337838</v>
      </c>
      <c r="E81" s="25">
        <f>MAX(MIN((Sheet7!C81 - Fuzzy_Parameters!$C$5)/(Fuzzy_Parameters!$C$6 - Fuzzy_Parameters!$C$5), 1), 0)</f>
        <v>0.05996621622</v>
      </c>
      <c r="F81" s="25">
        <f>MAX(MIN(1, (Fuzzy_Parameters!$C$12 - Sheet7!D81)/(Fuzzy_Parameters!$C$12 - Fuzzy_Parameters!$C$11)), 0)</f>
        <v>0.8413672217</v>
      </c>
      <c r="G81" s="25">
        <f>MAX(MIN((Sheet7!D81 - Fuzzy_Parameters!$C$11)/(Fuzzy_Parameters!$C$12 - Fuzzy_Parameters!$C$11), 1, (Fuzzy_Parameters!$C$14 - Sheet7!D81)/(Fuzzy_Parameters!$C$14 - Fuzzy_Parameters!$C$13)), 0)</f>
        <v>0.1586327783</v>
      </c>
      <c r="H81" s="25">
        <f>MAX(MIN((Sheet7!D81 - Fuzzy_Parameters!$C$13)/(Fuzzy_Parameters!$C$14 - Fuzzy_Parameters!$C$13), 1), 0)</f>
        <v>0</v>
      </c>
      <c r="I81" s="25">
        <f>MAX(MIN(1, (Fuzzy_Parameters!$C$20 - Sheet7!E81)/(Fuzzy_Parameters!$C$20 - Fuzzy_Parameters!$C$19)), 0)</f>
        <v>0</v>
      </c>
      <c r="J81" s="25">
        <f>MAX(MIN((Sheet7!E81 - Fuzzy_Parameters!$C$19)/(Fuzzy_Parameters!$C$20 - Fuzzy_Parameters!$C$19), 1, (Fuzzy_Parameters!$C$22 - Sheet7!E81)/(Fuzzy_Parameters!$C$22 - Fuzzy_Parameters!$C$21)), 0)</f>
        <v>0</v>
      </c>
      <c r="K81" s="25">
        <f>MAX(MIN((Sheet7!E81 - Fuzzy_Parameters!$C$21)/(Fuzzy_Parameters!$C$22 - Fuzzy_Parameters!$C$21), 1), 0)</f>
        <v>1</v>
      </c>
      <c r="L81" s="25">
        <f>MAX(MIN(1, (Fuzzy_Parameters!$C$28 - Sheet7!F81)/(Fuzzy_Parameters!$C$28 - Fuzzy_Parameters!$C$27)), 0)</f>
        <v>1</v>
      </c>
      <c r="M81" s="25">
        <f>MAX(MIN((Sheet7!F81 - Fuzzy_Parameters!$C$27)/(Fuzzy_Parameters!$C$28 - Fuzzy_Parameters!$C$27), 1, (Fuzzy_Parameters!$C$30 - Sheet7!F81)/(Fuzzy_Parameters!$C$30 - Fuzzy_Parameters!$C$29)), 0)</f>
        <v>0</v>
      </c>
      <c r="N81" s="25">
        <f>MAX(MIN((Sheet7!F81 - Fuzzy_Parameters!$C$29)/(Fuzzy_Parameters!$C$30 - Fuzzy_Parameters!$C$29), 1), 0)</f>
        <v>0</v>
      </c>
    </row>
    <row r="82">
      <c r="A82" s="6" t="s">
        <v>28</v>
      </c>
      <c r="B82" s="55">
        <v>2023.0</v>
      </c>
      <c r="C82" s="25">
        <f>MAX(MIN(1, (Fuzzy_Parameters!$C$4 - Sheet7!C82)/(Fuzzy_Parameters!$C$4 - Fuzzy_Parameters!$C$3)), 0)</f>
        <v>0.7536231884</v>
      </c>
      <c r="D82" s="25">
        <f>MAX(MIN((Sheet7!C82 - Fuzzy_Parameters!$C$3)/(Fuzzy_Parameters!$C$4 - Fuzzy_Parameters!$C$3), 1, (Fuzzy_Parameters!$C$6 - Sheet7!C82)/(Fuzzy_Parameters!$C$6 - Fuzzy_Parameters!$C$5)), 0)</f>
        <v>0.2463768116</v>
      </c>
      <c r="E82" s="25">
        <f>MAX(MIN((Sheet7!C82 - Fuzzy_Parameters!$C$5)/(Fuzzy_Parameters!$C$6 - Fuzzy_Parameters!$C$5), 1), 0)</f>
        <v>0</v>
      </c>
      <c r="F82" s="25">
        <f>MAX(MIN(1, (Fuzzy_Parameters!$C$12 - Sheet7!D82)/(Fuzzy_Parameters!$C$12 - Fuzzy_Parameters!$C$11)), 0)</f>
        <v>0.5319894829</v>
      </c>
      <c r="G82" s="25">
        <f>MAX(MIN((Sheet7!D82 - Fuzzy_Parameters!$C$11)/(Fuzzy_Parameters!$C$12 - Fuzzy_Parameters!$C$11), 1, (Fuzzy_Parameters!$C$14 - Sheet7!D82)/(Fuzzy_Parameters!$C$14 - Fuzzy_Parameters!$C$13)), 0)</f>
        <v>0.4680105171</v>
      </c>
      <c r="H82" s="25">
        <f>MAX(MIN((Sheet7!D82 - Fuzzy_Parameters!$C$13)/(Fuzzy_Parameters!$C$14 - Fuzzy_Parameters!$C$13), 1), 0)</f>
        <v>0</v>
      </c>
      <c r="I82" s="25">
        <f>MAX(MIN(1, (Fuzzy_Parameters!$C$20 - Sheet7!E82)/(Fuzzy_Parameters!$C$20 - Fuzzy_Parameters!$C$19)), 0)</f>
        <v>0</v>
      </c>
      <c r="J82" s="25">
        <f>MAX(MIN((Sheet7!E82 - Fuzzy_Parameters!$C$19)/(Fuzzy_Parameters!$C$20 - Fuzzy_Parameters!$C$19), 1, (Fuzzy_Parameters!$C$22 - Sheet7!E82)/(Fuzzy_Parameters!$C$22 - Fuzzy_Parameters!$C$21)), 0)</f>
        <v>0</v>
      </c>
      <c r="K82" s="25">
        <f>MAX(MIN((Sheet7!E82 - Fuzzy_Parameters!$C$21)/(Fuzzy_Parameters!$C$22 - Fuzzy_Parameters!$C$21), 1), 0)</f>
        <v>1</v>
      </c>
      <c r="L82" s="25">
        <f>MAX(MIN(1, (Fuzzy_Parameters!$C$28 - Sheet7!F82)/(Fuzzy_Parameters!$C$28 - Fuzzy_Parameters!$C$27)), 0)</f>
        <v>1</v>
      </c>
      <c r="M82" s="25">
        <f>MAX(MIN((Sheet7!F82 - Fuzzy_Parameters!$C$27)/(Fuzzy_Parameters!$C$28 - Fuzzy_Parameters!$C$27), 1, (Fuzzy_Parameters!$C$30 - Sheet7!F82)/(Fuzzy_Parameters!$C$30 - Fuzzy_Parameters!$C$29)), 0)</f>
        <v>0</v>
      </c>
      <c r="N82" s="25">
        <f>MAX(MIN((Sheet7!F82 - Fuzzy_Parameters!$C$29)/(Fuzzy_Parameters!$C$30 - Fuzzy_Parameters!$C$29), 1), 0)</f>
        <v>0</v>
      </c>
    </row>
    <row r="83">
      <c r="A83" s="6" t="s">
        <v>29</v>
      </c>
      <c r="B83" s="55">
        <v>2025.0</v>
      </c>
      <c r="C83" s="25">
        <f>MAX(MIN(1, (Fuzzy_Parameters!$C$4 - Sheet7!C83)/(Fuzzy_Parameters!$C$4 - Fuzzy_Parameters!$C$3)), 0)</f>
        <v>0</v>
      </c>
      <c r="D83" s="25">
        <f>MAX(MIN((Sheet7!C83 - Fuzzy_Parameters!$C$3)/(Fuzzy_Parameters!$C$4 - Fuzzy_Parameters!$C$3), 1, (Fuzzy_Parameters!$C$6 - Sheet7!C83)/(Fuzzy_Parameters!$C$6 - Fuzzy_Parameters!$C$5)), 0)</f>
        <v>0</v>
      </c>
      <c r="E83" s="25">
        <f>MAX(MIN((Sheet7!C83 - Fuzzy_Parameters!$C$5)/(Fuzzy_Parameters!$C$6 - Fuzzy_Parameters!$C$5), 1), 0)</f>
        <v>1</v>
      </c>
      <c r="F83" s="25">
        <f>MAX(MIN(1, (Fuzzy_Parameters!$C$12 - Sheet7!D83)/(Fuzzy_Parameters!$C$12 - Fuzzy_Parameters!$C$11)), 0)</f>
        <v>0</v>
      </c>
      <c r="G83" s="25">
        <f>MAX(MIN((Sheet7!D83 - Fuzzy_Parameters!$C$11)/(Fuzzy_Parameters!$C$12 - Fuzzy_Parameters!$C$11), 1, (Fuzzy_Parameters!$C$14 - Sheet7!D83)/(Fuzzy_Parameters!$C$14 - Fuzzy_Parameters!$C$13)), 0)</f>
        <v>0.5058955643</v>
      </c>
      <c r="H83" s="25">
        <f>MAX(MIN((Sheet7!D83 - Fuzzy_Parameters!$C$13)/(Fuzzy_Parameters!$C$14 - Fuzzy_Parameters!$C$13), 1), 0)</f>
        <v>0.4941044357</v>
      </c>
      <c r="I83" s="25">
        <f>MAX(MIN(1, (Fuzzy_Parameters!$C$20 - Sheet7!E83)/(Fuzzy_Parameters!$C$20 - Fuzzy_Parameters!$C$19)), 0)</f>
        <v>0</v>
      </c>
      <c r="J83" s="25">
        <f>MAX(MIN((Sheet7!E83 - Fuzzy_Parameters!$C$19)/(Fuzzy_Parameters!$C$20 - Fuzzy_Parameters!$C$19), 1, (Fuzzy_Parameters!$C$22 - Sheet7!E83)/(Fuzzy_Parameters!$C$22 - Fuzzy_Parameters!$C$21)), 0)</f>
        <v>0.6837209302</v>
      </c>
      <c r="K83" s="25">
        <f>MAX(MIN((Sheet7!E83 - Fuzzy_Parameters!$C$21)/(Fuzzy_Parameters!$C$22 - Fuzzy_Parameters!$C$21), 1), 0)</f>
        <v>0.3162790698</v>
      </c>
      <c r="L83" s="25">
        <f>MAX(MIN(1, (Fuzzy_Parameters!$C$28 - Sheet7!F83)/(Fuzzy_Parameters!$C$28 - Fuzzy_Parameters!$C$27)), 0)</f>
        <v>0.7900043518</v>
      </c>
      <c r="M83" s="25">
        <f>MAX(MIN((Sheet7!F83 - Fuzzy_Parameters!$C$27)/(Fuzzy_Parameters!$C$28 - Fuzzy_Parameters!$C$27), 1, (Fuzzy_Parameters!$C$30 - Sheet7!F83)/(Fuzzy_Parameters!$C$30 - Fuzzy_Parameters!$C$29)), 0)</f>
        <v>0.2099956482</v>
      </c>
      <c r="N83" s="25">
        <f>MAX(MIN((Sheet7!F83 - Fuzzy_Parameters!$C$29)/(Fuzzy_Parameters!$C$30 - Fuzzy_Parameters!$C$29), 1), 0)</f>
        <v>0</v>
      </c>
    </row>
    <row r="84">
      <c r="A84" s="6" t="s">
        <v>29</v>
      </c>
      <c r="B84" s="26">
        <v>2024.0</v>
      </c>
      <c r="C84" s="25">
        <f>MAX(MIN(1, (Fuzzy_Parameters!$C$4 - Sheet7!C84)/(Fuzzy_Parameters!$C$4 - Fuzzy_Parameters!$C$3)), 0)</f>
        <v>0</v>
      </c>
      <c r="D84" s="25">
        <f>MAX(MIN((Sheet7!C84 - Fuzzy_Parameters!$C$3)/(Fuzzy_Parameters!$C$4 - Fuzzy_Parameters!$C$3), 1, (Fuzzy_Parameters!$C$6 - Sheet7!C84)/(Fuzzy_Parameters!$C$6 - Fuzzy_Parameters!$C$5)), 0)</f>
        <v>0</v>
      </c>
      <c r="E84" s="25">
        <f>MAX(MIN((Sheet7!C84 - Fuzzy_Parameters!$C$5)/(Fuzzy_Parameters!$C$6 - Fuzzy_Parameters!$C$5), 1), 0)</f>
        <v>1</v>
      </c>
      <c r="F84" s="25">
        <f>MAX(MIN(1, (Fuzzy_Parameters!$C$12 - Sheet7!D84)/(Fuzzy_Parameters!$C$12 - Fuzzy_Parameters!$C$11)), 0)</f>
        <v>0</v>
      </c>
      <c r="G84" s="25">
        <f>MAX(MIN((Sheet7!D84 - Fuzzy_Parameters!$C$11)/(Fuzzy_Parameters!$C$12 - Fuzzy_Parameters!$C$11), 1, (Fuzzy_Parameters!$C$14 - Sheet7!D84)/(Fuzzy_Parameters!$C$14 - Fuzzy_Parameters!$C$13)), 0)</f>
        <v>1</v>
      </c>
      <c r="H84" s="25">
        <f>MAX(MIN((Sheet7!D84 - Fuzzy_Parameters!$C$13)/(Fuzzy_Parameters!$C$14 - Fuzzy_Parameters!$C$13), 1), 0)</f>
        <v>0</v>
      </c>
      <c r="I84" s="25">
        <f>MAX(MIN(1, (Fuzzy_Parameters!$C$20 - Sheet7!E84)/(Fuzzy_Parameters!$C$20 - Fuzzy_Parameters!$C$19)), 0)</f>
        <v>0</v>
      </c>
      <c r="J84" s="25">
        <f>MAX(MIN((Sheet7!E84 - Fuzzy_Parameters!$C$19)/(Fuzzy_Parameters!$C$20 - Fuzzy_Parameters!$C$19), 1, (Fuzzy_Parameters!$C$22 - Sheet7!E84)/(Fuzzy_Parameters!$C$22 - Fuzzy_Parameters!$C$21)), 0)</f>
        <v>0.911627907</v>
      </c>
      <c r="K84" s="25">
        <f>MAX(MIN((Sheet7!E84 - Fuzzy_Parameters!$C$21)/(Fuzzy_Parameters!$C$22 - Fuzzy_Parameters!$C$21), 1), 0)</f>
        <v>0.08837209302</v>
      </c>
      <c r="L84" s="25">
        <f>MAX(MIN(1, (Fuzzy_Parameters!$C$28 - Sheet7!F84)/(Fuzzy_Parameters!$C$28 - Fuzzy_Parameters!$C$27)), 0)</f>
        <v>1</v>
      </c>
      <c r="M84" s="25">
        <f>MAX(MIN((Sheet7!F84 - Fuzzy_Parameters!$C$27)/(Fuzzy_Parameters!$C$28 - Fuzzy_Parameters!$C$27), 1, (Fuzzy_Parameters!$C$30 - Sheet7!F84)/(Fuzzy_Parameters!$C$30 - Fuzzy_Parameters!$C$29)), 0)</f>
        <v>0</v>
      </c>
      <c r="N84" s="25">
        <f>MAX(MIN((Sheet7!F84 - Fuzzy_Parameters!$C$29)/(Fuzzy_Parameters!$C$30 - Fuzzy_Parameters!$C$29), 1), 0)</f>
        <v>0</v>
      </c>
    </row>
    <row r="85">
      <c r="A85" s="6" t="s">
        <v>29</v>
      </c>
      <c r="B85" s="55">
        <v>2023.0</v>
      </c>
      <c r="C85" s="25">
        <f>MAX(MIN(1, (Fuzzy_Parameters!$C$4 - Sheet7!C85)/(Fuzzy_Parameters!$C$4 - Fuzzy_Parameters!$C$3)), 0)</f>
        <v>0</v>
      </c>
      <c r="D85" s="25">
        <f>MAX(MIN((Sheet7!C85 - Fuzzy_Parameters!$C$3)/(Fuzzy_Parameters!$C$4 - Fuzzy_Parameters!$C$3), 1, (Fuzzy_Parameters!$C$6 - Sheet7!C85)/(Fuzzy_Parameters!$C$6 - Fuzzy_Parameters!$C$5)), 0)</f>
        <v>0</v>
      </c>
      <c r="E85" s="25">
        <f>MAX(MIN((Sheet7!C85 - Fuzzy_Parameters!$C$5)/(Fuzzy_Parameters!$C$6 - Fuzzy_Parameters!$C$5), 1), 0)</f>
        <v>1</v>
      </c>
      <c r="F85" s="25">
        <f>MAX(MIN(1, (Fuzzy_Parameters!$C$12 - Sheet7!D85)/(Fuzzy_Parameters!$C$12 - Fuzzy_Parameters!$C$11)), 0)</f>
        <v>0</v>
      </c>
      <c r="G85" s="25">
        <f>MAX(MIN((Sheet7!D85 - Fuzzy_Parameters!$C$11)/(Fuzzy_Parameters!$C$12 - Fuzzy_Parameters!$C$11), 1, (Fuzzy_Parameters!$C$14 - Sheet7!D85)/(Fuzzy_Parameters!$C$14 - Fuzzy_Parameters!$C$13)), 0)</f>
        <v>1</v>
      </c>
      <c r="H85" s="25">
        <f>MAX(MIN((Sheet7!D85 - Fuzzy_Parameters!$C$13)/(Fuzzy_Parameters!$C$14 - Fuzzy_Parameters!$C$13), 1), 0)</f>
        <v>0</v>
      </c>
      <c r="I85" s="25">
        <f>MAX(MIN(1, (Fuzzy_Parameters!$C$20 - Sheet7!E85)/(Fuzzy_Parameters!$C$20 - Fuzzy_Parameters!$C$19)), 0)</f>
        <v>0</v>
      </c>
      <c r="J85" s="25">
        <f>MAX(MIN((Sheet7!E85 - Fuzzy_Parameters!$C$19)/(Fuzzy_Parameters!$C$20 - Fuzzy_Parameters!$C$19), 1, (Fuzzy_Parameters!$C$22 - Sheet7!E85)/(Fuzzy_Parameters!$C$22 - Fuzzy_Parameters!$C$21)), 0)</f>
        <v>1</v>
      </c>
      <c r="K85" s="25">
        <f>MAX(MIN((Sheet7!E85 - Fuzzy_Parameters!$C$21)/(Fuzzy_Parameters!$C$22 - Fuzzy_Parameters!$C$21), 1), 0)</f>
        <v>0</v>
      </c>
      <c r="L85" s="25">
        <f>MAX(MIN(1, (Fuzzy_Parameters!$C$28 - Sheet7!F85)/(Fuzzy_Parameters!$C$28 - Fuzzy_Parameters!$C$27)), 0)</f>
        <v>1</v>
      </c>
      <c r="M85" s="25">
        <f>MAX(MIN((Sheet7!F85 - Fuzzy_Parameters!$C$27)/(Fuzzy_Parameters!$C$28 - Fuzzy_Parameters!$C$27), 1, (Fuzzy_Parameters!$C$30 - Sheet7!F85)/(Fuzzy_Parameters!$C$30 - Fuzzy_Parameters!$C$29)), 0)</f>
        <v>0</v>
      </c>
      <c r="N85" s="25">
        <f>MAX(MIN((Sheet7!F85 - Fuzzy_Parameters!$C$29)/(Fuzzy_Parameters!$C$30 - Fuzzy_Parameters!$C$29), 1), 0)</f>
        <v>0</v>
      </c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56"/>
      <c r="B91" s="57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56"/>
      <c r="B100" s="57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56"/>
      <c r="B109" s="57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56"/>
      <c r="B118" s="57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56"/>
      <c r="B127" s="57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56"/>
      <c r="B136" s="57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56"/>
      <c r="B145" s="57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56"/>
      <c r="B154" s="57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56"/>
      <c r="B163" s="57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56"/>
      <c r="B172" s="57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56"/>
      <c r="B181" s="57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56"/>
      <c r="B190" s="57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56"/>
      <c r="B199" s="57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56"/>
      <c r="B208" s="57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56"/>
      <c r="B217" s="57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56"/>
      <c r="B226" s="57"/>
    </row>
  </sheetData>
  <drawing r:id="rId1"/>
</worksheet>
</file>