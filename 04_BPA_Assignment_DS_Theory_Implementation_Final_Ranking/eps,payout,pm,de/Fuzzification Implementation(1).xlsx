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Ratios" sheetId="1" r:id="rId5"/>
    <sheet state="visible" name="Fuzzy_Inputs_10" sheetId="2" r:id="rId6"/>
    <sheet state="visible" name="Fuzzy_Parameters" sheetId="3" r:id="rId7"/>
    <sheet state="visible" name="Membership_Functions" sheetId="4" r:id="rId8"/>
    <sheet state="visible" name="Membership_Grades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<sst xmlns="http://schemas.openxmlformats.org/spreadsheetml/2006/main" count="905" uniqueCount="104">
  <si>
    <t>DILUTED EPS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</si>
  <si>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</si>
  <si>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</si>
  <si>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</si>
  <si>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</si>
  <si>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</si>
  <si>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</si>
  <si>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</si>
  <si>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</si>
  <si>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</si>
  <si>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</si>
  <si>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</si>
  <si>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</si>
  <si>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</si>
  <si>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</si>
  <si>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</si>
  <si>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</si>
  <si>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</si>
  <si>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</si>
  <si>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</si>
  <si>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</si>
  <si>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</si>
  <si>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</si>
  <si>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</si>
  <si>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</si>
  <si>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</si>
  <si>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</si>
  <si>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</si>
  <si>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</si>
  <si>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</si>
  <si>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 xml:space="preserve"> Max</t>
  </si>
  <si>
    <t>PAYOUT RATIO</t>
  </si>
  <si>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</si>
  <si>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</si>
  <si>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</si>
  <si>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</si>
  <si>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</si>
  <si>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</si>
  <si>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</si>
  <si>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</si>
  <si>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</si>
  <si>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</si>
  <si>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</si>
  <si>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</si>
  <si>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PROFIT MARGIN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</si>
  <si>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</si>
  <si>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</si>
  <si>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</si>
  <si>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</si>
  <si>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</si>
  <si>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</si>
  <si>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</si>
  <si>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</si>
  <si>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</si>
  <si>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</si>
  <si>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</si>
  <si>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</si>
  <si>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DEBT TO EQUITY</t>
  </si>
  <si>
    <t>max</t>
  </si>
  <si>
    <t>TMF Coords</t>
  </si>
  <si>
    <t>a</t>
  </si>
  <si>
    <t>P20</t>
  </si>
  <si>
    <t>b</t>
  </si>
  <si>
    <t>P40</t>
  </si>
  <si>
    <t>c</t>
  </si>
  <si>
    <t>P60</t>
  </si>
  <si>
    <t>d</t>
  </si>
  <si>
    <t>P80</t>
  </si>
  <si>
    <t>Factors in terms of linguistic variables</t>
  </si>
  <si>
    <t>Linguistic Values</t>
  </si>
  <si>
    <t>Fuzzy Trapezoidal Membership (a,b,c,d)</t>
  </si>
  <si>
    <t>Diluted EPS</t>
  </si>
  <si>
    <t>Low</t>
  </si>
  <si>
    <t>(0,0,0.5495121079, 1.028067798)</t>
  </si>
  <si>
    <t>Standard</t>
  </si>
  <si>
    <t>(0.5495121079, 1.028067798, 2.11748889, 4.012505402)</t>
  </si>
  <si>
    <t>High</t>
  </si>
  <si>
    <t>(2.11748889, 4.012505402,10,10)</t>
  </si>
  <si>
    <t>Payout Ratio</t>
  </si>
  <si>
    <t>(0,0,0.392130119, 1.689001034)</t>
  </si>
  <si>
    <t>(0.392130119, 1.689001034, 2.79605824, 4.820358941)</t>
  </si>
  <si>
    <t>(2.79605824, 4.820358941,10,10)</t>
  </si>
  <si>
    <t>Profit Margin</t>
  </si>
  <si>
    <t>(0,0,1.8282852, 3.371683494)</t>
  </si>
  <si>
    <t>(1.8282852, 3.371683494, 4.896298036, 6.821632621)</t>
  </si>
  <si>
    <t>(4.896298036, 6.821632621,10,10)</t>
  </si>
  <si>
    <t>Debt to Equity</t>
  </si>
  <si>
    <t>(0,0,0.8233701189, 1.740639476)</t>
  </si>
  <si>
    <t>(0.8233701189, 1.740639476, 3.163245581, 5.748085778)</t>
  </si>
  <si>
    <t>( 3.163245581, 5.748085778,10,10)</t>
  </si>
  <si>
    <t>Stock</t>
  </si>
  <si>
    <t>Year</t>
  </si>
  <si>
    <t>EPS_L</t>
  </si>
  <si>
    <t>EPS_S</t>
  </si>
  <si>
    <t>EPS_H</t>
  </si>
  <si>
    <t>PAYOUT_L</t>
  </si>
  <si>
    <t>PAYOUT_S</t>
  </si>
  <si>
    <t>PAYOUT_H</t>
  </si>
  <si>
    <t>PM_L</t>
  </si>
  <si>
    <t>PM_S</t>
  </si>
  <si>
    <t>PM_H</t>
  </si>
  <si>
    <t>DE_L</t>
  </si>
  <si>
    <t>DE_S</t>
  </si>
  <si>
    <t>DE_H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</si>
</sst>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rgb="FF181A1B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right style="thin">
        <color rgb="FF0000FF"/>
      </right>
    </border>
    <border>
      <left style="thin">
        <color rgb="FF00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right style="thin">
        <color rgb="FFFF0000"/>
      </right>
    </border>
    <border>
      <left style="thin">
        <color rgb="FF000000"/>
      </left>
      <top style="thin">
        <color rgb="FF00FF00"/>
      </top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right style="thin">
        <color rgb="FF00FF00"/>
      </right>
    </border>
    <border>
      <left style="thin">
        <color rgb="FF000000"/>
      </left>
      <bottom style="thin">
        <color rgb="FF00FF00"/>
      </bottom>
    </border>
    <border>
      <bottom style="thin">
        <color rgb="FF00FF00"/>
      </bottom>
    </border>
    <border>
      <right style="thin">
        <color rgb="FF00FF00"/>
      </right>
      <bottom style="thin">
        <color rgb="FF00FF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horizontal="right" vertical="bottom"/>
    </xf>
    <xf borderId="2" fillId="3" fontId="1" numFmtId="0" xfId="0" applyAlignment="1" applyBorder="1" applyFont="1">
      <alignment horizontal="right" vertical="bottom"/>
    </xf>
    <xf borderId="3" fillId="3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4" fillId="3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5" fillId="3" fontId="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top"/>
    </xf>
    <xf borderId="6" fillId="3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horizontal="right" vertical="top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3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2" numFmtId="0" xfId="0" applyAlignment="1" applyFont="1">
      <alignment horizontal="right" shrinkToFit="0" vertical="bottom" wrapText="1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0" fontId="4" numFmtId="0" xfId="0" applyFon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4" numFmtId="0" xfId="0" applyBorder="1" applyFont="1"/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5" fillId="0" fontId="4" numFmtId="0" xfId="0" applyBorder="1" applyFont="1"/>
    <xf borderId="4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4" numFmtId="0" xfId="0" applyBorder="1" applyFont="1"/>
    <xf borderId="24" fillId="0" fontId="1" numFmtId="0" xfId="0" applyAlignment="1" applyBorder="1" applyFont="1">
      <alignment vertical="bottom"/>
    </xf>
    <xf borderId="24" fillId="0" fontId="4" numFmtId="0" xfId="0" applyAlignment="1" applyBorder="1" applyFont="1">
      <alignment readingOrder="0"/>
    </xf>
    <xf borderId="2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>
        <v>2025.0</v>
      </c>
      <c r="C1" s="3">
        <v>2024.0</v>
      </c>
      <c r="D1" s="4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7">
        <v>51.35</v>
      </c>
      <c r="C2" s="8">
        <v>37.55</v>
      </c>
      <c r="D2" s="9">
        <v>24.58</v>
      </c>
      <c r="E2" s="10">
        <v>22.39</v>
      </c>
      <c r="F2" s="10">
        <v>24.58</v>
      </c>
      <c r="G2" s="10">
        <v>18.35</v>
      </c>
      <c r="H2" s="10">
        <v>19.27</v>
      </c>
      <c r="I2" s="10">
        <v>17.74</v>
      </c>
      <c r="J2" s="10">
        <v>18.89</v>
      </c>
      <c r="K2" s="10">
        <v>13.99</v>
      </c>
      <c r="L2" s="10">
        <v>11.18</v>
      </c>
      <c r="M2" s="10">
        <v>8.45</v>
      </c>
    </row>
    <row r="3">
      <c r="A3" s="6" t="s">
        <v>2</v>
      </c>
      <c r="B3" s="7">
        <v>38.25</v>
      </c>
      <c r="C3" s="8">
        <v>56.94</v>
      </c>
      <c r="D3" s="9">
        <v>42.82</v>
      </c>
      <c r="E3" s="10">
        <v>31.59</v>
      </c>
      <c r="F3" s="10">
        <v>32.73</v>
      </c>
      <c r="G3" s="10">
        <v>28.2</v>
      </c>
      <c r="H3" s="10">
        <v>22.48</v>
      </c>
      <c r="I3" s="10">
        <v>21.26</v>
      </c>
      <c r="J3" s="10">
        <v>20.22</v>
      </c>
      <c r="K3" s="10">
        <v>18.19</v>
      </c>
      <c r="L3" s="10">
        <v>14.54</v>
      </c>
      <c r="M3" s="10">
        <v>12.71</v>
      </c>
    </row>
    <row r="4">
      <c r="A4" s="6" t="s">
        <v>3</v>
      </c>
      <c r="B4" s="7">
        <v>90.18</v>
      </c>
      <c r="C4" s="8">
        <v>85.01</v>
      </c>
      <c r="D4" s="9">
        <v>35.04</v>
      </c>
      <c r="E4" s="10">
        <v>45.91</v>
      </c>
      <c r="F4" s="10">
        <v>24.19</v>
      </c>
      <c r="G4" s="10">
        <v>6.8</v>
      </c>
      <c r="H4" s="10">
        <v>19.49</v>
      </c>
      <c r="I4" s="10">
        <v>2.101500000000001</v>
      </c>
      <c r="J4" s="10">
        <v>16.48</v>
      </c>
      <c r="K4" s="10">
        <v>34.93</v>
      </c>
      <c r="L4" s="10">
        <v>31.23</v>
      </c>
      <c r="M4" s="10">
        <v>134.2</v>
      </c>
    </row>
    <row r="5">
      <c r="A5" s="6" t="s">
        <v>4</v>
      </c>
      <c r="B5" s="7">
        <v>9.7</v>
      </c>
      <c r="C5" s="8">
        <v>7.3</v>
      </c>
      <c r="D5" s="9">
        <v>4.6</v>
      </c>
      <c r="E5" s="10">
        <v>26.6</v>
      </c>
      <c r="F5" s="10">
        <v>11.2</v>
      </c>
      <c r="G5" s="10">
        <v>41.9</v>
      </c>
      <c r="H5" s="10">
        <v>19.3</v>
      </c>
      <c r="I5" s="10">
        <v>8.9</v>
      </c>
      <c r="J5" s="10">
        <v>4.4</v>
      </c>
      <c r="K5" s="10">
        <v>10.3</v>
      </c>
      <c r="L5" s="10">
        <v>7.9</v>
      </c>
      <c r="M5" s="10">
        <v>5.2</v>
      </c>
    </row>
    <row r="6">
      <c r="A6" s="6" t="s">
        <v>5</v>
      </c>
      <c r="B6" s="7">
        <v>187.43899999999996</v>
      </c>
      <c r="C6" s="8">
        <v>187.43899999999996</v>
      </c>
      <c r="D6" s="9">
        <v>187.43899999999996</v>
      </c>
      <c r="E6" s="10">
        <v>115.79</v>
      </c>
      <c r="F6" s="10">
        <v>73.0</v>
      </c>
      <c r="G6" s="10">
        <v>89.07</v>
      </c>
      <c r="H6" s="10">
        <v>68.75</v>
      </c>
      <c r="I6" s="10">
        <v>47.05</v>
      </c>
      <c r="J6" s="10">
        <v>33.67</v>
      </c>
      <c r="K6" s="10">
        <v>187.43899999999996</v>
      </c>
      <c r="L6" s="10">
        <v>177.7</v>
      </c>
      <c r="M6" s="10">
        <v>143.65</v>
      </c>
    </row>
    <row r="7">
      <c r="A7" s="6" t="s">
        <v>6</v>
      </c>
      <c r="B7" s="7">
        <v>7.28</v>
      </c>
      <c r="C7" s="8">
        <v>5.45</v>
      </c>
      <c r="D7" s="9">
        <v>4.09</v>
      </c>
      <c r="E7" s="10">
        <v>9.85</v>
      </c>
      <c r="F7" s="10">
        <v>8.62</v>
      </c>
      <c r="G7" s="10">
        <v>7.49</v>
      </c>
      <c r="H7" s="10">
        <v>7.74</v>
      </c>
      <c r="I7" s="10">
        <v>5.83</v>
      </c>
      <c r="J7" s="10">
        <v>5.94</v>
      </c>
      <c r="K7" s="10">
        <v>5.57</v>
      </c>
      <c r="L7" s="10">
        <v>149.65</v>
      </c>
      <c r="M7" s="10">
        <v>118.91</v>
      </c>
    </row>
    <row r="8">
      <c r="A8" s="6" t="s">
        <v>7</v>
      </c>
      <c r="B8" s="7">
        <v>56.04</v>
      </c>
      <c r="C8" s="8">
        <v>12.8</v>
      </c>
      <c r="D8" s="9">
        <v>14.57</v>
      </c>
      <c r="E8" s="10">
        <v>7.63</v>
      </c>
      <c r="F8" s="10">
        <v>2.101500000000001</v>
      </c>
      <c r="G8" s="10">
        <v>2.101500000000001</v>
      </c>
      <c r="H8" s="10">
        <v>2.101500000000001</v>
      </c>
      <c r="I8" s="10">
        <v>2.75</v>
      </c>
      <c r="J8" s="10">
        <v>9.51</v>
      </c>
      <c r="K8" s="10">
        <v>15.2</v>
      </c>
      <c r="L8" s="10">
        <v>11.56</v>
      </c>
      <c r="M8" s="10">
        <v>7.01</v>
      </c>
    </row>
    <row r="9">
      <c r="A9" s="6" t="s">
        <v>8</v>
      </c>
      <c r="B9" s="7">
        <v>64.09</v>
      </c>
      <c r="C9" s="8">
        <v>57.86</v>
      </c>
      <c r="D9" s="9">
        <v>54.79</v>
      </c>
      <c r="E9" s="10">
        <v>49.77</v>
      </c>
      <c r="F9" s="10">
        <v>41.07</v>
      </c>
      <c r="G9" s="10">
        <v>40.75</v>
      </c>
      <c r="H9" s="10">
        <v>73.55</v>
      </c>
      <c r="I9" s="10">
        <v>62.19</v>
      </c>
      <c r="J9" s="10">
        <v>60.27</v>
      </c>
      <c r="K9" s="10">
        <v>39.69</v>
      </c>
      <c r="L9" s="10">
        <v>51.79</v>
      </c>
      <c r="M9" s="10">
        <v>91.93</v>
      </c>
    </row>
    <row r="10">
      <c r="A10" s="6" t="s">
        <v>9</v>
      </c>
      <c r="B10" s="7">
        <v>92.39</v>
      </c>
      <c r="C10" s="8">
        <v>90.01</v>
      </c>
      <c r="D10" s="9">
        <v>82.27</v>
      </c>
      <c r="E10" s="10">
        <v>68.31</v>
      </c>
      <c r="F10" s="10">
        <v>57.61</v>
      </c>
      <c r="G10" s="10">
        <v>49.46</v>
      </c>
      <c r="H10" s="10">
        <v>82.51</v>
      </c>
      <c r="I10" s="10">
        <v>70.76</v>
      </c>
      <c r="J10" s="10">
        <v>59.16</v>
      </c>
      <c r="K10" s="10">
        <v>50.24</v>
      </c>
      <c r="L10" s="10">
        <v>43.6</v>
      </c>
      <c r="M10" s="10">
        <v>36.31</v>
      </c>
    </row>
    <row r="11">
      <c r="A11" s="6" t="s">
        <v>10</v>
      </c>
      <c r="B11" s="7">
        <v>45.32</v>
      </c>
      <c r="C11" s="8">
        <v>43.74</v>
      </c>
      <c r="D11" s="9">
        <v>43.07</v>
      </c>
      <c r="E11" s="10">
        <v>37.79</v>
      </c>
      <c r="F11" s="10">
        <v>34.03</v>
      </c>
      <c r="G11" s="10">
        <v>31.17</v>
      </c>
      <c r="H11" s="10">
        <v>27.96</v>
      </c>
      <c r="I11" s="10">
        <v>24.08</v>
      </c>
      <c r="J11" s="10">
        <v>20.67</v>
      </c>
      <c r="K11" s="10">
        <v>19.09</v>
      </c>
      <c r="L11" s="10">
        <v>20.16</v>
      </c>
      <c r="M11" s="10">
        <v>18.23</v>
      </c>
    </row>
    <row r="12">
      <c r="A12" s="6" t="s">
        <v>11</v>
      </c>
      <c r="B12" s="7">
        <v>71.14</v>
      </c>
      <c r="C12" s="8">
        <v>61.96</v>
      </c>
      <c r="D12" s="9">
        <v>47.84</v>
      </c>
      <c r="E12" s="10">
        <v>35.44</v>
      </c>
      <c r="F12" s="10">
        <v>26.83</v>
      </c>
      <c r="G12" s="10">
        <v>14.55</v>
      </c>
      <c r="H12" s="10">
        <v>6.53</v>
      </c>
      <c r="I12" s="10">
        <v>11.89</v>
      </c>
      <c r="J12" s="10">
        <v>15.84</v>
      </c>
      <c r="K12" s="10">
        <v>17.41</v>
      </c>
      <c r="L12" s="10">
        <v>21.17</v>
      </c>
      <c r="M12" s="10">
        <v>95.65</v>
      </c>
    </row>
    <row r="13">
      <c r="A13" s="6" t="s">
        <v>12</v>
      </c>
      <c r="B13" s="7">
        <v>64.34</v>
      </c>
      <c r="C13" s="8">
        <v>63.39</v>
      </c>
      <c r="D13" s="9">
        <v>57.54</v>
      </c>
      <c r="E13" s="10">
        <v>52.41</v>
      </c>
      <c r="F13" s="10">
        <v>45.52</v>
      </c>
      <c r="G13" s="10">
        <v>38.91</v>
      </c>
      <c r="H13" s="10">
        <v>35.38</v>
      </c>
      <c r="I13" s="10">
        <v>71.0</v>
      </c>
      <c r="J13" s="10">
        <v>62.77</v>
      </c>
      <c r="K13" s="10">
        <v>59.02</v>
      </c>
      <c r="L13" s="10">
        <v>108.26</v>
      </c>
      <c r="M13" s="10">
        <v>186.49</v>
      </c>
    </row>
    <row r="14">
      <c r="A14" s="6" t="s">
        <v>13</v>
      </c>
      <c r="B14" s="7">
        <v>27.75</v>
      </c>
      <c r="C14" s="8">
        <v>16.38</v>
      </c>
      <c r="D14" s="9">
        <v>15.46</v>
      </c>
      <c r="E14" s="10">
        <v>12.37</v>
      </c>
      <c r="F14" s="10">
        <v>10.7</v>
      </c>
      <c r="G14" s="10">
        <v>12.45</v>
      </c>
      <c r="H14" s="10">
        <v>10.24</v>
      </c>
      <c r="I14" s="10">
        <v>9.2</v>
      </c>
      <c r="J14" s="10">
        <v>8.45</v>
      </c>
      <c r="K14" s="10">
        <v>7.71</v>
      </c>
      <c r="L14" s="10">
        <v>12.0</v>
      </c>
      <c r="M14" s="10">
        <v>11.09</v>
      </c>
    </row>
    <row r="15">
      <c r="A15" s="6" t="s">
        <v>14</v>
      </c>
      <c r="B15" s="7">
        <v>111.29</v>
      </c>
      <c r="C15" s="8">
        <v>91.45</v>
      </c>
      <c r="D15" s="9">
        <v>74.94</v>
      </c>
      <c r="E15" s="10">
        <v>60.73</v>
      </c>
      <c r="F15" s="10">
        <v>50.49</v>
      </c>
      <c r="G15" s="10">
        <v>44.68</v>
      </c>
      <c r="H15" s="10">
        <v>37.74</v>
      </c>
      <c r="I15" s="10">
        <v>32.66</v>
      </c>
      <c r="J15" s="10">
        <v>26.86</v>
      </c>
      <c r="K15" s="10">
        <v>18.87</v>
      </c>
      <c r="L15" s="10">
        <v>39.4</v>
      </c>
      <c r="M15" s="10">
        <v>32.14</v>
      </c>
    </row>
    <row r="16">
      <c r="A16" s="6" t="s">
        <v>15</v>
      </c>
      <c r="B16" s="7">
        <v>109.28</v>
      </c>
      <c r="C16" s="8">
        <v>93.88</v>
      </c>
      <c r="D16" s="9">
        <v>74.45</v>
      </c>
      <c r="E16" s="10">
        <v>61.65</v>
      </c>
      <c r="F16" s="10">
        <v>82.41</v>
      </c>
      <c r="G16" s="10">
        <v>67.95</v>
      </c>
      <c r="H16" s="10">
        <v>63.4</v>
      </c>
      <c r="I16" s="10">
        <v>52.49</v>
      </c>
      <c r="J16" s="10">
        <v>43.05</v>
      </c>
      <c r="K16" s="10">
        <v>45.27</v>
      </c>
      <c r="L16" s="10">
        <v>50.98</v>
      </c>
      <c r="M16" s="10">
        <v>52.65</v>
      </c>
    </row>
    <row r="17">
      <c r="A17" s="6" t="s">
        <v>16</v>
      </c>
      <c r="B17" s="7">
        <v>115.06</v>
      </c>
      <c r="C17" s="8">
        <v>100.7</v>
      </c>
      <c r="D17" s="9">
        <v>91.96</v>
      </c>
      <c r="E17" s="10">
        <v>58.83</v>
      </c>
      <c r="F17" s="10">
        <v>16.15</v>
      </c>
      <c r="G17" s="10">
        <v>2.101500000000001</v>
      </c>
      <c r="H17" s="10">
        <v>48.7</v>
      </c>
      <c r="I17" s="10">
        <v>68.86</v>
      </c>
      <c r="J17" s="10">
        <v>33.98</v>
      </c>
      <c r="K17" s="10">
        <v>56.49</v>
      </c>
      <c r="L17" s="10">
        <v>50.69</v>
      </c>
      <c r="M17" s="10">
        <v>75.83</v>
      </c>
    </row>
    <row r="18">
      <c r="A18" s="6" t="s">
        <v>17</v>
      </c>
      <c r="B18" s="7">
        <v>187.43899999999996</v>
      </c>
      <c r="C18" s="8">
        <v>187.43899999999996</v>
      </c>
      <c r="D18" s="9">
        <v>187.43899999999996</v>
      </c>
      <c r="E18" s="10">
        <v>128.43</v>
      </c>
      <c r="F18" s="10">
        <v>145.3</v>
      </c>
      <c r="G18" s="10">
        <v>187.43899999999996</v>
      </c>
      <c r="H18" s="10">
        <v>187.43899999999996</v>
      </c>
      <c r="I18" s="10">
        <v>187.43899999999996</v>
      </c>
      <c r="J18" s="10">
        <v>187.43899999999996</v>
      </c>
      <c r="K18" s="10">
        <v>181.98</v>
      </c>
      <c r="L18" s="10">
        <v>126.04</v>
      </c>
      <c r="M18" s="10">
        <v>94.44</v>
      </c>
    </row>
    <row r="19">
      <c r="A19" s="6" t="s">
        <v>18</v>
      </c>
      <c r="B19" s="7">
        <v>20.34</v>
      </c>
      <c r="C19" s="8">
        <v>21.46</v>
      </c>
      <c r="D19" s="9">
        <v>17.87</v>
      </c>
      <c r="E19" s="10">
        <v>15.66</v>
      </c>
      <c r="F19" s="10">
        <v>14.87</v>
      </c>
      <c r="G19" s="10">
        <v>11.72</v>
      </c>
      <c r="H19" s="10">
        <v>13.88</v>
      </c>
      <c r="I19" s="10">
        <v>10.66</v>
      </c>
      <c r="J19" s="10">
        <v>13.0</v>
      </c>
      <c r="K19" s="10">
        <v>13.1</v>
      </c>
      <c r="L19" s="10">
        <v>12.11</v>
      </c>
      <c r="M19" s="10">
        <v>13.83</v>
      </c>
    </row>
    <row r="20">
      <c r="A20" s="6" t="s">
        <v>19</v>
      </c>
      <c r="B20" s="7">
        <v>16.69</v>
      </c>
      <c r="C20" s="8">
        <v>17.36</v>
      </c>
      <c r="D20" s="9">
        <v>22.1</v>
      </c>
      <c r="E20" s="10">
        <v>24.12</v>
      </c>
      <c r="F20" s="10">
        <v>23.01</v>
      </c>
      <c r="G20" s="10">
        <v>21.14</v>
      </c>
      <c r="H20" s="10">
        <v>19.18</v>
      </c>
      <c r="I20" s="10">
        <v>15.68</v>
      </c>
      <c r="J20" s="10">
        <v>14.24</v>
      </c>
      <c r="K20" s="10">
        <v>11.39</v>
      </c>
      <c r="L20" s="10">
        <v>9.65</v>
      </c>
      <c r="M20" s="10">
        <v>9.47</v>
      </c>
    </row>
    <row r="21">
      <c r="A21" s="6" t="s">
        <v>20</v>
      </c>
      <c r="B21" s="7">
        <v>51.47</v>
      </c>
      <c r="C21" s="8">
        <v>102.9</v>
      </c>
      <c r="D21" s="9">
        <v>98.59</v>
      </c>
      <c r="E21" s="10">
        <v>90.85</v>
      </c>
      <c r="F21" s="10">
        <v>75.21</v>
      </c>
      <c r="G21" s="10">
        <v>63.06</v>
      </c>
      <c r="H21" s="10">
        <v>66.8</v>
      </c>
      <c r="I21" s="10">
        <v>60.89</v>
      </c>
      <c r="J21" s="10">
        <v>101.14</v>
      </c>
      <c r="K21" s="10">
        <v>100.75</v>
      </c>
      <c r="L21" s="10">
        <v>80.11</v>
      </c>
      <c r="M21" s="10">
        <v>76.55</v>
      </c>
    </row>
    <row r="22">
      <c r="A22" s="6" t="s">
        <v>21</v>
      </c>
      <c r="B22" s="7">
        <v>86.91</v>
      </c>
      <c r="C22" s="8">
        <v>75.17</v>
      </c>
      <c r="D22" s="9">
        <v>62.35</v>
      </c>
      <c r="E22" s="10">
        <v>39.64</v>
      </c>
      <c r="F22" s="10">
        <v>25.11</v>
      </c>
      <c r="G22" s="10">
        <v>22.15</v>
      </c>
      <c r="H22" s="10">
        <v>2.58</v>
      </c>
      <c r="I22" s="10">
        <v>2.101500000000001</v>
      </c>
      <c r="J22" s="10">
        <v>2.101500000000001</v>
      </c>
      <c r="K22" s="10">
        <v>15.95</v>
      </c>
      <c r="L22" s="10">
        <v>22.76</v>
      </c>
      <c r="M22" s="10">
        <v>187.43899999999996</v>
      </c>
    </row>
    <row r="23">
      <c r="A23" s="6" t="s">
        <v>22</v>
      </c>
      <c r="B23" s="7">
        <v>45.6</v>
      </c>
      <c r="C23" s="8">
        <v>39.9</v>
      </c>
      <c r="D23" s="9">
        <v>35.3</v>
      </c>
      <c r="E23" s="10">
        <v>13.6</v>
      </c>
      <c r="F23" s="10">
        <v>12.1</v>
      </c>
      <c r="G23" s="10">
        <v>15.7</v>
      </c>
      <c r="H23" s="10">
        <v>11.1</v>
      </c>
      <c r="I23" s="10">
        <v>9.0</v>
      </c>
      <c r="J23" s="10">
        <v>29.0</v>
      </c>
      <c r="K23" s="10">
        <v>18.9</v>
      </c>
      <c r="L23" s="10">
        <v>18.9</v>
      </c>
      <c r="M23" s="10">
        <v>15.2</v>
      </c>
    </row>
    <row r="24">
      <c r="A24" s="6" t="s">
        <v>23</v>
      </c>
      <c r="B24" s="7">
        <v>78.75</v>
      </c>
      <c r="C24" s="8">
        <v>81.88</v>
      </c>
      <c r="D24" s="9">
        <v>6.29</v>
      </c>
      <c r="E24" s="10">
        <v>2.101500000000001</v>
      </c>
      <c r="F24" s="10">
        <v>2.101500000000001</v>
      </c>
      <c r="G24" s="10">
        <v>2.101500000000001</v>
      </c>
      <c r="H24" s="10">
        <v>2.101500000000001</v>
      </c>
      <c r="I24" s="10">
        <v>26.45</v>
      </c>
      <c r="J24" s="10">
        <v>21.93</v>
      </c>
      <c r="K24" s="10">
        <v>34.24</v>
      </c>
      <c r="L24" s="10">
        <v>43.43</v>
      </c>
      <c r="M24" s="10">
        <v>43.5</v>
      </c>
    </row>
    <row r="25">
      <c r="A25" s="6" t="s">
        <v>24</v>
      </c>
      <c r="B25" s="7">
        <v>2.74</v>
      </c>
      <c r="C25" s="8">
        <v>2.101500000000001</v>
      </c>
      <c r="D25" s="9">
        <v>7.17</v>
      </c>
      <c r="E25" s="10">
        <v>187.43899999999996</v>
      </c>
      <c r="F25" s="10">
        <v>63.78</v>
      </c>
      <c r="G25" s="10">
        <v>11.86</v>
      </c>
      <c r="H25" s="10">
        <v>87.74</v>
      </c>
      <c r="I25" s="10">
        <v>128.1</v>
      </c>
      <c r="J25" s="10">
        <v>2.101500000000001</v>
      </c>
      <c r="K25" s="10">
        <v>2.101500000000001</v>
      </c>
      <c r="L25" s="10">
        <v>2.101500000000001</v>
      </c>
      <c r="M25" s="10">
        <v>35.19</v>
      </c>
    </row>
    <row r="26">
      <c r="A26" s="6" t="s">
        <v>25</v>
      </c>
      <c r="B26" s="7">
        <v>134.19</v>
      </c>
      <c r="C26" s="8">
        <v>125.88</v>
      </c>
      <c r="D26" s="9">
        <v>115.19</v>
      </c>
      <c r="E26" s="10">
        <v>103.62</v>
      </c>
      <c r="F26" s="10">
        <v>86.71</v>
      </c>
      <c r="G26" s="10">
        <v>86.19</v>
      </c>
      <c r="H26" s="10">
        <v>83.05</v>
      </c>
      <c r="I26" s="10">
        <v>134.19</v>
      </c>
      <c r="J26" s="10">
        <v>133.41</v>
      </c>
      <c r="K26" s="10">
        <v>123.18</v>
      </c>
      <c r="L26" s="10">
        <v>101.35</v>
      </c>
      <c r="M26" s="10">
        <v>97.67</v>
      </c>
    </row>
    <row r="27">
      <c r="A27" s="6" t="s">
        <v>26</v>
      </c>
      <c r="B27" s="7">
        <v>47.91</v>
      </c>
      <c r="C27" s="8">
        <v>26.58</v>
      </c>
      <c r="D27" s="9">
        <v>54.76</v>
      </c>
      <c r="E27" s="10">
        <v>62.81</v>
      </c>
      <c r="F27" s="10">
        <v>50.19</v>
      </c>
      <c r="G27" s="10">
        <v>45.85</v>
      </c>
      <c r="H27" s="10">
        <v>47.72</v>
      </c>
      <c r="I27" s="10">
        <v>42.66</v>
      </c>
      <c r="J27" s="10">
        <v>31.64</v>
      </c>
      <c r="K27" s="10">
        <v>33.71</v>
      </c>
      <c r="L27" s="10">
        <v>26.74</v>
      </c>
      <c r="M27" s="10">
        <v>126.78</v>
      </c>
    </row>
    <row r="28">
      <c r="A28" s="6" t="s">
        <v>27</v>
      </c>
      <c r="B28" s="7">
        <v>37.61</v>
      </c>
      <c r="C28" s="8">
        <v>39.38</v>
      </c>
      <c r="D28" s="9">
        <v>36.61</v>
      </c>
      <c r="E28" s="10">
        <v>24.49</v>
      </c>
      <c r="F28" s="10">
        <v>10.96</v>
      </c>
      <c r="G28" s="10">
        <v>16.91</v>
      </c>
      <c r="H28" s="10">
        <v>15.82</v>
      </c>
      <c r="I28" s="10">
        <v>12.75</v>
      </c>
      <c r="J28" s="10">
        <v>8.17</v>
      </c>
      <c r="K28" s="10">
        <v>7.6</v>
      </c>
      <c r="L28" s="10">
        <v>9.19</v>
      </c>
      <c r="M28" s="10">
        <v>8.28</v>
      </c>
    </row>
    <row r="29">
      <c r="A29" s="6" t="s">
        <v>28</v>
      </c>
      <c r="B29" s="7">
        <v>43.51</v>
      </c>
      <c r="C29" s="8">
        <v>41.82</v>
      </c>
      <c r="D29" s="9">
        <v>12.51</v>
      </c>
      <c r="E29" s="10">
        <v>2.98</v>
      </c>
      <c r="F29" s="10">
        <v>2.101500000000001</v>
      </c>
      <c r="G29" s="10">
        <v>3.53</v>
      </c>
      <c r="H29" s="10">
        <v>2.92</v>
      </c>
      <c r="I29" s="10">
        <v>2.62</v>
      </c>
      <c r="J29" s="10">
        <v>2.55</v>
      </c>
      <c r="K29" s="10">
        <v>2.101500000000001</v>
      </c>
      <c r="L29" s="10">
        <v>38.92</v>
      </c>
      <c r="M29" s="10">
        <v>2.101500000000001</v>
      </c>
    </row>
    <row r="30">
      <c r="A30" s="6" t="s">
        <v>29</v>
      </c>
      <c r="B30" s="11">
        <v>187.43899999999996</v>
      </c>
      <c r="C30" s="12">
        <v>187.43899999999996</v>
      </c>
      <c r="D30" s="13">
        <v>175.54</v>
      </c>
      <c r="E30" s="10">
        <v>187.43899999999996</v>
      </c>
      <c r="F30" s="10">
        <v>187.43899999999996</v>
      </c>
      <c r="G30" s="10">
        <v>187.43899999999996</v>
      </c>
      <c r="H30" s="10">
        <v>84.0</v>
      </c>
      <c r="I30" s="10">
        <v>80.92</v>
      </c>
      <c r="J30" s="10">
        <v>98.88</v>
      </c>
      <c r="K30" s="10">
        <v>90.25</v>
      </c>
      <c r="L30" s="10">
        <v>76.44</v>
      </c>
      <c r="M30" s="10">
        <v>80.42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 t="s">
        <v>30</v>
      </c>
      <c r="B32" s="15">
        <f>MAX(E2:M30)</f>
        <v>187.439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v>11.68</v>
      </c>
      <c r="C35" s="8">
        <v>13.31</v>
      </c>
      <c r="D35" s="8">
        <v>19.88</v>
      </c>
      <c r="E35" s="15">
        <v>21.59</v>
      </c>
      <c r="F35" s="15">
        <v>0.0</v>
      </c>
      <c r="G35" s="15">
        <v>18.37</v>
      </c>
      <c r="H35" s="15">
        <v>10.38</v>
      </c>
      <c r="I35" s="15">
        <v>7.32</v>
      </c>
      <c r="J35" s="15">
        <v>0.0</v>
      </c>
      <c r="K35" s="15">
        <v>15.72</v>
      </c>
      <c r="L35" s="15">
        <v>9.83</v>
      </c>
      <c r="M35" s="15">
        <v>12.28</v>
      </c>
    </row>
    <row r="36">
      <c r="A36" s="6" t="s">
        <v>2</v>
      </c>
      <c r="B36" s="8">
        <v>84.74</v>
      </c>
      <c r="C36" s="8">
        <v>46.37</v>
      </c>
      <c r="D36" s="8">
        <v>46.48</v>
      </c>
      <c r="E36" s="15">
        <v>57.44</v>
      </c>
      <c r="F36" s="15">
        <v>10.23</v>
      </c>
      <c r="G36" s="15">
        <v>64.35</v>
      </c>
      <c r="H36" s="15">
        <v>39.59</v>
      </c>
      <c r="I36" s="15">
        <v>48.45</v>
      </c>
      <c r="J36" s="15">
        <v>39.31</v>
      </c>
      <c r="K36" s="15">
        <v>35.72</v>
      </c>
      <c r="L36" s="15">
        <v>41.93</v>
      </c>
      <c r="M36" s="15">
        <v>41.71</v>
      </c>
    </row>
    <row r="37">
      <c r="A37" s="6" t="s">
        <v>3</v>
      </c>
      <c r="B37" s="8">
        <v>1.19</v>
      </c>
      <c r="C37" s="8">
        <v>1.25</v>
      </c>
      <c r="D37" s="8">
        <v>3.25</v>
      </c>
      <c r="E37" s="15">
        <v>1.24</v>
      </c>
      <c r="F37" s="15">
        <v>1.52</v>
      </c>
      <c r="G37" s="15">
        <v>1.25</v>
      </c>
      <c r="H37" s="15">
        <v>2.33</v>
      </c>
      <c r="I37" s="15">
        <v>1.39</v>
      </c>
      <c r="J37" s="15">
        <v>1.53</v>
      </c>
      <c r="K37" s="15">
        <v>1.09</v>
      </c>
      <c r="L37" s="15">
        <v>1.005</v>
      </c>
      <c r="M37" s="15">
        <v>1.32</v>
      </c>
    </row>
    <row r="38">
      <c r="A38" s="6" t="s">
        <v>4</v>
      </c>
      <c r="B38" s="8">
        <v>1.79</v>
      </c>
      <c r="C38" s="8">
        <v>1.56</v>
      </c>
      <c r="D38" s="8">
        <v>0.99</v>
      </c>
      <c r="E38" s="15">
        <v>1.04</v>
      </c>
      <c r="F38" s="15">
        <v>0.0</v>
      </c>
      <c r="G38" s="15">
        <v>3.54</v>
      </c>
      <c r="H38" s="15">
        <v>0.86</v>
      </c>
      <c r="I38" s="15">
        <v>1.05</v>
      </c>
      <c r="J38" s="15">
        <v>0.0</v>
      </c>
      <c r="K38" s="15">
        <v>1.49</v>
      </c>
      <c r="L38" s="15">
        <v>1.64</v>
      </c>
      <c r="M38" s="15">
        <v>1.8</v>
      </c>
    </row>
    <row r="39">
      <c r="A39" s="6" t="s">
        <v>5</v>
      </c>
      <c r="B39" s="8">
        <v>13.38</v>
      </c>
      <c r="C39" s="8">
        <v>12.56</v>
      </c>
      <c r="D39" s="8">
        <v>10.49</v>
      </c>
      <c r="E39" s="15">
        <v>8.57</v>
      </c>
      <c r="F39" s="15">
        <v>0.0</v>
      </c>
      <c r="G39" s="15">
        <v>18.04</v>
      </c>
      <c r="H39" s="15">
        <v>5.78</v>
      </c>
      <c r="I39" s="15">
        <v>7.4</v>
      </c>
      <c r="J39" s="15">
        <v>0.0</v>
      </c>
      <c r="K39" s="15">
        <v>10.99</v>
      </c>
      <c r="L39" s="15">
        <v>10.05</v>
      </c>
      <c r="M39" s="15">
        <v>11.15</v>
      </c>
    </row>
    <row r="40">
      <c r="A40" s="6" t="s">
        <v>6</v>
      </c>
      <c r="B40" s="8">
        <v>31.59</v>
      </c>
      <c r="C40" s="8">
        <v>36.69</v>
      </c>
      <c r="D40" s="8">
        <v>41.63</v>
      </c>
      <c r="E40" s="15">
        <v>42.65</v>
      </c>
      <c r="F40" s="15">
        <v>48.75</v>
      </c>
      <c r="G40" s="15">
        <v>41.41</v>
      </c>
      <c r="H40" s="15">
        <v>27.12</v>
      </c>
      <c r="I40" s="15">
        <v>43.83</v>
      </c>
      <c r="J40" s="15">
        <v>40.43</v>
      </c>
      <c r="K40" s="15">
        <v>18.36</v>
      </c>
      <c r="L40" s="15">
        <v>19.51</v>
      </c>
      <c r="M40" s="15">
        <v>19.59</v>
      </c>
    </row>
    <row r="41">
      <c r="A41" s="6" t="s">
        <v>7</v>
      </c>
      <c r="B41" s="8">
        <v>13.79</v>
      </c>
      <c r="C41" s="8">
        <v>30.47</v>
      </c>
      <c r="D41" s="18">
        <v>20.34</v>
      </c>
      <c r="E41" s="15">
        <v>0.0</v>
      </c>
      <c r="F41" s="15">
        <v>0.0</v>
      </c>
      <c r="G41" s="15">
        <v>0.0</v>
      </c>
      <c r="H41" s="15">
        <v>87.98099999999998</v>
      </c>
      <c r="I41" s="19">
        <v>87.98099999999998</v>
      </c>
      <c r="J41" s="15">
        <v>17.21</v>
      </c>
      <c r="K41" s="15">
        <v>17.57</v>
      </c>
      <c r="L41" s="15">
        <v>33.3</v>
      </c>
      <c r="M41" s="15">
        <v>0.0</v>
      </c>
    </row>
    <row r="42">
      <c r="A42" s="6" t="s">
        <v>8</v>
      </c>
      <c r="B42" s="8">
        <v>87.98099999999998</v>
      </c>
      <c r="C42" s="8">
        <v>87.98099999999998</v>
      </c>
      <c r="D42" s="8">
        <v>87.5</v>
      </c>
      <c r="E42" s="15">
        <v>84.38</v>
      </c>
      <c r="F42" s="15">
        <v>29.22</v>
      </c>
      <c r="G42" s="15">
        <v>12.27</v>
      </c>
      <c r="H42" s="15">
        <v>10.85</v>
      </c>
      <c r="I42" s="15">
        <v>19.4</v>
      </c>
      <c r="J42" s="15">
        <v>39.34</v>
      </c>
      <c r="K42" s="15">
        <v>48.15</v>
      </c>
      <c r="L42" s="15">
        <v>32.6</v>
      </c>
      <c r="M42" s="15">
        <v>10.75</v>
      </c>
    </row>
    <row r="43">
      <c r="A43" s="6" t="s">
        <v>9</v>
      </c>
      <c r="B43" s="8">
        <v>25.05</v>
      </c>
      <c r="C43" s="8">
        <v>24.38</v>
      </c>
      <c r="D43" s="8">
        <v>24.07</v>
      </c>
      <c r="E43" s="15">
        <v>23.28</v>
      </c>
      <c r="F43" s="15">
        <v>11.54</v>
      </c>
      <c r="G43" s="15">
        <v>0.0</v>
      </c>
      <c r="H43" s="15">
        <v>18.63</v>
      </c>
      <c r="I43" s="15">
        <v>19.32</v>
      </c>
      <c r="J43" s="15">
        <v>20.84</v>
      </c>
      <c r="K43" s="15">
        <v>20.67</v>
      </c>
      <c r="L43" s="15">
        <v>0.0</v>
      </c>
      <c r="M43" s="15">
        <v>0.0</v>
      </c>
    </row>
    <row r="44">
      <c r="A44" s="6" t="s">
        <v>10</v>
      </c>
      <c r="B44" s="8">
        <v>87.98099999999998</v>
      </c>
      <c r="C44" s="8">
        <v>87.98099999999998</v>
      </c>
      <c r="D44" s="8">
        <v>83.58</v>
      </c>
      <c r="E44" s="15">
        <v>84.68</v>
      </c>
      <c r="F44" s="15">
        <v>87.98099999999998</v>
      </c>
      <c r="G44" s="15">
        <v>77.0</v>
      </c>
      <c r="H44" s="15">
        <v>75.09</v>
      </c>
      <c r="I44" s="15">
        <v>74.72</v>
      </c>
      <c r="J44" s="15">
        <v>79.78</v>
      </c>
      <c r="K44" s="15">
        <v>81.03</v>
      </c>
      <c r="L44" s="15">
        <v>74.38</v>
      </c>
      <c r="M44" s="15">
        <v>71.25</v>
      </c>
    </row>
    <row r="45">
      <c r="A45" s="6" t="s">
        <v>11</v>
      </c>
      <c r="B45" s="8">
        <v>15.4</v>
      </c>
      <c r="C45" s="8">
        <v>15.9</v>
      </c>
      <c r="D45" s="8">
        <v>16.4</v>
      </c>
      <c r="E45" s="15">
        <v>13.8</v>
      </c>
      <c r="F45" s="15">
        <v>7.5</v>
      </c>
      <c r="G45" s="15">
        <v>0.0</v>
      </c>
      <c r="H45" s="15">
        <v>15.0</v>
      </c>
      <c r="I45" s="15">
        <v>12.0</v>
      </c>
      <c r="J45" s="15">
        <v>14.0</v>
      </c>
      <c r="K45" s="15">
        <v>29.0</v>
      </c>
      <c r="L45" s="15">
        <v>24.0</v>
      </c>
      <c r="M45" s="15">
        <v>24.0</v>
      </c>
    </row>
    <row r="46">
      <c r="A46" s="6" t="s">
        <v>12</v>
      </c>
      <c r="B46" s="8">
        <v>75.97</v>
      </c>
      <c r="C46" s="8">
        <v>56.0</v>
      </c>
      <c r="D46" s="8">
        <v>56.57</v>
      </c>
      <c r="E46" s="15">
        <v>57.23</v>
      </c>
      <c r="F46" s="15">
        <v>47.12</v>
      </c>
      <c r="G46" s="15">
        <v>57.35</v>
      </c>
      <c r="H46" s="15">
        <v>87.98099999999998</v>
      </c>
      <c r="I46" s="15">
        <v>46.59</v>
      </c>
      <c r="J46" s="15">
        <v>48.43</v>
      </c>
      <c r="K46" s="15">
        <v>50.51</v>
      </c>
      <c r="L46" s="15">
        <v>41.14</v>
      </c>
      <c r="M46" s="15">
        <v>33.83</v>
      </c>
    </row>
    <row r="47">
      <c r="A47" s="6" t="s">
        <v>13</v>
      </c>
      <c r="B47" s="8">
        <v>23.4</v>
      </c>
      <c r="C47" s="8">
        <v>41.0</v>
      </c>
      <c r="D47" s="8">
        <v>38.81</v>
      </c>
      <c r="E47" s="15">
        <v>42.44</v>
      </c>
      <c r="F47" s="15">
        <v>46.74</v>
      </c>
      <c r="G47" s="15">
        <v>46.05</v>
      </c>
      <c r="H47" s="15">
        <v>49.91</v>
      </c>
      <c r="I47" s="15">
        <v>51.19</v>
      </c>
      <c r="J47" s="15">
        <v>66.47</v>
      </c>
      <c r="K47" s="15">
        <v>53.61</v>
      </c>
      <c r="L47" s="15">
        <v>51.84</v>
      </c>
      <c r="M47" s="15">
        <v>53.66</v>
      </c>
    </row>
    <row r="48">
      <c r="A48" s="6" t="s">
        <v>14</v>
      </c>
      <c r="B48" s="8">
        <v>15.64</v>
      </c>
      <c r="C48" s="8">
        <v>16.87</v>
      </c>
      <c r="D48" s="8">
        <v>14.32</v>
      </c>
      <c r="E48" s="15">
        <v>15.68</v>
      </c>
      <c r="F48" s="15">
        <v>15.32</v>
      </c>
      <c r="G48" s="15">
        <v>14.22</v>
      </c>
      <c r="H48" s="15">
        <v>16.84</v>
      </c>
      <c r="I48" s="15">
        <v>14.21</v>
      </c>
      <c r="J48" s="15">
        <v>14.7</v>
      </c>
      <c r="K48" s="15">
        <v>14.56</v>
      </c>
      <c r="L48" s="15">
        <v>15.35</v>
      </c>
      <c r="M48" s="15">
        <v>14.98</v>
      </c>
    </row>
    <row r="49">
      <c r="A49" s="6" t="s">
        <v>15</v>
      </c>
      <c r="B49" s="8">
        <v>25.6</v>
      </c>
      <c r="C49" s="8">
        <v>32.29</v>
      </c>
      <c r="D49" s="8">
        <v>29.52</v>
      </c>
      <c r="E49" s="15">
        <v>29.16</v>
      </c>
      <c r="F49" s="15">
        <v>31.51</v>
      </c>
      <c r="G49" s="15">
        <v>41.15</v>
      </c>
      <c r="H49" s="15">
        <v>0.0</v>
      </c>
      <c r="I49" s="15">
        <v>0.0</v>
      </c>
      <c r="J49" s="15">
        <v>0.0</v>
      </c>
      <c r="K49" s="15">
        <v>0.0</v>
      </c>
      <c r="L49" s="15">
        <v>31.7</v>
      </c>
      <c r="M49" s="15">
        <v>26.94</v>
      </c>
    </row>
    <row r="50">
      <c r="A50" s="6" t="s">
        <v>16</v>
      </c>
      <c r="B50" s="8">
        <v>18.19</v>
      </c>
      <c r="C50" s="8">
        <v>16.06</v>
      </c>
      <c r="D50" s="8">
        <v>12.49</v>
      </c>
      <c r="E50" s="15">
        <v>14.88</v>
      </c>
      <c r="F50" s="15">
        <v>14.46</v>
      </c>
      <c r="G50" s="15">
        <v>87.98099999999998</v>
      </c>
      <c r="H50" s="15">
        <v>17.63</v>
      </c>
      <c r="I50" s="15">
        <v>11.29</v>
      </c>
      <c r="J50" s="15">
        <v>20.92</v>
      </c>
      <c r="K50" s="15">
        <v>24.6</v>
      </c>
      <c r="L50" s="15">
        <v>23.75</v>
      </c>
      <c r="M50" s="15">
        <v>18.47</v>
      </c>
    </row>
    <row r="51">
      <c r="A51" s="6" t="s">
        <v>17</v>
      </c>
      <c r="B51" s="8">
        <v>27.1</v>
      </c>
      <c r="C51" s="8">
        <v>20.15</v>
      </c>
      <c r="D51" s="8">
        <v>22.07</v>
      </c>
      <c r="E51" s="15">
        <v>35.04</v>
      </c>
      <c r="F51" s="15">
        <v>41.29</v>
      </c>
      <c r="G51" s="15">
        <v>42.57</v>
      </c>
      <c r="H51" s="15">
        <v>31.59</v>
      </c>
      <c r="I51" s="15">
        <v>28.75</v>
      </c>
      <c r="J51" s="15">
        <v>14.07</v>
      </c>
      <c r="K51" s="15">
        <v>13.74</v>
      </c>
      <c r="L51" s="15">
        <v>19.83</v>
      </c>
      <c r="M51" s="15">
        <v>12.7</v>
      </c>
    </row>
    <row r="52">
      <c r="A52" s="6" t="s">
        <v>18</v>
      </c>
      <c r="B52" s="8">
        <v>34.15</v>
      </c>
      <c r="C52" s="8">
        <v>34.94</v>
      </c>
      <c r="D52" s="8">
        <v>24.36</v>
      </c>
      <c r="E52" s="15">
        <v>23.25</v>
      </c>
      <c r="F52" s="15">
        <v>37.79</v>
      </c>
      <c r="G52" s="15">
        <v>4.26</v>
      </c>
      <c r="H52" s="15">
        <v>21.98</v>
      </c>
      <c r="I52" s="15">
        <v>38.31</v>
      </c>
      <c r="J52" s="15">
        <v>33.53</v>
      </c>
      <c r="K52" s="15">
        <v>25.57</v>
      </c>
      <c r="L52" s="15">
        <v>20.64</v>
      </c>
      <c r="M52" s="15">
        <v>42.01</v>
      </c>
    </row>
    <row r="53">
      <c r="A53" s="6" t="s">
        <v>19</v>
      </c>
      <c r="B53" s="8">
        <v>46.43</v>
      </c>
      <c r="C53" s="8">
        <v>50.76</v>
      </c>
      <c r="D53" s="8">
        <v>45.24</v>
      </c>
      <c r="E53" s="15">
        <v>51.82</v>
      </c>
      <c r="F53" s="15">
        <v>56.67</v>
      </c>
      <c r="G53" s="15">
        <v>28.19</v>
      </c>
      <c r="H53" s="15">
        <v>44.99</v>
      </c>
      <c r="I53" s="15">
        <v>36.98</v>
      </c>
      <c r="J53" s="15">
        <v>7.02</v>
      </c>
      <c r="K53" s="15">
        <v>18.52</v>
      </c>
      <c r="L53" s="15">
        <v>22.16</v>
      </c>
      <c r="M53" s="15">
        <v>30.9</v>
      </c>
    </row>
    <row r="54">
      <c r="A54" s="6" t="s">
        <v>20</v>
      </c>
      <c r="B54" s="8">
        <v>9.71</v>
      </c>
      <c r="C54" s="8">
        <v>8.74</v>
      </c>
      <c r="D54" s="8">
        <v>7.62</v>
      </c>
      <c r="E54" s="15">
        <v>7.07</v>
      </c>
      <c r="F54" s="15">
        <v>7.98</v>
      </c>
      <c r="G54" s="15">
        <v>9.78</v>
      </c>
      <c r="H54" s="15">
        <v>8.97</v>
      </c>
      <c r="I54" s="15">
        <v>9.02</v>
      </c>
      <c r="J54" s="15">
        <v>0.0</v>
      </c>
      <c r="K54" s="15">
        <v>20.3</v>
      </c>
      <c r="L54" s="15">
        <v>12.49</v>
      </c>
      <c r="M54" s="15">
        <v>12.41</v>
      </c>
    </row>
    <row r="55">
      <c r="A55" s="6" t="s">
        <v>21</v>
      </c>
      <c r="B55" s="8">
        <v>20.01</v>
      </c>
      <c r="C55" s="8">
        <v>20.02</v>
      </c>
      <c r="D55" s="8">
        <v>20.08</v>
      </c>
      <c r="E55" s="15">
        <v>20.0</v>
      </c>
      <c r="F55" s="15">
        <v>17.49</v>
      </c>
      <c r="G55" s="15">
        <v>0.0</v>
      </c>
      <c r="H55" s="15">
        <v>0.0</v>
      </c>
      <c r="I55" s="15">
        <v>0.0</v>
      </c>
      <c r="J55" s="15">
        <v>20.11</v>
      </c>
      <c r="K55" s="15">
        <v>20.28</v>
      </c>
      <c r="L55" s="15">
        <v>20.21</v>
      </c>
      <c r="M55" s="15">
        <v>20.56</v>
      </c>
    </row>
    <row r="56">
      <c r="A56" s="6" t="s">
        <v>22</v>
      </c>
      <c r="B56" s="8">
        <v>33.06</v>
      </c>
      <c r="C56" s="8">
        <v>30.26</v>
      </c>
      <c r="D56" s="8">
        <v>29.73</v>
      </c>
      <c r="E56" s="15">
        <v>65.96</v>
      </c>
      <c r="F56" s="15">
        <v>53.68</v>
      </c>
      <c r="G56" s="15">
        <v>36.62</v>
      </c>
      <c r="H56" s="15">
        <v>17.97</v>
      </c>
      <c r="I56" s="15">
        <v>36.9</v>
      </c>
      <c r="J56" s="15">
        <v>3.45</v>
      </c>
      <c r="K56" s="15">
        <v>15.88</v>
      </c>
      <c r="L56" s="15">
        <v>15.9</v>
      </c>
      <c r="M56" s="15">
        <v>9.88</v>
      </c>
    </row>
    <row r="57">
      <c r="A57" s="6" t="s">
        <v>23</v>
      </c>
      <c r="B57" s="8">
        <v>8.3</v>
      </c>
      <c r="C57" s="8">
        <v>2.45</v>
      </c>
      <c r="D57" s="8">
        <v>0.0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4.63</v>
      </c>
    </row>
    <row r="58">
      <c r="A58" s="6" t="s">
        <v>24</v>
      </c>
      <c r="B58" s="8">
        <v>87.98099999999998</v>
      </c>
      <c r="C58" s="8">
        <v>0.0</v>
      </c>
      <c r="D58" s="8">
        <v>71.08</v>
      </c>
      <c r="E58" s="15">
        <v>7.48</v>
      </c>
      <c r="F58" s="15">
        <v>15.28</v>
      </c>
      <c r="G58" s="15">
        <v>87.98099999999998</v>
      </c>
      <c r="H58" s="15">
        <v>11.2</v>
      </c>
      <c r="I58" s="15">
        <v>9.2</v>
      </c>
      <c r="J58" s="15">
        <v>0.0</v>
      </c>
      <c r="K58" s="15">
        <v>0.0</v>
      </c>
      <c r="L58" s="15">
        <v>0.0</v>
      </c>
      <c r="M58" s="15">
        <v>27.01</v>
      </c>
    </row>
    <row r="59">
      <c r="A59" s="6" t="s">
        <v>25</v>
      </c>
      <c r="B59" s="8">
        <v>87.98099999999998</v>
      </c>
      <c r="C59" s="8">
        <v>54.75</v>
      </c>
      <c r="D59" s="8">
        <v>87.98099999999998</v>
      </c>
      <c r="E59" s="15">
        <v>34.74</v>
      </c>
      <c r="F59" s="15">
        <v>33.45</v>
      </c>
      <c r="G59" s="15">
        <v>87.98099999999998</v>
      </c>
      <c r="H59" s="15">
        <v>32.03</v>
      </c>
      <c r="I59" s="15">
        <v>35.94</v>
      </c>
      <c r="J59" s="15">
        <v>34.85</v>
      </c>
      <c r="K59" s="15">
        <v>32.93</v>
      </c>
      <c r="L59" s="15">
        <v>77.94</v>
      </c>
      <c r="M59" s="15">
        <v>32.7</v>
      </c>
    </row>
    <row r="60">
      <c r="A60" s="6" t="s">
        <v>26</v>
      </c>
      <c r="B60" s="8">
        <v>87.98099999999998</v>
      </c>
      <c r="C60" s="8">
        <v>87.98099999999998</v>
      </c>
      <c r="D60" s="8">
        <v>87.98099999999998</v>
      </c>
      <c r="E60" s="15">
        <v>71.52</v>
      </c>
      <c r="F60" s="15">
        <v>39.72</v>
      </c>
      <c r="G60" s="15">
        <v>61.78</v>
      </c>
      <c r="H60" s="15">
        <v>34.68</v>
      </c>
      <c r="I60" s="15">
        <v>24.83</v>
      </c>
      <c r="J60" s="15">
        <v>44.05</v>
      </c>
      <c r="K60" s="15">
        <v>18.53</v>
      </c>
      <c r="L60" s="15">
        <v>22.04</v>
      </c>
      <c r="M60" s="15">
        <v>15.41</v>
      </c>
    </row>
    <row r="61">
      <c r="A61" s="6" t="s">
        <v>27</v>
      </c>
      <c r="B61" s="8">
        <v>29.24</v>
      </c>
      <c r="C61" s="8">
        <v>25.4</v>
      </c>
      <c r="D61" s="8">
        <v>20.49</v>
      </c>
      <c r="E61" s="15">
        <v>16.33</v>
      </c>
      <c r="F61" s="15">
        <v>36.48</v>
      </c>
      <c r="G61" s="15">
        <v>29.56</v>
      </c>
      <c r="H61" s="15">
        <v>23.7</v>
      </c>
      <c r="I61" s="15">
        <v>20.42</v>
      </c>
      <c r="J61" s="15">
        <v>0.0</v>
      </c>
      <c r="K61" s="15">
        <v>59.22</v>
      </c>
      <c r="L61" s="15">
        <v>25.01</v>
      </c>
      <c r="M61" s="15">
        <v>25.36</v>
      </c>
    </row>
    <row r="62">
      <c r="A62" s="6" t="s">
        <v>28</v>
      </c>
      <c r="B62" s="8">
        <v>7.35</v>
      </c>
      <c r="C62" s="8">
        <v>5.26</v>
      </c>
      <c r="D62" s="8">
        <v>8.79</v>
      </c>
      <c r="E62" s="15">
        <v>40.3</v>
      </c>
      <c r="F62" s="15">
        <v>0.0</v>
      </c>
      <c r="G62" s="15">
        <v>42.41</v>
      </c>
      <c r="H62" s="15">
        <v>47.51</v>
      </c>
      <c r="I62" s="15">
        <v>45.99</v>
      </c>
      <c r="J62" s="15">
        <v>0.0</v>
      </c>
      <c r="K62" s="15">
        <v>87.98099999999998</v>
      </c>
      <c r="L62" s="15">
        <v>25.69</v>
      </c>
      <c r="M62" s="15">
        <v>0.0</v>
      </c>
    </row>
    <row r="63">
      <c r="A63" s="6" t="s">
        <v>29</v>
      </c>
      <c r="B63" s="8">
        <v>33.4</v>
      </c>
      <c r="C63" s="8">
        <v>15.63</v>
      </c>
      <c r="D63" s="8">
        <v>21.57</v>
      </c>
      <c r="E63" s="15">
        <v>14.52</v>
      </c>
      <c r="F63" s="15">
        <v>6.86</v>
      </c>
      <c r="G63" s="15">
        <v>6.61</v>
      </c>
      <c r="H63" s="15">
        <v>14.46</v>
      </c>
      <c r="I63" s="15">
        <v>14.86</v>
      </c>
      <c r="J63" s="15">
        <v>9.6</v>
      </c>
      <c r="K63" s="15">
        <v>11.83</v>
      </c>
      <c r="L63" s="15">
        <v>11.77</v>
      </c>
      <c r="M63" s="15">
        <v>11.18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 t="s">
        <v>30</v>
      </c>
      <c r="B65" s="20">
        <f>MAX(E35:M63)</f>
        <v>87.981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v>31.9425</v>
      </c>
      <c r="C68" s="8">
        <v>30.94</v>
      </c>
      <c r="D68" s="8">
        <v>25.63</v>
      </c>
      <c r="E68" s="15">
        <v>28.88</v>
      </c>
      <c r="F68" s="15">
        <v>31.9425</v>
      </c>
      <c r="G68" s="15">
        <v>31.91</v>
      </c>
      <c r="H68" s="15">
        <v>31.9425</v>
      </c>
      <c r="I68" s="15">
        <v>31.9425</v>
      </c>
      <c r="J68" s="15">
        <v>31.9425</v>
      </c>
      <c r="K68" s="15">
        <v>31.9425</v>
      </c>
      <c r="L68" s="15">
        <v>31.9425</v>
      </c>
      <c r="M68" s="15">
        <v>31.9425</v>
      </c>
    </row>
    <row r="69">
      <c r="A69" s="6" t="s">
        <v>2</v>
      </c>
      <c r="B69" s="8">
        <v>10.52</v>
      </c>
      <c r="C69" s="8">
        <v>15.28</v>
      </c>
      <c r="D69" s="8">
        <v>11.89</v>
      </c>
      <c r="E69" s="15">
        <v>10.49</v>
      </c>
      <c r="F69" s="15">
        <v>14.63</v>
      </c>
      <c r="G69" s="15">
        <v>13.47</v>
      </c>
      <c r="H69" s="15">
        <v>11.26</v>
      </c>
      <c r="I69" s="15">
        <v>12.19</v>
      </c>
      <c r="J69" s="15">
        <v>13.05</v>
      </c>
      <c r="K69" s="15">
        <v>12.39</v>
      </c>
      <c r="L69" s="15">
        <v>10.06</v>
      </c>
      <c r="M69" s="15">
        <v>9.93</v>
      </c>
    </row>
    <row r="70">
      <c r="A70" s="6" t="s">
        <v>3</v>
      </c>
      <c r="B70" s="8">
        <v>22.07</v>
      </c>
      <c r="C70" s="8">
        <v>23.43</v>
      </c>
      <c r="D70" s="8">
        <v>12.41</v>
      </c>
      <c r="E70" s="15">
        <v>20.57</v>
      </c>
      <c r="F70" s="15">
        <v>11.2</v>
      </c>
      <c r="G70" s="15">
        <v>2.94</v>
      </c>
      <c r="H70" s="15">
        <v>9.0</v>
      </c>
      <c r="I70" s="15">
        <v>0.99</v>
      </c>
      <c r="J70" s="15">
        <v>8.78</v>
      </c>
      <c r="K70" s="15">
        <v>20.18</v>
      </c>
      <c r="L70" s="15">
        <v>20.84</v>
      </c>
      <c r="M70" s="15">
        <v>20.52</v>
      </c>
    </row>
    <row r="71">
      <c r="A71" s="6" t="s">
        <v>4</v>
      </c>
      <c r="B71" s="8">
        <v>13.1</v>
      </c>
      <c r="C71" s="8">
        <v>14.12</v>
      </c>
      <c r="D71" s="8">
        <v>14.87</v>
      </c>
      <c r="E71" s="15">
        <v>12.15</v>
      </c>
      <c r="F71" s="15">
        <v>12.15</v>
      </c>
      <c r="G71" s="15">
        <v>11.02</v>
      </c>
      <c r="H71" s="15">
        <v>12.61</v>
      </c>
      <c r="I71" s="15">
        <v>12.7</v>
      </c>
      <c r="J71" s="15">
        <v>14.07</v>
      </c>
      <c r="K71" s="15">
        <v>29.37</v>
      </c>
      <c r="L71" s="15">
        <v>31.75</v>
      </c>
      <c r="M71" s="15">
        <v>31.9425</v>
      </c>
    </row>
    <row r="72">
      <c r="A72" s="6" t="s">
        <v>5</v>
      </c>
      <c r="B72" s="8">
        <v>24.05</v>
      </c>
      <c r="C72" s="8">
        <v>26.27</v>
      </c>
      <c r="D72" s="8">
        <v>27.79</v>
      </c>
      <c r="E72" s="15">
        <v>22.21</v>
      </c>
      <c r="F72" s="15">
        <v>16.57</v>
      </c>
      <c r="G72" s="15">
        <v>19.95</v>
      </c>
      <c r="H72" s="15">
        <v>21.6</v>
      </c>
      <c r="I72" s="15">
        <v>19.89</v>
      </c>
      <c r="J72" s="15">
        <v>18.42</v>
      </c>
      <c r="K72" s="15">
        <v>17.5</v>
      </c>
      <c r="L72" s="15">
        <v>16.68</v>
      </c>
      <c r="M72" s="15">
        <v>17.65</v>
      </c>
    </row>
    <row r="73">
      <c r="A73" s="6" t="s">
        <v>6</v>
      </c>
      <c r="B73" s="8">
        <v>22.24</v>
      </c>
      <c r="C73" s="8">
        <v>19.45</v>
      </c>
      <c r="D73" s="8">
        <v>16.57</v>
      </c>
      <c r="E73" s="15">
        <v>15.32</v>
      </c>
      <c r="F73" s="15">
        <v>14.66</v>
      </c>
      <c r="G73" s="15">
        <v>13.82</v>
      </c>
      <c r="H73" s="15">
        <v>15.19</v>
      </c>
      <c r="I73" s="15">
        <v>13.53</v>
      </c>
      <c r="J73" s="15">
        <v>17.27</v>
      </c>
      <c r="K73" s="15">
        <v>17.72</v>
      </c>
      <c r="L73" s="15">
        <v>16.87</v>
      </c>
      <c r="M73" s="15">
        <v>14.6</v>
      </c>
    </row>
    <row r="74">
      <c r="A74" s="6" t="s">
        <v>7</v>
      </c>
      <c r="B74" s="8">
        <v>19.52</v>
      </c>
      <c r="C74" s="8">
        <v>3.89</v>
      </c>
      <c r="D74" s="18">
        <v>8.29</v>
      </c>
      <c r="E74" s="15">
        <v>5.04</v>
      </c>
      <c r="F74" s="15">
        <v>0.667</v>
      </c>
      <c r="G74" s="15">
        <v>0.667</v>
      </c>
      <c r="H74" s="15">
        <v>1.64</v>
      </c>
      <c r="I74" s="19">
        <v>1.33</v>
      </c>
      <c r="J74" s="15">
        <v>3.34</v>
      </c>
      <c r="K74" s="15">
        <v>6.03</v>
      </c>
      <c r="L74" s="15">
        <v>5.25</v>
      </c>
      <c r="M74" s="15">
        <v>3.51</v>
      </c>
    </row>
    <row r="75">
      <c r="A75" s="6" t="s">
        <v>8</v>
      </c>
      <c r="B75" s="8">
        <v>14.86</v>
      </c>
      <c r="C75" s="8">
        <v>14.29</v>
      </c>
      <c r="D75" s="8">
        <v>14.63</v>
      </c>
      <c r="E75" s="15">
        <v>15.78</v>
      </c>
      <c r="F75" s="15">
        <v>14.81</v>
      </c>
      <c r="G75" s="15">
        <v>15.64</v>
      </c>
      <c r="H75" s="15">
        <v>16.74</v>
      </c>
      <c r="I75" s="15">
        <v>17.22</v>
      </c>
      <c r="J75" s="15">
        <v>18.08</v>
      </c>
      <c r="K75" s="15">
        <v>17.97</v>
      </c>
      <c r="L75" s="15">
        <v>19.89</v>
      </c>
      <c r="M75" s="15">
        <v>20.24</v>
      </c>
    </row>
    <row r="76">
      <c r="A76" s="6" t="s">
        <v>9</v>
      </c>
      <c r="B76" s="8">
        <v>22.41</v>
      </c>
      <c r="C76" s="8">
        <v>23.53</v>
      </c>
      <c r="D76" s="8">
        <v>27.29</v>
      </c>
      <c r="E76" s="15">
        <v>28.93</v>
      </c>
      <c r="F76" s="15">
        <v>25.74</v>
      </c>
      <c r="G76" s="15">
        <v>22.86</v>
      </c>
      <c r="H76" s="15">
        <v>21.29</v>
      </c>
      <c r="I76" s="15">
        <v>21.79</v>
      </c>
      <c r="J76" s="15">
        <v>20.99</v>
      </c>
      <c r="K76" s="15">
        <v>20.41</v>
      </c>
      <c r="L76" s="15">
        <v>21.07</v>
      </c>
      <c r="M76" s="15">
        <v>20.61</v>
      </c>
    </row>
    <row r="77">
      <c r="A77" s="6" t="s">
        <v>10</v>
      </c>
      <c r="B77" s="8">
        <v>16.91</v>
      </c>
      <c r="C77" s="8">
        <v>16.61</v>
      </c>
      <c r="D77" s="8">
        <v>16.74</v>
      </c>
      <c r="E77" s="15">
        <v>16.95</v>
      </c>
      <c r="F77" s="15">
        <v>17.0</v>
      </c>
      <c r="G77" s="15">
        <v>16.98</v>
      </c>
      <c r="H77" s="15">
        <v>15.41</v>
      </c>
      <c r="I77" s="15">
        <v>14.7</v>
      </c>
      <c r="J77" s="15">
        <v>13.53</v>
      </c>
      <c r="K77" s="15">
        <v>12.92</v>
      </c>
      <c r="L77" s="15">
        <v>13.68</v>
      </c>
      <c r="M77" s="15">
        <v>13.53</v>
      </c>
    </row>
    <row r="78">
      <c r="A78" s="6" t="s">
        <v>11</v>
      </c>
      <c r="B78" s="8">
        <v>29.2</v>
      </c>
      <c r="C78" s="8">
        <v>28.21</v>
      </c>
      <c r="D78" s="8">
        <v>28.46</v>
      </c>
      <c r="E78" s="15">
        <v>27.02</v>
      </c>
      <c r="F78" s="15">
        <v>22.67</v>
      </c>
      <c r="G78" s="15">
        <v>13.23</v>
      </c>
      <c r="H78" s="15">
        <v>7.9</v>
      </c>
      <c r="I78" s="15">
        <v>14.63</v>
      </c>
      <c r="J78" s="15">
        <v>18.6</v>
      </c>
      <c r="K78" s="15">
        <v>18.42</v>
      </c>
      <c r="L78" s="15">
        <v>23.54</v>
      </c>
      <c r="M78" s="15">
        <v>23.6</v>
      </c>
    </row>
    <row r="79">
      <c r="A79" s="6" t="s">
        <v>12</v>
      </c>
      <c r="B79" s="8">
        <v>16.41</v>
      </c>
      <c r="C79" s="8">
        <v>17.08</v>
      </c>
      <c r="D79" s="8">
        <v>16.42</v>
      </c>
      <c r="E79" s="15">
        <v>18.2</v>
      </c>
      <c r="F79" s="15">
        <v>19.33</v>
      </c>
      <c r="G79" s="15">
        <v>18.32</v>
      </c>
      <c r="H79" s="15">
        <v>18.63</v>
      </c>
      <c r="I79" s="15">
        <v>22.82</v>
      </c>
      <c r="J79" s="15">
        <v>21.0</v>
      </c>
      <c r="K79" s="15">
        <v>21.6</v>
      </c>
      <c r="L79" s="15">
        <v>23.2</v>
      </c>
      <c r="M79" s="15">
        <v>21.25</v>
      </c>
    </row>
    <row r="80">
      <c r="A80" s="6" t="s">
        <v>13</v>
      </c>
      <c r="B80" s="8">
        <v>31.9425</v>
      </c>
      <c r="C80" s="8">
        <v>29.23</v>
      </c>
      <c r="D80" s="8">
        <v>27.38</v>
      </c>
      <c r="E80" s="15">
        <v>25.52</v>
      </c>
      <c r="F80" s="15">
        <v>27.17</v>
      </c>
      <c r="G80" s="15">
        <v>31.54</v>
      </c>
      <c r="H80" s="15">
        <v>26.52</v>
      </c>
      <c r="I80" s="15">
        <v>26.43</v>
      </c>
      <c r="J80" s="15">
        <v>24.47</v>
      </c>
      <c r="K80" s="15">
        <v>24.22</v>
      </c>
      <c r="L80" s="15">
        <v>25.14</v>
      </c>
      <c r="M80" s="15">
        <v>25.45</v>
      </c>
    </row>
    <row r="81">
      <c r="A81" s="6" t="s">
        <v>14</v>
      </c>
      <c r="B81" s="8">
        <v>31.9425</v>
      </c>
      <c r="C81" s="8">
        <v>31.9425</v>
      </c>
      <c r="D81" s="8">
        <v>31.9425</v>
      </c>
      <c r="E81" s="15">
        <v>31.9425</v>
      </c>
      <c r="F81" s="15">
        <v>30.17</v>
      </c>
      <c r="G81" s="15">
        <v>25.71</v>
      </c>
      <c r="H81" s="15">
        <v>23.78</v>
      </c>
      <c r="I81" s="15">
        <v>24.46</v>
      </c>
      <c r="J81" s="15">
        <v>22.17</v>
      </c>
      <c r="K81" s="15">
        <v>16.81</v>
      </c>
      <c r="L81" s="15">
        <v>23.01</v>
      </c>
      <c r="M81" s="15">
        <v>20.95</v>
      </c>
    </row>
    <row r="82">
      <c r="A82" s="6" t="s">
        <v>15</v>
      </c>
      <c r="B82" s="8">
        <v>6.91</v>
      </c>
      <c r="C82" s="8">
        <v>7.04</v>
      </c>
      <c r="D82" s="8">
        <v>6.88</v>
      </c>
      <c r="E82" s="15">
        <v>6.57</v>
      </c>
      <c r="F82" s="15">
        <v>9.49</v>
      </c>
      <c r="G82" s="15">
        <v>7.44</v>
      </c>
      <c r="H82" s="15">
        <v>7.57</v>
      </c>
      <c r="I82" s="15">
        <v>7.05</v>
      </c>
      <c r="J82" s="15">
        <v>6.29</v>
      </c>
      <c r="K82" s="15">
        <v>5.47</v>
      </c>
      <c r="L82" s="15">
        <v>5.36</v>
      </c>
      <c r="M82" s="15">
        <v>5.7</v>
      </c>
    </row>
    <row r="83">
      <c r="A83" s="6" t="s">
        <v>16</v>
      </c>
      <c r="B83" s="8">
        <v>7.89</v>
      </c>
      <c r="C83" s="8">
        <v>8.06</v>
      </c>
      <c r="D83" s="8">
        <v>8.13</v>
      </c>
      <c r="E83" s="15">
        <v>5.98</v>
      </c>
      <c r="F83" s="15">
        <v>0.667</v>
      </c>
      <c r="G83" s="15">
        <v>0.667</v>
      </c>
      <c r="H83" s="15">
        <v>4.44</v>
      </c>
      <c r="I83" s="15">
        <v>7.43</v>
      </c>
      <c r="J83" s="15">
        <v>3.76</v>
      </c>
      <c r="K83" s="15">
        <v>3.57</v>
      </c>
      <c r="L83" s="15">
        <v>3.6</v>
      </c>
      <c r="M83" s="15">
        <v>5.84</v>
      </c>
    </row>
    <row r="84">
      <c r="A84" s="6" t="s">
        <v>17</v>
      </c>
      <c r="B84" s="8">
        <v>9.32</v>
      </c>
      <c r="C84" s="8">
        <v>9.32</v>
      </c>
      <c r="D84" s="8">
        <v>6.83</v>
      </c>
      <c r="E84" s="15">
        <v>4.2</v>
      </c>
      <c r="F84" s="15">
        <v>5.99</v>
      </c>
      <c r="G84" s="15">
        <v>7.34</v>
      </c>
      <c r="H84" s="15">
        <v>8.7</v>
      </c>
      <c r="I84" s="15">
        <v>9.66</v>
      </c>
      <c r="J84" s="15">
        <v>10.77</v>
      </c>
      <c r="K84" s="15">
        <v>9.33</v>
      </c>
      <c r="L84" s="15">
        <v>7.46</v>
      </c>
      <c r="M84" s="15">
        <v>6.37</v>
      </c>
    </row>
    <row r="85">
      <c r="A85" s="6" t="s">
        <v>18</v>
      </c>
      <c r="B85" s="8">
        <v>11.55</v>
      </c>
      <c r="C85" s="8">
        <v>11.03</v>
      </c>
      <c r="D85" s="8">
        <v>9.27</v>
      </c>
      <c r="E85" s="15">
        <v>12.01</v>
      </c>
      <c r="F85" s="15">
        <v>12.8</v>
      </c>
      <c r="G85" s="15">
        <v>10.5</v>
      </c>
      <c r="H85" s="15">
        <v>13.32</v>
      </c>
      <c r="I85" s="15">
        <v>11.41</v>
      </c>
      <c r="J85" s="15">
        <v>12.29</v>
      </c>
      <c r="K85" s="15">
        <v>14.49</v>
      </c>
      <c r="L85" s="15">
        <v>12.39</v>
      </c>
      <c r="M85" s="15">
        <v>14.44</v>
      </c>
    </row>
    <row r="86">
      <c r="A86" s="6" t="s">
        <v>19</v>
      </c>
      <c r="B86" s="8">
        <v>31.9425</v>
      </c>
      <c r="C86" s="8">
        <v>31.9425</v>
      </c>
      <c r="D86" s="8">
        <v>31.9425</v>
      </c>
      <c r="E86" s="15">
        <v>31.9425</v>
      </c>
      <c r="F86" s="15">
        <v>29.82</v>
      </c>
      <c r="G86" s="15">
        <v>28.89</v>
      </c>
      <c r="H86" s="15">
        <v>28.25</v>
      </c>
      <c r="I86" s="15">
        <v>26.89</v>
      </c>
      <c r="J86" s="15">
        <v>28.44</v>
      </c>
      <c r="K86" s="15">
        <v>28.29</v>
      </c>
      <c r="L86" s="15">
        <v>28.57</v>
      </c>
      <c r="M86" s="15">
        <v>29.01</v>
      </c>
    </row>
    <row r="87">
      <c r="A87" s="6" t="s">
        <v>20</v>
      </c>
      <c r="B87" s="8">
        <v>8.37</v>
      </c>
      <c r="C87" s="8">
        <v>8.72</v>
      </c>
      <c r="D87" s="8">
        <v>8.43</v>
      </c>
      <c r="E87" s="15">
        <v>9.65</v>
      </c>
      <c r="F87" s="15">
        <v>11.39</v>
      </c>
      <c r="G87" s="15">
        <v>6.65</v>
      </c>
      <c r="H87" s="15">
        <v>6.98</v>
      </c>
      <c r="I87" s="15">
        <v>9.19</v>
      </c>
      <c r="J87" s="15">
        <v>9.8</v>
      </c>
      <c r="K87" s="15">
        <v>10.81</v>
      </c>
      <c r="L87" s="15">
        <v>6.29</v>
      </c>
      <c r="M87" s="15">
        <v>5.18</v>
      </c>
    </row>
    <row r="88">
      <c r="A88" s="6" t="s">
        <v>21</v>
      </c>
      <c r="B88" s="8">
        <v>16.09</v>
      </c>
      <c r="C88" s="8">
        <v>15.51</v>
      </c>
      <c r="D88" s="8">
        <v>16.12</v>
      </c>
      <c r="E88" s="15">
        <v>12.53</v>
      </c>
      <c r="F88" s="15">
        <v>8.73</v>
      </c>
      <c r="G88" s="15">
        <v>6.73</v>
      </c>
      <c r="H88" s="15">
        <v>1.21</v>
      </c>
      <c r="I88" s="15">
        <v>0.667</v>
      </c>
      <c r="J88" s="15">
        <v>0.667</v>
      </c>
      <c r="K88" s="15">
        <v>5.77</v>
      </c>
      <c r="L88" s="15">
        <v>8.42</v>
      </c>
      <c r="M88" s="15">
        <v>7.66</v>
      </c>
    </row>
    <row r="89">
      <c r="A89" s="6" t="s">
        <v>22</v>
      </c>
      <c r="B89" s="8">
        <v>20.88</v>
      </c>
      <c r="C89" s="8">
        <v>19.89</v>
      </c>
      <c r="D89" s="8">
        <v>19.5</v>
      </c>
      <c r="E89" s="15">
        <v>8.81</v>
      </c>
      <c r="F89" s="15">
        <v>6.82</v>
      </c>
      <c r="G89" s="15">
        <v>12.75</v>
      </c>
      <c r="H89" s="15">
        <v>11.04</v>
      </c>
      <c r="I89" s="15">
        <v>9.97</v>
      </c>
      <c r="J89" s="15">
        <v>25.02</v>
      </c>
      <c r="K89" s="15">
        <v>19.85</v>
      </c>
      <c r="L89" s="15">
        <v>20.0</v>
      </c>
      <c r="M89" s="15">
        <v>24.12</v>
      </c>
    </row>
    <row r="90">
      <c r="A90" s="6" t="s">
        <v>23</v>
      </c>
      <c r="B90" s="8">
        <v>6.33</v>
      </c>
      <c r="C90" s="8">
        <v>7.1</v>
      </c>
      <c r="D90" s="8">
        <v>0.68</v>
      </c>
      <c r="E90" s="15">
        <v>0.667</v>
      </c>
      <c r="F90" s="15">
        <v>0.667</v>
      </c>
      <c r="G90" s="15">
        <v>0.667</v>
      </c>
      <c r="H90" s="15">
        <v>0.667</v>
      </c>
      <c r="I90" s="15">
        <v>2.31</v>
      </c>
      <c r="J90" s="15">
        <v>2.24</v>
      </c>
      <c r="K90" s="15">
        <v>4.06</v>
      </c>
      <c r="L90" s="15">
        <v>5.35</v>
      </c>
      <c r="M90" s="15">
        <v>6.05</v>
      </c>
    </row>
    <row r="91">
      <c r="A91" s="6" t="s">
        <v>24</v>
      </c>
      <c r="B91" s="8">
        <v>1.36</v>
      </c>
      <c r="C91" s="8">
        <v>0.667</v>
      </c>
      <c r="D91" s="8">
        <v>3.14</v>
      </c>
      <c r="E91" s="15">
        <v>16.84</v>
      </c>
      <c r="F91" s="15">
        <v>5.02</v>
      </c>
      <c r="G91" s="15">
        <v>0.667</v>
      </c>
      <c r="H91" s="15">
        <v>5.62</v>
      </c>
      <c r="I91" s="15">
        <v>13.3</v>
      </c>
      <c r="J91" s="15">
        <v>0.667</v>
      </c>
      <c r="K91" s="15">
        <v>0.667</v>
      </c>
      <c r="L91" s="15">
        <v>0.667</v>
      </c>
      <c r="M91" s="15">
        <v>2.46</v>
      </c>
    </row>
    <row r="92">
      <c r="A92" s="6" t="s">
        <v>25</v>
      </c>
      <c r="B92" s="8">
        <v>19.11</v>
      </c>
      <c r="C92" s="8">
        <v>19.13</v>
      </c>
      <c r="D92" s="8">
        <v>18.76</v>
      </c>
      <c r="E92" s="15">
        <v>20.05</v>
      </c>
      <c r="F92" s="15">
        <v>19.83</v>
      </c>
      <c r="G92" s="15">
        <v>20.67</v>
      </c>
      <c r="H92" s="15">
        <v>21.54</v>
      </c>
      <c r="I92" s="15">
        <v>21.02</v>
      </c>
      <c r="J92" s="15">
        <v>22.34</v>
      </c>
      <c r="K92" s="15">
        <v>22.4</v>
      </c>
      <c r="L92" s="15">
        <v>21.19</v>
      </c>
      <c r="M92" s="15">
        <v>23.63</v>
      </c>
    </row>
    <row r="93">
      <c r="A93" s="6" t="s">
        <v>26</v>
      </c>
      <c r="B93" s="8">
        <v>8.01</v>
      </c>
      <c r="C93" s="8">
        <v>4.58</v>
      </c>
      <c r="D93" s="8">
        <v>9.16</v>
      </c>
      <c r="E93" s="15">
        <v>12.6</v>
      </c>
      <c r="F93" s="15">
        <v>11.49</v>
      </c>
      <c r="G93" s="15">
        <v>10.58</v>
      </c>
      <c r="H93" s="15">
        <v>12.53</v>
      </c>
      <c r="I93" s="15">
        <v>12.3</v>
      </c>
      <c r="J93" s="15">
        <v>9.79</v>
      </c>
      <c r="K93" s="15">
        <v>11.41</v>
      </c>
      <c r="L93" s="15">
        <v>11.75</v>
      </c>
      <c r="M93" s="15">
        <v>16.26</v>
      </c>
    </row>
    <row r="94">
      <c r="A94" s="6" t="s">
        <v>27</v>
      </c>
      <c r="B94" s="8">
        <v>5.51</v>
      </c>
      <c r="C94" s="8">
        <v>6.84</v>
      </c>
      <c r="D94" s="8">
        <v>8.06</v>
      </c>
      <c r="E94" s="15">
        <v>7.63</v>
      </c>
      <c r="F94" s="15">
        <v>4.52</v>
      </c>
      <c r="G94" s="15">
        <v>7.1</v>
      </c>
      <c r="H94" s="15">
        <v>7.03</v>
      </c>
      <c r="I94" s="15">
        <v>6.85</v>
      </c>
      <c r="J94" s="15">
        <v>5.27</v>
      </c>
      <c r="K94" s="15">
        <v>5.99</v>
      </c>
      <c r="L94" s="15">
        <v>6.85</v>
      </c>
      <c r="M94" s="15">
        <v>6.72</v>
      </c>
    </row>
    <row r="95">
      <c r="A95" s="6" t="s">
        <v>28</v>
      </c>
      <c r="B95" s="8">
        <v>8.45</v>
      </c>
      <c r="C95" s="8">
        <v>10.94</v>
      </c>
      <c r="D95" s="8">
        <v>3.76</v>
      </c>
      <c r="E95" s="15">
        <v>0.667</v>
      </c>
      <c r="F95" s="15">
        <v>0.667</v>
      </c>
      <c r="G95" s="15">
        <v>3.91</v>
      </c>
      <c r="H95" s="15">
        <v>4.04</v>
      </c>
      <c r="I95" s="15">
        <v>5.08</v>
      </c>
      <c r="J95" s="15">
        <v>5.18</v>
      </c>
      <c r="K95" s="15">
        <v>2.95</v>
      </c>
      <c r="L95" s="15">
        <v>5.66</v>
      </c>
      <c r="M95" s="15">
        <v>0.667</v>
      </c>
    </row>
    <row r="96">
      <c r="A96" s="6" t="s">
        <v>29</v>
      </c>
      <c r="B96" s="8">
        <v>7.96</v>
      </c>
      <c r="C96" s="8">
        <v>9.84</v>
      </c>
      <c r="D96" s="8">
        <v>8.01</v>
      </c>
      <c r="E96" s="15">
        <v>13.94</v>
      </c>
      <c r="F96" s="15">
        <v>12.2</v>
      </c>
      <c r="G96" s="15">
        <v>13.55</v>
      </c>
      <c r="H96" s="15">
        <v>5.76</v>
      </c>
      <c r="I96" s="15">
        <v>7.18</v>
      </c>
      <c r="J96" s="15">
        <v>10.69</v>
      </c>
      <c r="K96" s="15">
        <v>9.85</v>
      </c>
      <c r="L96" s="15">
        <v>8.63</v>
      </c>
      <c r="M96" s="15">
        <v>10.21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 t="s">
        <v>30</v>
      </c>
      <c r="B98" s="20">
        <f>MAX(E68:M96)</f>
        <v>31.9425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v>0.5481214085096876</v>
      </c>
      <c r="C101" s="8">
        <v>0.6259384308664954</v>
      </c>
      <c r="D101" s="8">
        <v>0.7371640659767196</v>
      </c>
      <c r="E101" s="15">
        <v>0.7839015438284094</v>
      </c>
      <c r="F101" s="15">
        <v>0.7561219797213337</v>
      </c>
      <c r="G101" s="15">
        <v>0.7371640659767196</v>
      </c>
      <c r="H101" s="15">
        <v>0.7275486072772779</v>
      </c>
      <c r="I101" s="15">
        <v>0.6981347220709843</v>
      </c>
      <c r="J101" s="15">
        <v>0.7884573603642703</v>
      </c>
      <c r="K101" s="15">
        <v>0.8754687373538999</v>
      </c>
      <c r="L101" s="15">
        <v>0.8796267475025636</v>
      </c>
      <c r="M101" s="15">
        <v>0.8458682675776092</v>
      </c>
    </row>
    <row r="102">
      <c r="A102" s="6" t="s">
        <v>2</v>
      </c>
      <c r="B102" s="8">
        <v>0.03922071315328133</v>
      </c>
      <c r="C102" s="8">
        <v>0.058268908123975824</v>
      </c>
      <c r="D102" s="8">
        <v>0.058268908123975824</v>
      </c>
      <c r="E102" s="15">
        <v>0.058268908123975824</v>
      </c>
      <c r="F102" s="15">
        <v>0.02955880224154443</v>
      </c>
      <c r="G102" s="15">
        <v>0.02955880224154443</v>
      </c>
      <c r="H102" s="15">
        <v>0.06765864847381486</v>
      </c>
      <c r="I102" s="15">
        <v>0.058268908123975824</v>
      </c>
      <c r="J102" s="15">
        <v>0.06765864847381486</v>
      </c>
      <c r="K102" s="15">
        <v>0.04879016416943205</v>
      </c>
      <c r="L102" s="15">
        <v>0.08617769624105241</v>
      </c>
      <c r="M102" s="15">
        <v>0.058268908123975824</v>
      </c>
    </row>
    <row r="103">
      <c r="A103" s="6" t="s">
        <v>3</v>
      </c>
      <c r="B103" s="8">
        <v>2.1838015570040787</v>
      </c>
      <c r="C103" s="8">
        <v>2.2710944259026746</v>
      </c>
      <c r="D103" s="8">
        <v>2.340843805111136</v>
      </c>
      <c r="E103" s="15">
        <v>2.3145136638593193</v>
      </c>
      <c r="F103" s="15">
        <v>2.2679936482244267</v>
      </c>
      <c r="G103" s="15">
        <v>2.1972245773362196</v>
      </c>
      <c r="H103" s="15">
        <v>2.4840729690394228</v>
      </c>
      <c r="I103" s="15">
        <v>2.372111155642656</v>
      </c>
      <c r="J103" s="15">
        <v>2.378619779270043</v>
      </c>
      <c r="K103" s="15">
        <v>2.2905125117597764</v>
      </c>
      <c r="L103" s="15">
        <v>2.3350522831315472</v>
      </c>
      <c r="M103" s="15">
        <v>2.3085671646715933</v>
      </c>
    </row>
    <row r="104">
      <c r="A104" s="6" t="s">
        <v>4</v>
      </c>
      <c r="B104" s="8">
        <v>1.7732559976634952</v>
      </c>
      <c r="C104" s="8">
        <v>1.7526720805200082</v>
      </c>
      <c r="D104" s="8">
        <v>1.715598108262491</v>
      </c>
      <c r="E104" s="15">
        <v>1.6074359097634274</v>
      </c>
      <c r="F104" s="15">
        <v>1.5195132049061133</v>
      </c>
      <c r="G104" s="15">
        <v>1.6174060820832772</v>
      </c>
      <c r="H104" s="15">
        <v>1.6486586255873816</v>
      </c>
      <c r="I104" s="15">
        <v>1.4447642049535876</v>
      </c>
      <c r="J104" s="15">
        <v>1.4447642049535876</v>
      </c>
      <c r="K104" s="15">
        <v>1.4447642049535876</v>
      </c>
      <c r="L104" s="15">
        <v>1.4447642049535876</v>
      </c>
      <c r="M104" s="15">
        <v>1.4447642049535876</v>
      </c>
    </row>
    <row r="105">
      <c r="A105" s="6" t="s">
        <v>5</v>
      </c>
      <c r="B105" s="8">
        <v>1.556037135706985</v>
      </c>
      <c r="C105" s="8">
        <v>1.572773928062509</v>
      </c>
      <c r="D105" s="8">
        <v>1.6074359097634274</v>
      </c>
      <c r="E105" s="15">
        <v>1.5644405465033644</v>
      </c>
      <c r="F105" s="15">
        <v>1.5195132049061133</v>
      </c>
      <c r="G105" s="15">
        <v>1.6134299337036377</v>
      </c>
      <c r="H105" s="15">
        <v>1.8180767775454285</v>
      </c>
      <c r="I105" s="15">
        <v>1.4861396960896067</v>
      </c>
      <c r="J105" s="15">
        <v>1.682688374173693</v>
      </c>
      <c r="K105" s="15">
        <v>1.7900914121273581</v>
      </c>
      <c r="L105" s="15">
        <v>1.742219023667919</v>
      </c>
      <c r="M105" s="15">
        <v>1.8196988379172965</v>
      </c>
    </row>
    <row r="106">
      <c r="A106" s="6" t="s">
        <v>6</v>
      </c>
      <c r="B106" s="8">
        <v>0.7884573603642703</v>
      </c>
      <c r="C106" s="8">
        <v>0.7561219797213337</v>
      </c>
      <c r="D106" s="8">
        <v>0.7419373447293773</v>
      </c>
      <c r="E106" s="15">
        <v>0.6575200029167942</v>
      </c>
      <c r="F106" s="15">
        <v>0.5988365010887039</v>
      </c>
      <c r="G106" s="15">
        <v>0.8796267475025636</v>
      </c>
      <c r="H106" s="15">
        <v>0.8153648132841944</v>
      </c>
      <c r="I106" s="15">
        <v>0.4885800148186709</v>
      </c>
      <c r="J106" s="15">
        <v>0.5481214085096876</v>
      </c>
      <c r="K106" s="15">
        <v>0.44468582126144574</v>
      </c>
      <c r="L106" s="15">
        <v>0.5306282510621704</v>
      </c>
      <c r="M106" s="15">
        <v>0.5766133643039938</v>
      </c>
    </row>
    <row r="107">
      <c r="A107" s="6" t="s">
        <v>7</v>
      </c>
      <c r="B107" s="8">
        <v>0.7561219797213337</v>
      </c>
      <c r="C107" s="8">
        <v>0.9162907318741551</v>
      </c>
      <c r="D107" s="8">
        <v>1.0367368849500223</v>
      </c>
      <c r="E107" s="15">
        <v>1.0986122886681098</v>
      </c>
      <c r="F107" s="15">
        <v>1.1391037175057006</v>
      </c>
      <c r="G107" s="15">
        <v>0.9242589015233319</v>
      </c>
      <c r="H107" s="15">
        <v>0.9895411936137477</v>
      </c>
      <c r="I107" s="15">
        <v>0.8796267475025636</v>
      </c>
      <c r="J107" s="15">
        <v>0.9242589015233319</v>
      </c>
      <c r="K107" s="15">
        <v>0.9162907318741551</v>
      </c>
      <c r="L107" s="15">
        <v>1.0152306797290584</v>
      </c>
      <c r="M107" s="15">
        <v>0.8197798314933114</v>
      </c>
    </row>
    <row r="108">
      <c r="A108" s="6" t="s">
        <v>8</v>
      </c>
      <c r="B108" s="8">
        <v>0.02955880224154443</v>
      </c>
      <c r="C108" s="8">
        <v>0.02955880224154443</v>
      </c>
      <c r="D108" s="8">
        <v>0.02955880224154443</v>
      </c>
      <c r="E108" s="15">
        <v>0.058268908123975824</v>
      </c>
      <c r="F108" s="15">
        <v>0.058268908123975824</v>
      </c>
      <c r="G108" s="15">
        <v>0.08617769624105241</v>
      </c>
      <c r="H108" s="15">
        <v>0.08617769624105241</v>
      </c>
      <c r="I108" s="15">
        <v>0.02955880224154443</v>
      </c>
      <c r="J108" s="15">
        <v>0.02955880224154443</v>
      </c>
      <c r="K108" s="15">
        <v>0.02955880224154443</v>
      </c>
      <c r="L108" s="15">
        <v>0.02955880224154443</v>
      </c>
      <c r="M108" s="15">
        <v>0.02955880224154443</v>
      </c>
    </row>
    <row r="109">
      <c r="A109" s="6" t="s">
        <v>9</v>
      </c>
      <c r="B109" s="8">
        <v>1.9837562915454279</v>
      </c>
      <c r="C109" s="8">
        <v>2.0943301541735866</v>
      </c>
      <c r="D109" s="8">
        <v>2.174751721484161</v>
      </c>
      <c r="E109" s="15">
        <v>2.149433913499871</v>
      </c>
      <c r="F109" s="15">
        <v>2.149433913499871</v>
      </c>
      <c r="G109" s="15">
        <v>2.188295946591918</v>
      </c>
      <c r="H109" s="15">
        <v>2.131796772013764</v>
      </c>
      <c r="I109" s="15">
        <v>2.3194422100604686</v>
      </c>
      <c r="J109" s="15">
        <v>2.199444334074532</v>
      </c>
      <c r="K109" s="15">
        <v>2.1849270495258133</v>
      </c>
      <c r="L109" s="15">
        <v>2.262804222982201</v>
      </c>
      <c r="M109" s="15">
        <v>2.4300984132930052</v>
      </c>
    </row>
    <row r="110">
      <c r="A110" s="6" t="s">
        <v>10</v>
      </c>
      <c r="B110" s="8">
        <v>0.44468582126144574</v>
      </c>
      <c r="C110" s="8">
        <v>0.45107561936021656</v>
      </c>
      <c r="D110" s="8">
        <v>0.43178241642553783</v>
      </c>
      <c r="E110" s="15">
        <v>0.41871033485818504</v>
      </c>
      <c r="F110" s="15">
        <v>0.3987761199573678</v>
      </c>
      <c r="G110" s="15">
        <v>0.9707789171582247</v>
      </c>
      <c r="H110" s="15">
        <v>0.8671004876833833</v>
      </c>
      <c r="I110" s="15">
        <v>0.8796267475025636</v>
      </c>
      <c r="J110" s="15">
        <v>0.9439058989071285</v>
      </c>
      <c r="K110" s="15">
        <v>0.85015092936961</v>
      </c>
      <c r="L110" s="15">
        <v>1.0784095813505903</v>
      </c>
      <c r="M110" s="15">
        <v>1.1391037175057006</v>
      </c>
    </row>
    <row r="111">
      <c r="A111" s="6" t="s">
        <v>11</v>
      </c>
      <c r="B111" s="8">
        <v>2.28949985344539</v>
      </c>
      <c r="C111" s="8">
        <v>2.2945529212967815</v>
      </c>
      <c r="D111" s="8">
        <v>2.1598687907924505</v>
      </c>
      <c r="E111" s="15">
        <v>2.211565694606877</v>
      </c>
      <c r="F111" s="15">
        <v>2.231089091288976</v>
      </c>
      <c r="G111" s="15">
        <v>2.3398808777377424</v>
      </c>
      <c r="H111" s="15">
        <v>2.315501318260592</v>
      </c>
      <c r="I111" s="15">
        <v>2.2648832258100344</v>
      </c>
      <c r="J111" s="15">
        <v>2.2192034840549946</v>
      </c>
      <c r="K111" s="15">
        <v>2.2181159363675955</v>
      </c>
      <c r="L111" s="15">
        <v>2.2353763433005955</v>
      </c>
      <c r="M111" s="15">
        <v>2.2289385528257473</v>
      </c>
    </row>
    <row r="112">
      <c r="A112" s="6" t="s">
        <v>12</v>
      </c>
      <c r="B112" s="8">
        <v>0.3852624007906449</v>
      </c>
      <c r="C112" s="8">
        <v>0.3987761199573678</v>
      </c>
      <c r="D112" s="8">
        <v>0.45107561936021656</v>
      </c>
      <c r="E112" s="15">
        <v>0.44468582126144574</v>
      </c>
      <c r="F112" s="15">
        <v>0.3576744442718159</v>
      </c>
      <c r="G112" s="15">
        <v>0.35065687161316933</v>
      </c>
      <c r="H112" s="15">
        <v>0.2468600779315258</v>
      </c>
      <c r="I112" s="15">
        <v>0.20701416938432612</v>
      </c>
      <c r="J112" s="15">
        <v>0.17395330712343798</v>
      </c>
      <c r="K112" s="15">
        <v>0.1823215567939546</v>
      </c>
      <c r="L112" s="15">
        <v>0.1823215567939546</v>
      </c>
      <c r="M112" s="15">
        <v>0.23111172096338664</v>
      </c>
      <c r="N112" s="6"/>
    </row>
    <row r="113">
      <c r="A113" s="6" t="s">
        <v>13</v>
      </c>
      <c r="B113" s="8">
        <v>0.12221763272424911</v>
      </c>
      <c r="C113" s="8">
        <v>0.1310282624064042</v>
      </c>
      <c r="D113" s="8">
        <v>0.20701416938432612</v>
      </c>
      <c r="E113" s="15">
        <v>0.2151113796169455</v>
      </c>
      <c r="F113" s="15">
        <v>0.20701416938432612</v>
      </c>
      <c r="G113" s="15">
        <v>0.1906203596086497</v>
      </c>
      <c r="H113" s="15">
        <v>0.2151113796169455</v>
      </c>
      <c r="I113" s="15">
        <v>0.20701416938432612</v>
      </c>
      <c r="J113" s="15">
        <v>0.22314355131420976</v>
      </c>
      <c r="K113" s="15">
        <v>0.35065687161316933</v>
      </c>
      <c r="L113" s="15">
        <v>0.36464311358790924</v>
      </c>
      <c r="M113" s="15">
        <v>0.37843643572024505</v>
      </c>
      <c r="N113" s="6"/>
    </row>
    <row r="114">
      <c r="A114" s="6" t="s">
        <v>14</v>
      </c>
      <c r="B114" s="8">
        <v>1.6882490928583902</v>
      </c>
      <c r="C114" s="8">
        <v>1.776645831418007</v>
      </c>
      <c r="D114" s="8">
        <v>1.7119945007591924</v>
      </c>
      <c r="E114" s="15">
        <v>1.7119945007591924</v>
      </c>
      <c r="F114" s="15">
        <v>1.7351891177396608</v>
      </c>
      <c r="G114" s="15">
        <v>1.843719208158766</v>
      </c>
      <c r="H114" s="15">
        <v>1.9110228900548727</v>
      </c>
      <c r="I114" s="15">
        <v>1.925707441737794</v>
      </c>
      <c r="J114" s="15">
        <v>1.9712993830601329</v>
      </c>
      <c r="K114" s="15">
        <v>1.9933388426264242</v>
      </c>
      <c r="L114" s="15">
        <v>1.958685340544036</v>
      </c>
      <c r="M114" s="15">
        <v>2.0215475632609334</v>
      </c>
    </row>
    <row r="115">
      <c r="A115" s="6" t="s">
        <v>15</v>
      </c>
      <c r="B115" s="8">
        <v>0.8458682675776092</v>
      </c>
      <c r="C115" s="8">
        <v>0.8415671856782188</v>
      </c>
      <c r="D115" s="8">
        <v>0.8458682675776092</v>
      </c>
      <c r="E115" s="15">
        <v>0.9162907318741551</v>
      </c>
      <c r="F115" s="15">
        <v>1.0043016091968684</v>
      </c>
      <c r="G115" s="15">
        <v>1.128171090909654</v>
      </c>
      <c r="H115" s="15">
        <v>1.1052568313867783</v>
      </c>
      <c r="I115" s="15">
        <v>0.9783261227936078</v>
      </c>
      <c r="J115" s="15">
        <v>0.9858167945227652</v>
      </c>
      <c r="K115" s="15">
        <v>1.095273387402595</v>
      </c>
      <c r="L115" s="15">
        <v>1.1019400787607843</v>
      </c>
      <c r="M115" s="15">
        <v>1.1391037175057006</v>
      </c>
      <c r="N115" s="6"/>
    </row>
    <row r="116">
      <c r="A116" s="6" t="s">
        <v>16</v>
      </c>
      <c r="B116" s="8">
        <v>0.9439058989071285</v>
      </c>
      <c r="C116" s="8">
        <v>0.9400072584914712</v>
      </c>
      <c r="D116" s="8">
        <v>0.9439058989071285</v>
      </c>
      <c r="E116" s="15">
        <v>0.9477893989335261</v>
      </c>
      <c r="F116" s="15">
        <v>0.887891257352457</v>
      </c>
      <c r="G116" s="15">
        <v>0.9400072584914712</v>
      </c>
      <c r="H116" s="15">
        <v>0.8544153281560676</v>
      </c>
      <c r="I116" s="15">
        <v>0.8020015854720274</v>
      </c>
      <c r="J116" s="15">
        <v>0.8544153281560676</v>
      </c>
      <c r="K116" s="15">
        <v>0.7701082216960737</v>
      </c>
      <c r="L116" s="15">
        <v>0.7608058290337599</v>
      </c>
      <c r="M116" s="15">
        <v>0.7929925155296614</v>
      </c>
      <c r="N116" s="6"/>
    </row>
    <row r="117">
      <c r="A117" s="6" t="s">
        <v>17</v>
      </c>
      <c r="B117" s="8">
        <v>0.26236426446749106</v>
      </c>
      <c r="C117" s="8">
        <v>0.30748469974796055</v>
      </c>
      <c r="D117" s="8">
        <v>0.30748469974796055</v>
      </c>
      <c r="E117" s="15">
        <v>0.29266961396282004</v>
      </c>
      <c r="F117" s="15">
        <v>0.28517894223366247</v>
      </c>
      <c r="G117" s="15">
        <v>0.23901690047049992</v>
      </c>
      <c r="H117" s="15">
        <v>0.2700271372130602</v>
      </c>
      <c r="I117" s="15">
        <v>0.29266961396282004</v>
      </c>
      <c r="J117" s="15">
        <v>0.30010459245033816</v>
      </c>
      <c r="K117" s="15">
        <v>0.34358970439007686</v>
      </c>
      <c r="L117" s="15">
        <v>0.43178241642553783</v>
      </c>
      <c r="M117" s="15">
        <v>0.4824261492442928</v>
      </c>
      <c r="N117" s="6"/>
    </row>
    <row r="118">
      <c r="A118" s="6" t="s">
        <v>18</v>
      </c>
      <c r="B118" s="8">
        <v>0.7654678421395714</v>
      </c>
      <c r="C118" s="8">
        <v>0.8064758658669485</v>
      </c>
      <c r="D118" s="8">
        <v>0.8458682675776092</v>
      </c>
      <c r="E118" s="15">
        <v>0.8458682675776092</v>
      </c>
      <c r="F118" s="15">
        <v>0.8671004876833833</v>
      </c>
      <c r="G118" s="15">
        <v>0.8796267475025636</v>
      </c>
      <c r="H118" s="15">
        <v>0.8153648132841944</v>
      </c>
      <c r="I118" s="15">
        <v>0.7561219797213337</v>
      </c>
      <c r="J118" s="15">
        <v>0.712949807856125</v>
      </c>
      <c r="K118" s="15">
        <v>0.6678293725756554</v>
      </c>
      <c r="L118" s="15">
        <v>0.6729444732424258</v>
      </c>
      <c r="M118" s="15">
        <v>0.5481214085096876</v>
      </c>
      <c r="N118" s="6"/>
    </row>
    <row r="119">
      <c r="A119" s="6" t="s">
        <v>19</v>
      </c>
      <c r="B119" s="8">
        <v>0.8796267475025636</v>
      </c>
      <c r="C119" s="8">
        <v>0.883767540168595</v>
      </c>
      <c r="D119" s="8">
        <v>0.9242589015233319</v>
      </c>
      <c r="E119" s="15">
        <v>1.0188473201992472</v>
      </c>
      <c r="F119" s="15">
        <v>1.0543120297715298</v>
      </c>
      <c r="G119" s="15">
        <v>1.1391037175057006</v>
      </c>
      <c r="H119" s="15">
        <v>1.1391037175057006</v>
      </c>
      <c r="I119" s="15">
        <v>1.1391037175057006</v>
      </c>
      <c r="J119" s="15">
        <v>1.1391037175057006</v>
      </c>
      <c r="K119" s="15">
        <v>1.1391037175057006</v>
      </c>
      <c r="L119" s="15">
        <v>1.1391037175057006</v>
      </c>
      <c r="M119" s="15">
        <v>1.1391037175057006</v>
      </c>
      <c r="N119" s="6"/>
    </row>
    <row r="120">
      <c r="A120" s="6" t="s">
        <v>20</v>
      </c>
      <c r="B120" s="8">
        <v>0.34358970439007686</v>
      </c>
      <c r="C120" s="8">
        <v>0.34358970439007686</v>
      </c>
      <c r="D120" s="8">
        <v>0.36464311358790924</v>
      </c>
      <c r="E120" s="15">
        <v>0.29266961396282004</v>
      </c>
      <c r="F120" s="15">
        <v>0.27763173659827955</v>
      </c>
      <c r="G120" s="15">
        <v>0.5007752879124892</v>
      </c>
      <c r="H120" s="15">
        <v>0.5306282510621704</v>
      </c>
      <c r="I120" s="15">
        <v>0.4824261492442928</v>
      </c>
      <c r="J120" s="15">
        <v>0.5306282510621704</v>
      </c>
      <c r="K120" s="15">
        <v>0.5423242908253617</v>
      </c>
      <c r="L120" s="15">
        <v>0.5187937934151676</v>
      </c>
      <c r="M120" s="15">
        <v>0.5187937934151676</v>
      </c>
      <c r="N120" s="6"/>
    </row>
    <row r="121">
      <c r="A121" s="6" t="s">
        <v>21</v>
      </c>
      <c r="B121" s="8">
        <v>2.7067159780890733</v>
      </c>
      <c r="C121" s="8">
        <v>2.7843937676895436</v>
      </c>
      <c r="D121" s="8">
        <v>2.806386101823072</v>
      </c>
      <c r="E121" s="15">
        <v>2.8068995418870073</v>
      </c>
      <c r="F121" s="15">
        <v>2.8068995418870073</v>
      </c>
      <c r="G121" s="15">
        <v>2.8068995418870073</v>
      </c>
      <c r="H121" s="15">
        <v>2.8068995418870073</v>
      </c>
      <c r="I121" s="15">
        <v>2.7523860149222616</v>
      </c>
      <c r="J121" s="15">
        <v>2.761906873892921</v>
      </c>
      <c r="K121" s="15">
        <v>2.7985001040242823</v>
      </c>
      <c r="L121" s="15">
        <v>2.8068995418870073</v>
      </c>
      <c r="M121" s="15">
        <v>2.7868613815264998</v>
      </c>
    </row>
    <row r="122">
      <c r="A122" s="6" t="s">
        <v>22</v>
      </c>
      <c r="B122" s="8">
        <v>0.23901690047049992</v>
      </c>
      <c r="C122" s="8">
        <v>0.29266961396282004</v>
      </c>
      <c r="D122" s="8">
        <v>0.32930374714260047</v>
      </c>
      <c r="E122" s="15">
        <v>0.32930374714260047</v>
      </c>
      <c r="F122" s="15">
        <v>0.32930374714260047</v>
      </c>
      <c r="G122" s="15">
        <v>0.3576744442718159</v>
      </c>
      <c r="H122" s="15">
        <v>0.3364722366212129</v>
      </c>
      <c r="I122" s="15">
        <v>0.34358970439007686</v>
      </c>
      <c r="J122" s="15">
        <v>0.28517894223366247</v>
      </c>
      <c r="K122" s="15">
        <v>0.28517894223366247</v>
      </c>
      <c r="L122" s="15">
        <v>0.35065687161316933</v>
      </c>
      <c r="M122" s="15">
        <v>0.26236426446749106</v>
      </c>
    </row>
    <row r="123">
      <c r="A123" s="6" t="s">
        <v>23</v>
      </c>
      <c r="B123" s="8">
        <v>0.43178241642553783</v>
      </c>
      <c r="C123" s="8">
        <v>0.7701082216960737</v>
      </c>
      <c r="D123" s="8">
        <v>1.1391037175057006</v>
      </c>
      <c r="E123" s="15">
        <v>1.1391037175057006</v>
      </c>
      <c r="F123" s="15">
        <v>1.1249295969854831</v>
      </c>
      <c r="G123" s="15">
        <v>0.9477893989335261</v>
      </c>
      <c r="H123" s="15">
        <v>0.9202827531436925</v>
      </c>
      <c r="I123" s="15">
        <v>0.5988365010887039</v>
      </c>
      <c r="J123" s="15">
        <v>0.8241754429663495</v>
      </c>
      <c r="K123" s="15">
        <v>0.5766133643039938</v>
      </c>
      <c r="L123" s="15">
        <v>0.8020015854720274</v>
      </c>
      <c r="M123" s="15">
        <v>0.6097655716208942</v>
      </c>
    </row>
    <row r="124">
      <c r="A124" s="6" t="s">
        <v>24</v>
      </c>
      <c r="B124" s="8">
        <v>0.6830968447064438</v>
      </c>
      <c r="C124" s="8">
        <v>0.6365768290715511</v>
      </c>
      <c r="D124" s="8">
        <v>0.5653138090500605</v>
      </c>
      <c r="E124" s="15">
        <v>0.47000362924573563</v>
      </c>
      <c r="F124" s="15">
        <v>0.7419373447293773</v>
      </c>
      <c r="G124" s="15">
        <v>0.9516578757114463</v>
      </c>
      <c r="H124" s="15">
        <v>0.8628899551470398</v>
      </c>
      <c r="I124" s="15">
        <v>0.9202827531436925</v>
      </c>
      <c r="J124" s="15">
        <v>1.1391037175057006</v>
      </c>
      <c r="K124" s="15">
        <v>1.0784095813505903</v>
      </c>
      <c r="L124" s="15">
        <v>1.1391037175057006</v>
      </c>
      <c r="M124" s="15">
        <v>0.9895411936137477</v>
      </c>
    </row>
    <row r="125">
      <c r="A125" s="6" t="s">
        <v>25</v>
      </c>
      <c r="B125" s="8">
        <v>0.5247285289349821</v>
      </c>
      <c r="C125" s="8">
        <v>0.5128236264286637</v>
      </c>
      <c r="D125" s="8">
        <v>0.46373401623214006</v>
      </c>
      <c r="E125" s="15">
        <v>0.4574248470388755</v>
      </c>
      <c r="F125" s="15">
        <v>0.4054651081081644</v>
      </c>
      <c r="G125" s="15">
        <v>0.35065687161316933</v>
      </c>
      <c r="H125" s="15">
        <v>0.23111172096338664</v>
      </c>
      <c r="I125" s="15">
        <v>0.23111172096338664</v>
      </c>
      <c r="J125" s="15">
        <v>0.17395330712343798</v>
      </c>
      <c r="K125" s="15">
        <v>0.19885085874516517</v>
      </c>
      <c r="L125" s="15">
        <v>0.23111172096338664</v>
      </c>
      <c r="M125" s="15">
        <v>0.23901690047049992</v>
      </c>
    </row>
    <row r="126">
      <c r="A126" s="6" t="s">
        <v>26</v>
      </c>
      <c r="B126" s="8">
        <v>0.02955880224154443</v>
      </c>
      <c r="C126" s="8">
        <v>0.058268908123975824</v>
      </c>
      <c r="D126" s="8">
        <v>0.058268908123975824</v>
      </c>
      <c r="E126" s="15">
        <v>0.058268908123975824</v>
      </c>
      <c r="F126" s="15">
        <v>0.06765864847381486</v>
      </c>
      <c r="G126" s="15">
        <v>0.10436001532424286</v>
      </c>
      <c r="H126" s="15">
        <v>0.06765864847381486</v>
      </c>
      <c r="I126" s="15">
        <v>0.08617769624105241</v>
      </c>
      <c r="J126" s="15">
        <v>0.06765864847381486</v>
      </c>
      <c r="K126" s="15">
        <v>0.06765864847381486</v>
      </c>
      <c r="L126" s="15">
        <v>0.058268908123975824</v>
      </c>
      <c r="M126" s="15">
        <v>0.02955880224154443</v>
      </c>
    </row>
    <row r="127">
      <c r="A127" s="6" t="s">
        <v>27</v>
      </c>
      <c r="B127" s="8">
        <v>0.9400072584914712</v>
      </c>
      <c r="C127" s="8">
        <v>0.8754687373538999</v>
      </c>
      <c r="D127" s="8">
        <v>0.4885800148186709</v>
      </c>
      <c r="E127" s="15">
        <v>0.058268908123975824</v>
      </c>
      <c r="F127" s="15">
        <v>0.4574248470388755</v>
      </c>
      <c r="G127" s="15">
        <v>0.30010459245033816</v>
      </c>
      <c r="H127" s="15">
        <v>0.32930374714260047</v>
      </c>
      <c r="I127" s="15">
        <v>0.28517894223366247</v>
      </c>
      <c r="J127" s="15">
        <v>0.36464311358790924</v>
      </c>
      <c r="K127" s="15">
        <v>0.02955880224154443</v>
      </c>
      <c r="L127" s="15">
        <v>0.02955880224154443</v>
      </c>
      <c r="M127" s="15">
        <v>0.27763173659827955</v>
      </c>
    </row>
    <row r="128">
      <c r="A128" s="6" t="s">
        <v>28</v>
      </c>
      <c r="B128" s="8">
        <v>0.08617769624105241</v>
      </c>
      <c r="C128" s="8">
        <v>0.11332868530700327</v>
      </c>
      <c r="D128" s="8">
        <v>0.17395330712343798</v>
      </c>
      <c r="E128" s="15">
        <v>0.1906203596086497</v>
      </c>
      <c r="F128" s="15">
        <v>0.02955880224154443</v>
      </c>
      <c r="G128" s="15">
        <v>0.12221763272424911</v>
      </c>
      <c r="H128" s="15">
        <v>0.2151113796169455</v>
      </c>
      <c r="I128" s="15">
        <v>0.22314355131420976</v>
      </c>
      <c r="J128" s="15">
        <v>0.17395330712343798</v>
      </c>
      <c r="K128" s="15">
        <v>0.06765864847381486</v>
      </c>
      <c r="L128" s="15">
        <v>0.0769610411361284</v>
      </c>
      <c r="M128" s="15">
        <v>0.28517894223366247</v>
      </c>
    </row>
    <row r="129">
      <c r="A129" s="6" t="s">
        <v>29</v>
      </c>
      <c r="B129" s="8">
        <v>0.28517894223366247</v>
      </c>
      <c r="C129" s="8">
        <v>0.1570037488096647</v>
      </c>
      <c r="D129" s="8">
        <v>0.16551443847757333</v>
      </c>
      <c r="E129" s="15">
        <v>0.1823215567939546</v>
      </c>
      <c r="F129" s="15">
        <v>0.3364722366212129</v>
      </c>
      <c r="G129" s="15">
        <v>0.4382549309311553</v>
      </c>
      <c r="H129" s="15">
        <v>0.6205764877251098</v>
      </c>
      <c r="I129" s="15">
        <v>0.5364933705145685</v>
      </c>
      <c r="J129" s="15">
        <v>0.2700271372130602</v>
      </c>
      <c r="K129" s="15">
        <v>0.29266961396282004</v>
      </c>
      <c r="L129" s="15">
        <v>0.3364722366212129</v>
      </c>
      <c r="M129" s="15">
        <v>0.34358970439007686</v>
      </c>
    </row>
    <row r="131">
      <c r="A131" s="22" t="s">
        <v>58</v>
      </c>
      <c r="B131" s="23">
        <f>MAX(E101:M129)</f>
        <v>2.806899542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8">
        <v>2025.0</v>
      </c>
      <c r="C1" s="8">
        <v>2024.0</v>
      </c>
      <c r="D1" s="21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24">
        <f>(Processed_Ratios!B2 / Processed_Ratios!$B$32) * 10</f>
        <v>2.739557936</v>
      </c>
      <c r="C2" s="24">
        <f>(Processed_Ratios!C2 / Processed_Ratios!$B$32) * 10</f>
        <v>2.003318413</v>
      </c>
      <c r="D2" s="24">
        <f>(Processed_Ratios!D2 / Processed_Ratios!$B$32) * 10</f>
        <v>1.311359962</v>
      </c>
      <c r="E2" s="25">
        <f>(Processed_Ratios!E2 / Processed_Ratios!$B$32) * 10</f>
        <v>1.194521951</v>
      </c>
      <c r="F2" s="25">
        <f>(Processed_Ratios!F2 / Processed_Ratios!$B$32) * 10</f>
        <v>1.311359962</v>
      </c>
      <c r="G2" s="25">
        <f>(Processed_Ratios!G2 / Processed_Ratios!$B$32) * 10</f>
        <v>0.9789851632</v>
      </c>
      <c r="H2" s="25">
        <f>(Processed_Ratios!H2 / Processed_Ratios!$B$32) * 10</f>
        <v>1.028067798</v>
      </c>
      <c r="I2" s="25">
        <f>(Processed_Ratios!I2 / Processed_Ratios!$B$32) * 10</f>
        <v>0.9464412422</v>
      </c>
      <c r="J2" s="25">
        <f>(Processed_Ratios!J2 / Processed_Ratios!$B$32) * 10</f>
        <v>1.007794536</v>
      </c>
      <c r="K2" s="25">
        <f>(Processed_Ratios!K2 / Processed_Ratios!$B$32) * 10</f>
        <v>0.7463761544</v>
      </c>
      <c r="L2" s="25">
        <f>(Processed_Ratios!L2 / Processed_Ratios!$B$32) * 10</f>
        <v>0.5964607152</v>
      </c>
      <c r="M2" s="25">
        <f>(Processed_Ratios!M2 / Processed_Ratios!$B$32) * 10</f>
        <v>0.4508133313</v>
      </c>
    </row>
    <row r="3">
      <c r="A3" s="6" t="s">
        <v>2</v>
      </c>
      <c r="B3" s="24">
        <f>(Processed_Ratios!B3 / Processed_Ratios!$B$32) * 10</f>
        <v>2.040663896</v>
      </c>
      <c r="C3" s="24">
        <f>(Processed_Ratios!C3 / Processed_Ratios!$B$32) * 10</f>
        <v>3.037788294</v>
      </c>
      <c r="D3" s="24">
        <f>(Processed_Ratios!D3 / Processed_Ratios!$B$32) * 10</f>
        <v>2.28447655</v>
      </c>
      <c r="E3" s="25">
        <f>(Processed_Ratios!E3 / Processed_Ratios!$B$32) * 10</f>
        <v>1.6853483</v>
      </c>
      <c r="F3" s="25">
        <f>(Processed_Ratios!F3 / Processed_Ratios!$B$32) * 10</f>
        <v>1.746168087</v>
      </c>
      <c r="G3" s="25">
        <f>(Processed_Ratios!G3 / Processed_Ratios!$B$32) * 10</f>
        <v>1.504489461</v>
      </c>
      <c r="H3" s="25">
        <f>(Processed_Ratios!H3 / Processed_Ratios!$B$32) * 10</f>
        <v>1.199323513</v>
      </c>
      <c r="I3" s="25">
        <f>(Processed_Ratios!I3 / Processed_Ratios!$B$32) * 10</f>
        <v>1.134235671</v>
      </c>
      <c r="J3" s="25">
        <f>(Processed_Ratios!J3 / Processed_Ratios!$B$32) * 10</f>
        <v>1.078750954</v>
      </c>
      <c r="K3" s="25">
        <f>(Processed_Ratios!K3 / Processed_Ratios!$B$32) * 10</f>
        <v>0.9704490528</v>
      </c>
      <c r="L3" s="25">
        <f>(Processed_Ratios!L3 / Processed_Ratios!$B$32) * 10</f>
        <v>0.7757190339</v>
      </c>
      <c r="M3" s="25">
        <f>(Processed_Ratios!M3 / Processed_Ratios!$B$32) * 10</f>
        <v>0.6780872711</v>
      </c>
    </row>
    <row r="4">
      <c r="A4" s="6" t="s">
        <v>3</v>
      </c>
      <c r="B4" s="24">
        <f>(Processed_Ratios!B4 / Processed_Ratios!$B$32) * 10</f>
        <v>4.811165232</v>
      </c>
      <c r="C4" s="24">
        <f>(Processed_Ratios!C4 / Processed_Ratios!$B$32) * 10</f>
        <v>4.535342165</v>
      </c>
      <c r="D4" s="24">
        <f>(Processed_Ratios!D4 / Processed_Ratios!$B$32) * 10</f>
        <v>1.869408181</v>
      </c>
      <c r="E4" s="25">
        <f>(Processed_Ratios!E4 / Processed_Ratios!$B$32) * 10</f>
        <v>2.449330182</v>
      </c>
      <c r="F4" s="25">
        <f>(Processed_Ratios!F4 / Processed_Ratios!$B$32) * 10</f>
        <v>1.290553193</v>
      </c>
      <c r="G4" s="25">
        <f>(Processed_Ratios!G4 / Processed_Ratios!$B$32) * 10</f>
        <v>0.3627846926</v>
      </c>
      <c r="H4" s="25">
        <f>(Processed_Ratios!H4 / Processed_Ratios!$B$32) * 10</f>
        <v>1.03980495</v>
      </c>
      <c r="I4" s="25">
        <f>(Processed_Ratios!I4 / Processed_Ratios!$B$32) * 10</f>
        <v>0.1121164752</v>
      </c>
      <c r="J4" s="25">
        <f>(Processed_Ratios!J4 / Processed_Ratios!$B$32) * 10</f>
        <v>0.8792193727</v>
      </c>
      <c r="K4" s="25">
        <f>(Processed_Ratios!K4 / Processed_Ratios!$B$32) * 10</f>
        <v>1.863539605</v>
      </c>
      <c r="L4" s="25">
        <f>(Processed_Ratios!L4 / Processed_Ratios!$B$32) * 10</f>
        <v>1.666142052</v>
      </c>
      <c r="M4" s="25">
        <f>(Processed_Ratios!M4 / Processed_Ratios!$B$32) * 10</f>
        <v>7.15966261</v>
      </c>
    </row>
    <row r="5">
      <c r="A5" s="6" t="s">
        <v>4</v>
      </c>
      <c r="B5" s="24">
        <f>(Processed_Ratios!B5 / Processed_Ratios!$B$32) * 10</f>
        <v>0.5175016939</v>
      </c>
      <c r="C5" s="24">
        <f>(Processed_Ratios!C5 / Processed_Ratios!$B$32) * 10</f>
        <v>0.3894600377</v>
      </c>
      <c r="D5" s="24">
        <f>(Processed_Ratios!D5 / Processed_Ratios!$B$32) * 10</f>
        <v>0.2454131744</v>
      </c>
      <c r="E5" s="25">
        <f>(Processed_Ratios!E5 / Processed_Ratios!$B$32) * 10</f>
        <v>1.419128356</v>
      </c>
      <c r="F5" s="25">
        <f>(Processed_Ratios!F5 / Processed_Ratios!$B$32) * 10</f>
        <v>0.597527729</v>
      </c>
      <c r="G5" s="25">
        <f>(Processed_Ratios!G5 / Processed_Ratios!$B$32) * 10</f>
        <v>2.235393915</v>
      </c>
      <c r="H5" s="25">
        <f>(Processed_Ratios!H5 / Processed_Ratios!$B$32) * 10</f>
        <v>1.029668319</v>
      </c>
      <c r="I5" s="25">
        <f>(Processed_Ratios!I5 / Processed_Ratios!$B$32) * 10</f>
        <v>0.4748211418</v>
      </c>
      <c r="J5" s="25">
        <f>(Processed_Ratios!J5 / Processed_Ratios!$B$32) * 10</f>
        <v>0.2347430364</v>
      </c>
      <c r="K5" s="25">
        <f>(Processed_Ratios!K5 / Processed_Ratios!$B$32) * 10</f>
        <v>0.5495121079</v>
      </c>
      <c r="L5" s="25">
        <f>(Processed_Ratios!L5 / Processed_Ratios!$B$32) * 10</f>
        <v>0.4214704517</v>
      </c>
      <c r="M5" s="25">
        <f>(Processed_Ratios!M5 / Processed_Ratios!$B$32) * 10</f>
        <v>0.2774235885</v>
      </c>
    </row>
    <row r="6">
      <c r="A6" s="6" t="s">
        <v>5</v>
      </c>
      <c r="B6" s="24">
        <f>(Processed_Ratios!B6 / Processed_Ratios!$B$32) * 10</f>
        <v>10</v>
      </c>
      <c r="C6" s="24">
        <f>(Processed_Ratios!C6 / Processed_Ratios!$B$32) * 10</f>
        <v>10</v>
      </c>
      <c r="D6" s="24">
        <f>(Processed_Ratios!D6 / Processed_Ratios!$B$32) * 10</f>
        <v>10</v>
      </c>
      <c r="E6" s="25">
        <f>(Processed_Ratios!E6 / Processed_Ratios!$B$32) * 10</f>
        <v>6.177476406</v>
      </c>
      <c r="F6" s="25">
        <f>(Processed_Ratios!F6 / Processed_Ratios!$B$32) * 10</f>
        <v>3.894600377</v>
      </c>
      <c r="G6" s="25">
        <f>(Processed_Ratios!G6 / Processed_Ratios!$B$32) * 10</f>
        <v>4.751945966</v>
      </c>
      <c r="H6" s="25">
        <f>(Processed_Ratios!H6 / Processed_Ratios!$B$32) * 10</f>
        <v>3.667859944</v>
      </c>
      <c r="I6" s="25">
        <f>(Processed_Ratios!I6 / Processed_Ratios!$B$32) * 10</f>
        <v>2.510149969</v>
      </c>
      <c r="J6" s="25">
        <f>(Processed_Ratios!J6 / Processed_Ratios!$B$32) * 10</f>
        <v>1.796317735</v>
      </c>
      <c r="K6" s="25">
        <f>(Processed_Ratios!K6 / Processed_Ratios!$B$32) * 10</f>
        <v>10</v>
      </c>
      <c r="L6" s="25">
        <f>(Processed_Ratios!L6 / Processed_Ratios!$B$32) * 10</f>
        <v>9.480417629</v>
      </c>
      <c r="M6" s="25">
        <f>(Processed_Ratios!M6 / Processed_Ratios!$B$32) * 10</f>
        <v>7.663826632</v>
      </c>
    </row>
    <row r="7">
      <c r="A7" s="6" t="s">
        <v>6</v>
      </c>
      <c r="B7" s="24">
        <f>(Processed_Ratios!B7 / Processed_Ratios!$B$32) * 10</f>
        <v>0.3883930239</v>
      </c>
      <c r="C7" s="24">
        <f>(Processed_Ratios!C7 / Processed_Ratios!$B$32) * 10</f>
        <v>0.290761261</v>
      </c>
      <c r="D7" s="24">
        <f>(Processed_Ratios!D7 / Processed_Ratios!$B$32) * 10</f>
        <v>0.2182043225</v>
      </c>
      <c r="E7" s="25">
        <f>(Processed_Ratios!E7 / Processed_Ratios!$B$32) * 10</f>
        <v>0.5255042974</v>
      </c>
      <c r="F7" s="25">
        <f>(Processed_Ratios!F7 / Processed_Ratios!$B$32) * 10</f>
        <v>0.4598829486</v>
      </c>
      <c r="G7" s="25">
        <f>(Processed_Ratios!G7 / Processed_Ratios!$B$32) * 10</f>
        <v>0.3995966688</v>
      </c>
      <c r="H7" s="25">
        <f>(Processed_Ratios!H7 / Processed_Ratios!$B$32) * 10</f>
        <v>0.4129343413</v>
      </c>
      <c r="I7" s="25">
        <f>(Processed_Ratios!I7 / Processed_Ratios!$B$32) * 10</f>
        <v>0.3110345232</v>
      </c>
      <c r="J7" s="25">
        <f>(Processed_Ratios!J7 / Processed_Ratios!$B$32) * 10</f>
        <v>0.3169030991</v>
      </c>
      <c r="K7" s="25">
        <f>(Processed_Ratios!K7 / Processed_Ratios!$B$32) * 10</f>
        <v>0.2971633438</v>
      </c>
      <c r="L7" s="25">
        <f>(Processed_Ratios!L7 / Processed_Ratios!$B$32) * 10</f>
        <v>7.983930772</v>
      </c>
      <c r="M7" s="25">
        <f>(Processed_Ratios!M7 / Processed_Ratios!$B$32) * 10</f>
        <v>6.343930559</v>
      </c>
    </row>
    <row r="8">
      <c r="A8" s="6" t="s">
        <v>7</v>
      </c>
      <c r="B8" s="24">
        <f>(Processed_Ratios!B8 / Processed_Ratios!$B$32) * 10</f>
        <v>2.989772673</v>
      </c>
      <c r="C8" s="24">
        <f>(Processed_Ratios!C8 / Processed_Ratios!$B$32) * 10</f>
        <v>0.6828888332</v>
      </c>
      <c r="D8" s="24">
        <f>(Processed_Ratios!D8 / Processed_Ratios!$B$32) * 10</f>
        <v>0.7773195546</v>
      </c>
      <c r="E8" s="25">
        <f>(Processed_Ratios!E8 / Processed_Ratios!$B$32) * 10</f>
        <v>0.4070657654</v>
      </c>
      <c r="F8" s="25">
        <f>(Processed_Ratios!F8 / Processed_Ratios!$B$32) * 10</f>
        <v>0.1121164752</v>
      </c>
      <c r="G8" s="25">
        <f>(Processed_Ratios!G8 / Processed_Ratios!$B$32) * 10</f>
        <v>0.1121164752</v>
      </c>
      <c r="H8" s="25">
        <f>(Processed_Ratios!H8 / Processed_Ratios!$B$32) * 10</f>
        <v>0.1121164752</v>
      </c>
      <c r="I8" s="25">
        <f>(Processed_Ratios!I8 / Processed_Ratios!$B$32) * 10</f>
        <v>0.1467143978</v>
      </c>
      <c r="J8" s="25">
        <f>(Processed_Ratios!J8 / Processed_Ratios!$B$32) * 10</f>
        <v>0.5073650628</v>
      </c>
      <c r="K8" s="25">
        <f>(Processed_Ratios!K8 / Processed_Ratios!$B$32) * 10</f>
        <v>0.8109304894</v>
      </c>
      <c r="L8" s="25">
        <f>(Processed_Ratios!L8 / Processed_Ratios!$B$32) * 10</f>
        <v>0.6167339775</v>
      </c>
      <c r="M8" s="25">
        <f>(Processed_Ratios!M8 / Processed_Ratios!$B$32) * 10</f>
        <v>0.3739883375</v>
      </c>
    </row>
    <row r="9">
      <c r="A9" s="6" t="s">
        <v>8</v>
      </c>
      <c r="B9" s="24">
        <f>(Processed_Ratios!B9 / Processed_Ratios!$B$32) * 10</f>
        <v>3.419245728</v>
      </c>
      <c r="C9" s="24">
        <f>(Processed_Ratios!C9 / Processed_Ratios!$B$32) * 10</f>
        <v>3.086870929</v>
      </c>
      <c r="D9" s="24">
        <f>(Processed_Ratios!D9 / Processed_Ratios!$B$32) * 10</f>
        <v>2.92308431</v>
      </c>
      <c r="E9" s="25">
        <f>(Processed_Ratios!E9 / Processed_Ratios!$B$32) * 10</f>
        <v>2.655263846</v>
      </c>
      <c r="F9" s="25">
        <f>(Processed_Ratios!F9 / Processed_Ratios!$B$32) * 10</f>
        <v>2.191112842</v>
      </c>
      <c r="G9" s="25">
        <f>(Processed_Ratios!G9 / Processed_Ratios!$B$32) * 10</f>
        <v>2.174040621</v>
      </c>
      <c r="H9" s="25">
        <f>(Processed_Ratios!H9 / Processed_Ratios!$B$32) * 10</f>
        <v>3.923943256</v>
      </c>
      <c r="I9" s="25">
        <f>(Processed_Ratios!I9 / Processed_Ratios!$B$32) * 10</f>
        <v>3.317879417</v>
      </c>
      <c r="J9" s="25">
        <f>(Processed_Ratios!J9 / Processed_Ratios!$B$32) * 10</f>
        <v>3.215446092</v>
      </c>
      <c r="K9" s="25">
        <f>(Processed_Ratios!K9 / Processed_Ratios!$B$32) * 10</f>
        <v>2.11748889</v>
      </c>
      <c r="L9" s="25">
        <f>(Processed_Ratios!L9 / Processed_Ratios!$B$32) * 10</f>
        <v>2.76303224</v>
      </c>
      <c r="M9" s="25">
        <f>(Processed_Ratios!M9 / Processed_Ratios!$B$32) * 10</f>
        <v>4.90452894</v>
      </c>
    </row>
    <row r="10">
      <c r="A10" s="6" t="s">
        <v>9</v>
      </c>
      <c r="B10" s="24">
        <f>(Processed_Ratios!B10 / Processed_Ratios!$B$32) * 10</f>
        <v>4.929070258</v>
      </c>
      <c r="C10" s="24">
        <f>(Processed_Ratios!C10 / Processed_Ratios!$B$32) * 10</f>
        <v>4.802095615</v>
      </c>
      <c r="D10" s="24">
        <f>(Processed_Ratios!D10 / Processed_Ratios!$B$32) * 10</f>
        <v>4.389161274</v>
      </c>
      <c r="E10" s="25">
        <f>(Processed_Ratios!E10 / Processed_Ratios!$B$32) * 10</f>
        <v>3.64438564</v>
      </c>
      <c r="F10" s="25">
        <f>(Processed_Ratios!F10 / Processed_Ratios!$B$32) * 10</f>
        <v>3.073533256</v>
      </c>
      <c r="G10" s="25">
        <f>(Processed_Ratios!G10 / Processed_Ratios!$B$32) * 10</f>
        <v>2.638725132</v>
      </c>
      <c r="H10" s="25">
        <f>(Processed_Ratios!H10 / Processed_Ratios!$B$32) * 10</f>
        <v>4.401965439</v>
      </c>
      <c r="I10" s="25">
        <f>(Processed_Ratios!I10 / Processed_Ratios!$B$32) * 10</f>
        <v>3.775094831</v>
      </c>
      <c r="J10" s="25">
        <f>(Processed_Ratios!J10 / Processed_Ratios!$B$32) * 10</f>
        <v>3.156226826</v>
      </c>
      <c r="K10" s="25">
        <f>(Processed_Ratios!K10 / Processed_Ratios!$B$32) * 10</f>
        <v>2.68033867</v>
      </c>
      <c r="L10" s="25">
        <f>(Processed_Ratios!L10 / Processed_Ratios!$B$32) * 10</f>
        <v>2.326090088</v>
      </c>
      <c r="M10" s="25">
        <f>(Processed_Ratios!M10 / Processed_Ratios!$B$32) * 10</f>
        <v>1.937163557</v>
      </c>
    </row>
    <row r="11">
      <c r="A11" s="6" t="s">
        <v>10</v>
      </c>
      <c r="B11" s="24">
        <f>(Processed_Ratios!B11 / Processed_Ratios!$B$32) * 10</f>
        <v>2.417853275</v>
      </c>
      <c r="C11" s="24">
        <f>(Processed_Ratios!C11 / Processed_Ratios!$B$32) * 10</f>
        <v>2.333559185</v>
      </c>
      <c r="D11" s="24">
        <f>(Processed_Ratios!D11 / Processed_Ratios!$B$32) * 10</f>
        <v>2.297814222</v>
      </c>
      <c r="E11" s="25">
        <f>(Processed_Ratios!E11 / Processed_Ratios!$B$32) * 10</f>
        <v>2.016122579</v>
      </c>
      <c r="F11" s="25">
        <f>(Processed_Ratios!F11 / Processed_Ratios!$B$32) * 10</f>
        <v>1.815523984</v>
      </c>
      <c r="G11" s="25">
        <f>(Processed_Ratios!G11 / Processed_Ratios!$B$32) * 10</f>
        <v>1.66294101</v>
      </c>
      <c r="H11" s="25">
        <f>(Processed_Ratios!H11 / Processed_Ratios!$B$32) * 10</f>
        <v>1.491685295</v>
      </c>
      <c r="I11" s="25">
        <f>(Processed_Ratios!I11 / Processed_Ratios!$B$32) * 10</f>
        <v>1.284684617</v>
      </c>
      <c r="J11" s="25">
        <f>(Processed_Ratios!J11 / Processed_Ratios!$B$32) * 10</f>
        <v>1.102758764</v>
      </c>
      <c r="K11" s="25">
        <f>(Processed_Ratios!K11 / Processed_Ratios!$B$32) * 10</f>
        <v>1.018464674</v>
      </c>
      <c r="L11" s="25">
        <f>(Processed_Ratios!L11 / Processed_Ratios!$B$32) * 10</f>
        <v>1.075549912</v>
      </c>
      <c r="M11" s="25">
        <f>(Processed_Ratios!M11 / Processed_Ratios!$B$32) * 10</f>
        <v>0.9725830804</v>
      </c>
    </row>
    <row r="12">
      <c r="A12" s="6" t="s">
        <v>11</v>
      </c>
      <c r="B12" s="24">
        <f>(Processed_Ratios!B12 / Processed_Ratios!$B$32) * 10</f>
        <v>3.795368093</v>
      </c>
      <c r="C12" s="24">
        <f>(Processed_Ratios!C12 / Processed_Ratios!$B$32) * 10</f>
        <v>3.305608758</v>
      </c>
      <c r="D12" s="24">
        <f>(Processed_Ratios!D12 / Processed_Ratios!$B$32) * 10</f>
        <v>2.552297014</v>
      </c>
      <c r="E12" s="25">
        <f>(Processed_Ratios!E12 / Processed_Ratios!$B$32) * 10</f>
        <v>1.890748457</v>
      </c>
      <c r="F12" s="25">
        <f>(Processed_Ratios!F12 / Processed_Ratios!$B$32) * 10</f>
        <v>1.431399015</v>
      </c>
      <c r="G12" s="25">
        <f>(Processed_Ratios!G12 / Processed_Ratios!$B$32) * 10</f>
        <v>0.7762525408</v>
      </c>
      <c r="H12" s="25">
        <f>(Processed_Ratios!H12 / Processed_Ratios!$B$32) * 10</f>
        <v>0.3483800063</v>
      </c>
      <c r="I12" s="25">
        <f>(Processed_Ratios!I12 / Processed_Ratios!$B$32) * 10</f>
        <v>0.6343397052</v>
      </c>
      <c r="J12" s="25">
        <f>(Processed_Ratios!J12 / Processed_Ratios!$B$32) * 10</f>
        <v>0.845074931</v>
      </c>
      <c r="K12" s="25">
        <f>(Processed_Ratios!K12 / Processed_Ratios!$B$32) * 10</f>
        <v>0.9288355145</v>
      </c>
      <c r="L12" s="25">
        <f>(Processed_Ratios!L12 / Processed_Ratios!$B$32) * 10</f>
        <v>1.129434109</v>
      </c>
      <c r="M12" s="25">
        <f>(Processed_Ratios!M12 / Processed_Ratios!$B$32) * 10</f>
        <v>5.102993507</v>
      </c>
    </row>
    <row r="13">
      <c r="A13" s="6" t="s">
        <v>12</v>
      </c>
      <c r="B13" s="24">
        <f>(Processed_Ratios!B13 / Processed_Ratios!$B$32) * 10</f>
        <v>3.4325834</v>
      </c>
      <c r="C13" s="24">
        <f>(Processed_Ratios!C13 / Processed_Ratios!$B$32) * 10</f>
        <v>3.381900245</v>
      </c>
      <c r="D13" s="24">
        <f>(Processed_Ratios!D13 / Processed_Ratios!$B$32) * 10</f>
        <v>3.069798708</v>
      </c>
      <c r="E13" s="25">
        <f>(Processed_Ratios!E13 / Processed_Ratios!$B$32) * 10</f>
        <v>2.796109668</v>
      </c>
      <c r="F13" s="25">
        <f>(Processed_Ratios!F13 / Processed_Ratios!$B$32) * 10</f>
        <v>2.428523413</v>
      </c>
      <c r="G13" s="25">
        <f>(Processed_Ratios!G13 / Processed_Ratios!$B$32) * 10</f>
        <v>2.075875351</v>
      </c>
      <c r="H13" s="25">
        <f>(Processed_Ratios!H13 / Processed_Ratios!$B$32) * 10</f>
        <v>1.887547415</v>
      </c>
      <c r="I13" s="25">
        <f>(Processed_Ratios!I13 / Processed_Ratios!$B$32) * 10</f>
        <v>3.787898996</v>
      </c>
      <c r="J13" s="25">
        <f>(Processed_Ratios!J13 / Processed_Ratios!$B$32) * 10</f>
        <v>3.348822817</v>
      </c>
      <c r="K13" s="25">
        <f>(Processed_Ratios!K13 / Processed_Ratios!$B$32) * 10</f>
        <v>3.148757729</v>
      </c>
      <c r="L13" s="25">
        <f>(Processed_Ratios!L13 / Processed_Ratios!$B$32) * 10</f>
        <v>5.775745709</v>
      </c>
      <c r="M13" s="25">
        <f>(Processed_Ratios!M13 / Processed_Ratios!$B$32) * 10</f>
        <v>9.949370195</v>
      </c>
    </row>
    <row r="14">
      <c r="A14" s="6" t="s">
        <v>13</v>
      </c>
      <c r="B14" s="24">
        <f>(Processed_Ratios!B14 / Processed_Ratios!$B$32) * 10</f>
        <v>1.48048165</v>
      </c>
      <c r="C14" s="24">
        <f>(Processed_Ratios!C14 / Processed_Ratios!$B$32) * 10</f>
        <v>0.8738843037</v>
      </c>
      <c r="D14" s="24">
        <f>(Processed_Ratios!D14 / Processed_Ratios!$B$32) * 10</f>
        <v>0.8248016688</v>
      </c>
      <c r="E14" s="25">
        <f>(Processed_Ratios!E14 / Processed_Ratios!$B$32) * 10</f>
        <v>0.6599480364</v>
      </c>
      <c r="F14" s="25">
        <f>(Processed_Ratios!F14 / Processed_Ratios!$B$32) * 10</f>
        <v>0.570852384</v>
      </c>
      <c r="G14" s="25">
        <f>(Processed_Ratios!G14 / Processed_Ratios!$B$32) * 10</f>
        <v>0.6642160916</v>
      </c>
      <c r="H14" s="25">
        <f>(Processed_Ratios!H14 / Processed_Ratios!$B$32) * 10</f>
        <v>0.5463110665</v>
      </c>
      <c r="I14" s="25">
        <f>(Processed_Ratios!I14 / Processed_Ratios!$B$32) * 10</f>
        <v>0.4908263488</v>
      </c>
      <c r="J14" s="25">
        <f>(Processed_Ratios!J14 / Processed_Ratios!$B$32) * 10</f>
        <v>0.4508133313</v>
      </c>
      <c r="K14" s="25">
        <f>(Processed_Ratios!K14 / Processed_Ratios!$B$32) * 10</f>
        <v>0.4113338206</v>
      </c>
      <c r="L14" s="25">
        <f>(Processed_Ratios!L14 / Processed_Ratios!$B$32) * 10</f>
        <v>0.6402082811</v>
      </c>
      <c r="M14" s="25">
        <f>(Processed_Ratios!M14 / Processed_Ratios!$B$32) * 10</f>
        <v>0.5916591531</v>
      </c>
    </row>
    <row r="15">
      <c r="A15" s="6" t="s">
        <v>14</v>
      </c>
      <c r="B15" s="24">
        <f>(Processed_Ratios!B15 / Processed_Ratios!$B$32) * 10</f>
        <v>5.9373983</v>
      </c>
      <c r="C15" s="24">
        <f>(Processed_Ratios!C15 / Processed_Ratios!$B$32) * 10</f>
        <v>4.878920609</v>
      </c>
      <c r="D15" s="24">
        <f>(Processed_Ratios!D15 / Processed_Ratios!$B$32) * 10</f>
        <v>3.998100715</v>
      </c>
      <c r="E15" s="25">
        <f>(Processed_Ratios!E15 / Processed_Ratios!$B$32) * 10</f>
        <v>3.239987409</v>
      </c>
      <c r="F15" s="25">
        <f>(Processed_Ratios!F15 / Processed_Ratios!$B$32) * 10</f>
        <v>2.693676343</v>
      </c>
      <c r="G15" s="25">
        <f>(Processed_Ratios!G15 / Processed_Ratios!$B$32) * 10</f>
        <v>2.383708833</v>
      </c>
      <c r="H15" s="25">
        <f>(Processed_Ratios!H15 / Processed_Ratios!$B$32) * 10</f>
        <v>2.013455044</v>
      </c>
      <c r="I15" s="25">
        <f>(Processed_Ratios!I15 / Processed_Ratios!$B$32) * 10</f>
        <v>1.742433538</v>
      </c>
      <c r="J15" s="25">
        <f>(Processed_Ratios!J15 / Processed_Ratios!$B$32) * 10</f>
        <v>1.432999536</v>
      </c>
      <c r="K15" s="25">
        <f>(Processed_Ratios!K15 / Processed_Ratios!$B$32) * 10</f>
        <v>1.006727522</v>
      </c>
      <c r="L15" s="25">
        <f>(Processed_Ratios!L15 / Processed_Ratios!$B$32) * 10</f>
        <v>2.10201719</v>
      </c>
      <c r="M15" s="25">
        <f>(Processed_Ratios!M15 / Processed_Ratios!$B$32) * 10</f>
        <v>1.71469118</v>
      </c>
    </row>
    <row r="16">
      <c r="A16" s="6" t="s">
        <v>15</v>
      </c>
      <c r="B16" s="24">
        <f>(Processed_Ratios!B16 / Processed_Ratios!$B$32) * 10</f>
        <v>5.830163413</v>
      </c>
      <c r="C16" s="24">
        <f>(Processed_Ratios!C16 / Processed_Ratios!$B$32) * 10</f>
        <v>5.008562786</v>
      </c>
      <c r="D16" s="24">
        <f>(Processed_Ratios!D16 / Processed_Ratios!$B$32) * 10</f>
        <v>3.971958877</v>
      </c>
      <c r="E16" s="25">
        <f>(Processed_Ratios!E16 / Processed_Ratios!$B$32) * 10</f>
        <v>3.289070044</v>
      </c>
      <c r="F16" s="25">
        <f>(Processed_Ratios!F16 / Processed_Ratios!$B$32) * 10</f>
        <v>4.39663037</v>
      </c>
      <c r="G16" s="25">
        <f>(Processed_Ratios!G16 / Processed_Ratios!$B$32) * 10</f>
        <v>3.625179392</v>
      </c>
      <c r="H16" s="25">
        <f>(Processed_Ratios!H16 / Processed_Ratios!$B$32) * 10</f>
        <v>3.382433752</v>
      </c>
      <c r="I16" s="25">
        <f>(Processed_Ratios!I16 / Processed_Ratios!$B$32) * 10</f>
        <v>2.800377723</v>
      </c>
      <c r="J16" s="25">
        <f>(Processed_Ratios!J16 / Processed_Ratios!$B$32) * 10</f>
        <v>2.296747208</v>
      </c>
      <c r="K16" s="25">
        <f>(Processed_Ratios!K16 / Processed_Ratios!$B$32) * 10</f>
        <v>2.41518574</v>
      </c>
      <c r="L16" s="25">
        <f>(Processed_Ratios!L16 / Processed_Ratios!$B$32) * 10</f>
        <v>2.719818181</v>
      </c>
      <c r="M16" s="25">
        <f>(Processed_Ratios!M16 / Processed_Ratios!$B$32) * 10</f>
        <v>2.808913833</v>
      </c>
    </row>
    <row r="17">
      <c r="A17" s="6" t="s">
        <v>16</v>
      </c>
      <c r="B17" s="24">
        <f>(Processed_Ratios!B17 / Processed_Ratios!$B$32) * 10</f>
        <v>6.138530402</v>
      </c>
      <c r="C17" s="24">
        <f>(Processed_Ratios!C17 / Processed_Ratios!$B$32) * 10</f>
        <v>5.372414492</v>
      </c>
      <c r="D17" s="24">
        <f>(Processed_Ratios!D17 / Processed_Ratios!$B$32) * 10</f>
        <v>4.906129461</v>
      </c>
      <c r="E17" s="25">
        <f>(Processed_Ratios!E17 / Processed_Ratios!$B$32) * 10</f>
        <v>3.138621098</v>
      </c>
      <c r="F17" s="25">
        <f>(Processed_Ratios!F17 / Processed_Ratios!$B$32) * 10</f>
        <v>0.861613645</v>
      </c>
      <c r="G17" s="25">
        <f>(Processed_Ratios!G17 / Processed_Ratios!$B$32) * 10</f>
        <v>0.1121164752</v>
      </c>
      <c r="H17" s="25">
        <f>(Processed_Ratios!H17 / Processed_Ratios!$B$32) * 10</f>
        <v>2.598178607</v>
      </c>
      <c r="I17" s="25">
        <f>(Processed_Ratios!I17 / Processed_Ratios!$B$32) * 10</f>
        <v>3.67372852</v>
      </c>
      <c r="J17" s="25">
        <f>(Processed_Ratios!J17 / Processed_Ratios!$B$32) * 10</f>
        <v>1.812856449</v>
      </c>
      <c r="K17" s="25">
        <f>(Processed_Ratios!K17 / Processed_Ratios!$B$32) * 10</f>
        <v>3.013780483</v>
      </c>
      <c r="L17" s="25">
        <f>(Processed_Ratios!L17 / Processed_Ratios!$B$32) * 10</f>
        <v>2.704346481</v>
      </c>
      <c r="M17" s="25">
        <f>(Processed_Ratios!M17 / Processed_Ratios!$B$32) * 10</f>
        <v>4.04558283</v>
      </c>
    </row>
    <row r="18">
      <c r="A18" s="6" t="s">
        <v>17</v>
      </c>
      <c r="B18" s="24">
        <f>(Processed_Ratios!B18 / Processed_Ratios!$B$32) * 10</f>
        <v>10</v>
      </c>
      <c r="C18" s="24">
        <f>(Processed_Ratios!C18 / Processed_Ratios!$B$32) * 10</f>
        <v>10</v>
      </c>
      <c r="D18" s="24">
        <f>(Processed_Ratios!D18 / Processed_Ratios!$B$32) * 10</f>
        <v>10</v>
      </c>
      <c r="E18" s="25">
        <f>(Processed_Ratios!E18 / Processed_Ratios!$B$32) * 10</f>
        <v>6.851829128</v>
      </c>
      <c r="F18" s="25">
        <f>(Processed_Ratios!F18 / Processed_Ratios!$B$32) * 10</f>
        <v>7.75185527</v>
      </c>
      <c r="G18" s="25">
        <f>(Processed_Ratios!G18 / Processed_Ratios!$B$32) * 10</f>
        <v>10</v>
      </c>
      <c r="H18" s="25">
        <f>(Processed_Ratios!H18 / Processed_Ratios!$B$32) * 10</f>
        <v>10</v>
      </c>
      <c r="I18" s="25">
        <f>(Processed_Ratios!I18 / Processed_Ratios!$B$32) * 10</f>
        <v>10</v>
      </c>
      <c r="J18" s="25">
        <f>(Processed_Ratios!J18 / Processed_Ratios!$B$32) * 10</f>
        <v>10</v>
      </c>
      <c r="K18" s="25">
        <f>(Processed_Ratios!K18 / Processed_Ratios!$B$32) * 10</f>
        <v>9.708758583</v>
      </c>
      <c r="L18" s="25">
        <f>(Processed_Ratios!L18 / Processed_Ratios!$B$32) * 10</f>
        <v>6.724320979</v>
      </c>
      <c r="M18" s="25">
        <f>(Processed_Ratios!M18 / Processed_Ratios!$B$32) * 10</f>
        <v>5.038439172</v>
      </c>
    </row>
    <row r="19">
      <c r="A19" s="6" t="s">
        <v>18</v>
      </c>
      <c r="B19" s="24">
        <f>(Processed_Ratios!B19 / Processed_Ratios!$B$32) * 10</f>
        <v>1.085153036</v>
      </c>
      <c r="C19" s="24">
        <f>(Processed_Ratios!C19 / Processed_Ratios!$B$32) * 10</f>
        <v>1.144905809</v>
      </c>
      <c r="D19" s="24">
        <f>(Processed_Ratios!D19 / Processed_Ratios!$B$32) * 10</f>
        <v>0.9533768319</v>
      </c>
      <c r="E19" s="25">
        <f>(Processed_Ratios!E19 / Processed_Ratios!$B$32) * 10</f>
        <v>0.8354718068</v>
      </c>
      <c r="F19" s="25">
        <f>(Processed_Ratios!F19 / Processed_Ratios!$B$32) * 10</f>
        <v>0.7933247617</v>
      </c>
      <c r="G19" s="25">
        <f>(Processed_Ratios!G19 / Processed_Ratios!$B$32) * 10</f>
        <v>0.6252700879</v>
      </c>
      <c r="H19" s="25">
        <f>(Processed_Ratios!H19 / Processed_Ratios!$B$32) * 10</f>
        <v>0.7405075785</v>
      </c>
      <c r="I19" s="25">
        <f>(Processed_Ratios!I19 / Processed_Ratios!$B$32) * 10</f>
        <v>0.5687183564</v>
      </c>
      <c r="J19" s="25">
        <f>(Processed_Ratios!J19 / Processed_Ratios!$B$32) * 10</f>
        <v>0.6935589712</v>
      </c>
      <c r="K19" s="25">
        <f>(Processed_Ratios!K19 / Processed_Ratios!$B$32) * 10</f>
        <v>0.6988940402</v>
      </c>
      <c r="L19" s="25">
        <f>(Processed_Ratios!L19 / Processed_Ratios!$B$32) * 10</f>
        <v>0.646076857</v>
      </c>
      <c r="M19" s="25">
        <f>(Processed_Ratios!M19 / Processed_Ratios!$B$32) * 10</f>
        <v>0.737840044</v>
      </c>
    </row>
    <row r="20">
      <c r="A20" s="6" t="s">
        <v>19</v>
      </c>
      <c r="B20" s="24">
        <f>(Processed_Ratios!B20 / Processed_Ratios!$B$32) * 10</f>
        <v>0.8904230176</v>
      </c>
      <c r="C20" s="24">
        <f>(Processed_Ratios!C20 / Processed_Ratios!$B$32) * 10</f>
        <v>0.92616798</v>
      </c>
      <c r="D20" s="24">
        <f>(Processed_Ratios!D20 / Processed_Ratios!$B$32) * 10</f>
        <v>1.179050251</v>
      </c>
      <c r="E20" s="25">
        <f>(Processed_Ratios!E20 / Processed_Ratios!$B$32) * 10</f>
        <v>1.286818645</v>
      </c>
      <c r="F20" s="25">
        <f>(Processed_Ratios!F20 / Processed_Ratios!$B$32) * 10</f>
        <v>1.227599379</v>
      </c>
      <c r="G20" s="25">
        <f>(Processed_Ratios!G20 / Processed_Ratios!$B$32) * 10</f>
        <v>1.127833589</v>
      </c>
      <c r="H20" s="25">
        <f>(Processed_Ratios!H20 / Processed_Ratios!$B$32) * 10</f>
        <v>1.023266236</v>
      </c>
      <c r="I20" s="25">
        <f>(Processed_Ratios!I20 / Processed_Ratios!$B$32) * 10</f>
        <v>0.8365388206</v>
      </c>
      <c r="J20" s="25">
        <f>(Processed_Ratios!J20 / Processed_Ratios!$B$32) * 10</f>
        <v>0.7597138269</v>
      </c>
      <c r="K20" s="25">
        <f>(Processed_Ratios!K20 / Processed_Ratios!$B$32) * 10</f>
        <v>0.6076643601</v>
      </c>
      <c r="L20" s="25">
        <f>(Processed_Ratios!L20 / Processed_Ratios!$B$32) * 10</f>
        <v>0.5148341594</v>
      </c>
      <c r="M20" s="25">
        <f>(Processed_Ratios!M20 / Processed_Ratios!$B$32) * 10</f>
        <v>0.5052310352</v>
      </c>
    </row>
    <row r="21">
      <c r="A21" s="6" t="s">
        <v>20</v>
      </c>
      <c r="B21" s="24">
        <f>(Processed_Ratios!B21 / Processed_Ratios!$B$32) * 10</f>
        <v>2.745960019</v>
      </c>
      <c r="C21" s="24">
        <f>(Processed_Ratios!C21 / Processed_Ratios!$B$32) * 10</f>
        <v>5.48978601</v>
      </c>
      <c r="D21" s="24">
        <f>(Processed_Ratios!D21 / Processed_Ratios!$B$32) * 10</f>
        <v>5.259844536</v>
      </c>
      <c r="E21" s="25">
        <f>(Processed_Ratios!E21 / Processed_Ratios!$B$32) * 10</f>
        <v>4.846910195</v>
      </c>
      <c r="F21" s="25">
        <f>(Processed_Ratios!F21 / Processed_Ratios!$B$32) * 10</f>
        <v>4.012505402</v>
      </c>
      <c r="G21" s="25">
        <f>(Processed_Ratios!G21 / Processed_Ratios!$B$32) * 10</f>
        <v>3.364294517</v>
      </c>
      <c r="H21" s="25">
        <f>(Processed_Ratios!H21 / Processed_Ratios!$B$32) * 10</f>
        <v>3.563826098</v>
      </c>
      <c r="I21" s="25">
        <f>(Processed_Ratios!I21 / Processed_Ratios!$B$32) * 10</f>
        <v>3.24852352</v>
      </c>
      <c r="J21" s="25">
        <f>(Processed_Ratios!J21 / Processed_Ratios!$B$32) * 10</f>
        <v>5.395888796</v>
      </c>
      <c r="K21" s="25">
        <f>(Processed_Ratios!K21 / Processed_Ratios!$B$32) * 10</f>
        <v>5.375082027</v>
      </c>
      <c r="L21" s="25">
        <f>(Processed_Ratios!L21 / Processed_Ratios!$B$32) * 10</f>
        <v>4.273923783</v>
      </c>
      <c r="M21" s="25">
        <f>(Processed_Ratios!M21 / Processed_Ratios!$B$32) * 10</f>
        <v>4.083995326</v>
      </c>
    </row>
    <row r="22">
      <c r="A22" s="6" t="s">
        <v>21</v>
      </c>
      <c r="B22" s="24">
        <f>(Processed_Ratios!B22 / Processed_Ratios!$B$32) * 10</f>
        <v>4.636708476</v>
      </c>
      <c r="C22" s="24">
        <f>(Processed_Ratios!C22 / Processed_Ratios!$B$32) * 10</f>
        <v>4.010371374</v>
      </c>
      <c r="D22" s="24">
        <f>(Processed_Ratios!D22 / Processed_Ratios!$B$32) * 10</f>
        <v>3.326415527</v>
      </c>
      <c r="E22" s="25">
        <f>(Processed_Ratios!E22 / Processed_Ratios!$B$32) * 10</f>
        <v>2.114821355</v>
      </c>
      <c r="F22" s="25">
        <f>(Processed_Ratios!F22 / Processed_Ratios!$B$32) * 10</f>
        <v>1.339635828</v>
      </c>
      <c r="G22" s="25">
        <f>(Processed_Ratios!G22 / Processed_Ratios!$B$32) * 10</f>
        <v>1.181717786</v>
      </c>
      <c r="H22" s="25">
        <f>(Processed_Ratios!H22 / Processed_Ratios!$B$32) * 10</f>
        <v>0.1376447804</v>
      </c>
      <c r="I22" s="25">
        <f>(Processed_Ratios!I22 / Processed_Ratios!$B$32) * 10</f>
        <v>0.1121164752</v>
      </c>
      <c r="J22" s="25">
        <f>(Processed_Ratios!J22 / Processed_Ratios!$B$32) * 10</f>
        <v>0.1121164752</v>
      </c>
      <c r="K22" s="25">
        <f>(Processed_Ratios!K22 / Processed_Ratios!$B$32) * 10</f>
        <v>0.850943507</v>
      </c>
      <c r="L22" s="25">
        <f>(Processed_Ratios!L22 / Processed_Ratios!$B$32) * 10</f>
        <v>1.214261706</v>
      </c>
      <c r="M22" s="25">
        <f>(Processed_Ratios!M22 / Processed_Ratios!$B$32) * 10</f>
        <v>10</v>
      </c>
    </row>
    <row r="23">
      <c r="A23" s="6" t="s">
        <v>22</v>
      </c>
      <c r="B23" s="24">
        <f>(Processed_Ratios!B23 / Processed_Ratios!$B$32) * 10</f>
        <v>2.432791468</v>
      </c>
      <c r="C23" s="24">
        <f>(Processed_Ratios!C23 / Processed_Ratios!$B$32) * 10</f>
        <v>2.128692535</v>
      </c>
      <c r="D23" s="24">
        <f>(Processed_Ratios!D23 / Processed_Ratios!$B$32) * 10</f>
        <v>1.88327936</v>
      </c>
      <c r="E23" s="25">
        <f>(Processed_Ratios!E23 / Processed_Ratios!$B$32) * 10</f>
        <v>0.7255693852</v>
      </c>
      <c r="F23" s="25">
        <f>(Processed_Ratios!F23 / Processed_Ratios!$B$32) * 10</f>
        <v>0.6455433501</v>
      </c>
      <c r="G23" s="25">
        <f>(Processed_Ratios!G23 / Processed_Ratios!$B$32) * 10</f>
        <v>0.8376058344</v>
      </c>
      <c r="H23" s="25">
        <f>(Processed_Ratios!H23 / Processed_Ratios!$B$32) * 10</f>
        <v>0.59219266</v>
      </c>
      <c r="I23" s="25">
        <f>(Processed_Ratios!I23 / Processed_Ratios!$B$32) * 10</f>
        <v>0.4801562108</v>
      </c>
      <c r="J23" s="25">
        <f>(Processed_Ratios!J23 / Processed_Ratios!$B$32) * 10</f>
        <v>1.547170013</v>
      </c>
      <c r="K23" s="25">
        <f>(Processed_Ratios!K23 / Processed_Ratios!$B$32) * 10</f>
        <v>1.008328043</v>
      </c>
      <c r="L23" s="25">
        <f>(Processed_Ratios!L23 / Processed_Ratios!$B$32) * 10</f>
        <v>1.008328043</v>
      </c>
      <c r="M23" s="25">
        <f>(Processed_Ratios!M23 / Processed_Ratios!$B$32) * 10</f>
        <v>0.8109304894</v>
      </c>
    </row>
    <row r="24">
      <c r="A24" s="6" t="s">
        <v>23</v>
      </c>
      <c r="B24" s="24">
        <f>(Processed_Ratios!B24 / Processed_Ratios!$B$32) * 10</f>
        <v>4.201366845</v>
      </c>
      <c r="C24" s="24">
        <f>(Processed_Ratios!C24 / Processed_Ratios!$B$32) * 10</f>
        <v>4.368354505</v>
      </c>
      <c r="D24" s="24">
        <f>(Processed_Ratios!D24 / Processed_Ratios!$B$32) * 10</f>
        <v>0.3355758407</v>
      </c>
      <c r="E24" s="25">
        <f>(Processed_Ratios!E24 / Processed_Ratios!$B$32) * 10</f>
        <v>0.1121164752</v>
      </c>
      <c r="F24" s="25">
        <f>(Processed_Ratios!F24 / Processed_Ratios!$B$32) * 10</f>
        <v>0.1121164752</v>
      </c>
      <c r="G24" s="25">
        <f>(Processed_Ratios!G24 / Processed_Ratios!$B$32) * 10</f>
        <v>0.1121164752</v>
      </c>
      <c r="H24" s="25">
        <f>(Processed_Ratios!H24 / Processed_Ratios!$B$32) * 10</f>
        <v>0.1121164752</v>
      </c>
      <c r="I24" s="25">
        <f>(Processed_Ratios!I24 / Processed_Ratios!$B$32) * 10</f>
        <v>1.411125753</v>
      </c>
      <c r="J24" s="25">
        <f>(Processed_Ratios!J24 / Processed_Ratios!$B$32) * 10</f>
        <v>1.169980634</v>
      </c>
      <c r="K24" s="25">
        <f>(Processed_Ratios!K24 / Processed_Ratios!$B$32) * 10</f>
        <v>1.826727629</v>
      </c>
      <c r="L24" s="25">
        <f>(Processed_Ratios!L24 / Processed_Ratios!$B$32) * 10</f>
        <v>2.317020471</v>
      </c>
      <c r="M24" s="25">
        <f>(Processed_Ratios!M24 / Processed_Ratios!$B$32) * 10</f>
        <v>2.320755019</v>
      </c>
    </row>
    <row r="25">
      <c r="A25" s="6" t="s">
        <v>24</v>
      </c>
      <c r="B25" s="24">
        <f>(Processed_Ratios!B25 / Processed_Ratios!$B$32) * 10</f>
        <v>0.1461808908</v>
      </c>
      <c r="C25" s="24">
        <f>(Processed_Ratios!C25 / Processed_Ratios!$B$32) * 10</f>
        <v>0.1121164752</v>
      </c>
      <c r="D25" s="24">
        <f>(Processed_Ratios!D25 / Processed_Ratios!$B$32) * 10</f>
        <v>0.382524448</v>
      </c>
      <c r="E25" s="25">
        <f>(Processed_Ratios!E25 / Processed_Ratios!$B$32) * 10</f>
        <v>10</v>
      </c>
      <c r="F25" s="25">
        <f>(Processed_Ratios!F25 / Processed_Ratios!$B$32) * 10</f>
        <v>3.402707014</v>
      </c>
      <c r="G25" s="25">
        <f>(Processed_Ratios!G25 / Processed_Ratios!$B$32) * 10</f>
        <v>0.6327391845</v>
      </c>
      <c r="H25" s="25">
        <f>(Processed_Ratios!H25 / Processed_Ratios!$B$32) * 10</f>
        <v>4.680989549</v>
      </c>
      <c r="I25" s="25">
        <f>(Processed_Ratios!I25 / Processed_Ratios!$B$32) * 10</f>
        <v>6.834223401</v>
      </c>
      <c r="J25" s="25">
        <f>(Processed_Ratios!J25 / Processed_Ratios!$B$32) * 10</f>
        <v>0.1121164752</v>
      </c>
      <c r="K25" s="25">
        <f>(Processed_Ratios!K25 / Processed_Ratios!$B$32) * 10</f>
        <v>0.1121164752</v>
      </c>
      <c r="L25" s="25">
        <f>(Processed_Ratios!L25 / Processed_Ratios!$B$32) * 10</f>
        <v>0.1121164752</v>
      </c>
      <c r="M25" s="25">
        <f>(Processed_Ratios!M25 / Processed_Ratios!$B$32) * 10</f>
        <v>1.877410784</v>
      </c>
    </row>
    <row r="26">
      <c r="A26" s="6" t="s">
        <v>25</v>
      </c>
      <c r="B26" s="24">
        <f>(Processed_Ratios!B26 / Processed_Ratios!$B$32) * 10</f>
        <v>7.159129103</v>
      </c>
      <c r="C26" s="24">
        <f>(Processed_Ratios!C26 / Processed_Ratios!$B$32) * 10</f>
        <v>6.715784869</v>
      </c>
      <c r="D26" s="24">
        <f>(Processed_Ratios!D26 / Processed_Ratios!$B$32) * 10</f>
        <v>6.145465992</v>
      </c>
      <c r="E26" s="25">
        <f>(Processed_Ratios!E26 / Processed_Ratios!$B$32) * 10</f>
        <v>5.528198507</v>
      </c>
      <c r="F26" s="25">
        <f>(Processed_Ratios!F26 / Processed_Ratios!$B$32) * 10</f>
        <v>4.626038338</v>
      </c>
      <c r="G26" s="25">
        <f>(Processed_Ratios!G26 / Processed_Ratios!$B$32) * 10</f>
        <v>4.598295979</v>
      </c>
      <c r="H26" s="25">
        <f>(Processed_Ratios!H26 / Processed_Ratios!$B$32) * 10</f>
        <v>4.430774812</v>
      </c>
      <c r="I26" s="25">
        <f>(Processed_Ratios!I26 / Processed_Ratios!$B$32) * 10</f>
        <v>7.159129103</v>
      </c>
      <c r="J26" s="25">
        <f>(Processed_Ratios!J26 / Processed_Ratios!$B$32) * 10</f>
        <v>7.117515565</v>
      </c>
      <c r="K26" s="25">
        <f>(Processed_Ratios!K26 / Processed_Ratios!$B$32) * 10</f>
        <v>6.571738005</v>
      </c>
      <c r="L26" s="25">
        <f>(Processed_Ratios!L26 / Processed_Ratios!$B$32) * 10</f>
        <v>5.407092441</v>
      </c>
      <c r="M26" s="25">
        <f>(Processed_Ratios!M26 / Processed_Ratios!$B$32) * 10</f>
        <v>5.210761901</v>
      </c>
    </row>
    <row r="27">
      <c r="A27" s="6" t="s">
        <v>26</v>
      </c>
      <c r="B27" s="24">
        <f>(Processed_Ratios!B27 / Processed_Ratios!$B$32) * 10</f>
        <v>2.556031562</v>
      </c>
      <c r="C27" s="24">
        <f>(Processed_Ratios!C27 / Processed_Ratios!$B$32) * 10</f>
        <v>1.418061343</v>
      </c>
      <c r="D27" s="24">
        <f>(Processed_Ratios!D27 / Processed_Ratios!$B$32) * 10</f>
        <v>2.921483789</v>
      </c>
      <c r="E27" s="25">
        <f>(Processed_Ratios!E27 / Processed_Ratios!$B$32) * 10</f>
        <v>3.350956845</v>
      </c>
      <c r="F27" s="25">
        <f>(Processed_Ratios!F27 / Processed_Ratios!$B$32) * 10</f>
        <v>2.677671136</v>
      </c>
      <c r="G27" s="25">
        <f>(Processed_Ratios!G27 / Processed_Ratios!$B$32) * 10</f>
        <v>2.446129141</v>
      </c>
      <c r="H27" s="25">
        <f>(Processed_Ratios!H27 / Processed_Ratios!$B$32) * 10</f>
        <v>2.545894931</v>
      </c>
      <c r="I27" s="25">
        <f>(Processed_Ratios!I27 / Processed_Ratios!$B$32) * 10</f>
        <v>2.275940439</v>
      </c>
      <c r="J27" s="25">
        <f>(Processed_Ratios!J27 / Processed_Ratios!$B$32) * 10</f>
        <v>1.688015834</v>
      </c>
      <c r="K27" s="25">
        <f>(Processed_Ratios!K27 / Processed_Ratios!$B$32) * 10</f>
        <v>1.798451763</v>
      </c>
      <c r="L27" s="25">
        <f>(Processed_Ratios!L27 / Processed_Ratios!$B$32) * 10</f>
        <v>1.426597453</v>
      </c>
      <c r="M27" s="25">
        <f>(Processed_Ratios!M27 / Processed_Ratios!$B$32) * 10</f>
        <v>6.76380049</v>
      </c>
    </row>
    <row r="28">
      <c r="A28" s="6" t="s">
        <v>27</v>
      </c>
      <c r="B28" s="24">
        <f>(Processed_Ratios!B28 / Processed_Ratios!$B$32) * 10</f>
        <v>2.006519454</v>
      </c>
      <c r="C28" s="24">
        <f>(Processed_Ratios!C28 / Processed_Ratios!$B$32) * 10</f>
        <v>2.100950176</v>
      </c>
      <c r="D28" s="24">
        <f>(Processed_Ratios!D28 / Processed_Ratios!$B$32) * 10</f>
        <v>1.953168764</v>
      </c>
      <c r="E28" s="25">
        <f>(Processed_Ratios!E28 / Processed_Ratios!$B$32) * 10</f>
        <v>1.3065584</v>
      </c>
      <c r="F28" s="25">
        <f>(Processed_Ratios!F28 / Processed_Ratios!$B$32) * 10</f>
        <v>0.5847235634</v>
      </c>
      <c r="G28" s="25">
        <f>(Processed_Ratios!G28 / Processed_Ratios!$B$32) * 10</f>
        <v>0.9021601694</v>
      </c>
      <c r="H28" s="25">
        <f>(Processed_Ratios!H28 / Processed_Ratios!$B$32) * 10</f>
        <v>0.8440079172</v>
      </c>
      <c r="I28" s="25">
        <f>(Processed_Ratios!I28 / Processed_Ratios!$B$32) * 10</f>
        <v>0.6802212987</v>
      </c>
      <c r="J28" s="25">
        <f>(Processed_Ratios!J28 / Processed_Ratios!$B$32) * 10</f>
        <v>0.435875138</v>
      </c>
      <c r="K28" s="25">
        <f>(Processed_Ratios!K28 / Processed_Ratios!$B$32) * 10</f>
        <v>0.4054652447</v>
      </c>
      <c r="L28" s="25">
        <f>(Processed_Ratios!L28 / Processed_Ratios!$B$32) * 10</f>
        <v>0.4902928419</v>
      </c>
      <c r="M28" s="25">
        <f>(Processed_Ratios!M28 / Processed_Ratios!$B$32) * 10</f>
        <v>0.441743714</v>
      </c>
    </row>
    <row r="29">
      <c r="A29" s="6" t="s">
        <v>28</v>
      </c>
      <c r="B29" s="24">
        <f>(Processed_Ratios!B29 / Processed_Ratios!$B$32) * 10</f>
        <v>2.321288526</v>
      </c>
      <c r="C29" s="24">
        <f>(Processed_Ratios!C29 / Processed_Ratios!$B$32) * 10</f>
        <v>2.23112586</v>
      </c>
      <c r="D29" s="24">
        <f>(Processed_Ratios!D29 / Processed_Ratios!$B$32) * 10</f>
        <v>0.667417133</v>
      </c>
      <c r="E29" s="25">
        <f>(Processed_Ratios!E29 / Processed_Ratios!$B$32) * 10</f>
        <v>0.1589850565</v>
      </c>
      <c r="F29" s="25">
        <f>(Processed_Ratios!F29 / Processed_Ratios!$B$32) * 10</f>
        <v>0.1121164752</v>
      </c>
      <c r="G29" s="25">
        <f>(Processed_Ratios!G29 / Processed_Ratios!$B$32) * 10</f>
        <v>0.188327936</v>
      </c>
      <c r="H29" s="25">
        <f>(Processed_Ratios!H29 / Processed_Ratios!$B$32) * 10</f>
        <v>0.1557840151</v>
      </c>
      <c r="I29" s="25">
        <f>(Processed_Ratios!I29 / Processed_Ratios!$B$32) * 10</f>
        <v>0.139778808</v>
      </c>
      <c r="J29" s="25">
        <f>(Processed_Ratios!J29 / Processed_Ratios!$B$32) * 10</f>
        <v>0.1360442597</v>
      </c>
      <c r="K29" s="25">
        <f>(Processed_Ratios!K29 / Processed_Ratios!$B$32) * 10</f>
        <v>0.1121164752</v>
      </c>
      <c r="L29" s="25">
        <f>(Processed_Ratios!L29 / Processed_Ratios!$B$32) * 10</f>
        <v>2.076408858</v>
      </c>
      <c r="M29" s="25">
        <f>(Processed_Ratios!M29 / Processed_Ratios!$B$32) * 10</f>
        <v>0.1121164752</v>
      </c>
    </row>
    <row r="30">
      <c r="A30" s="6" t="s">
        <v>29</v>
      </c>
      <c r="B30" s="24">
        <f>(Processed_Ratios!B30 / Processed_Ratios!$B$32) * 10</f>
        <v>10</v>
      </c>
      <c r="C30" s="24">
        <f>(Processed_Ratios!C30 / Processed_Ratios!$B$32) * 10</f>
        <v>10</v>
      </c>
      <c r="D30" s="24">
        <f>(Processed_Ratios!D30 / Processed_Ratios!$B$32) * 10</f>
        <v>9.365180139</v>
      </c>
      <c r="E30" s="25">
        <f>(Processed_Ratios!E30 / Processed_Ratios!$B$32) * 10</f>
        <v>10</v>
      </c>
      <c r="F30" s="25">
        <f>(Processed_Ratios!F30 / Processed_Ratios!$B$32) * 10</f>
        <v>10</v>
      </c>
      <c r="G30" s="25">
        <f>(Processed_Ratios!G30 / Processed_Ratios!$B$32) * 10</f>
        <v>10</v>
      </c>
      <c r="H30" s="25">
        <f>(Processed_Ratios!H30 / Processed_Ratios!$B$32) * 10</f>
        <v>4.481457968</v>
      </c>
      <c r="I30" s="25">
        <f>(Processed_Ratios!I30 / Processed_Ratios!$B$32) * 10</f>
        <v>4.317137842</v>
      </c>
      <c r="J30" s="25">
        <f>(Processed_Ratios!J30 / Processed_Ratios!$B$32) * 10</f>
        <v>5.275316236</v>
      </c>
      <c r="K30" s="25">
        <f>(Processed_Ratios!K30 / Processed_Ratios!$B$32) * 10</f>
        <v>4.814899781</v>
      </c>
      <c r="L30" s="25">
        <f>(Processed_Ratios!L30 / Processed_Ratios!$B$32) * 10</f>
        <v>4.078126751</v>
      </c>
      <c r="M30" s="25">
        <f>(Processed_Ratios!M30 / Processed_Ratios!$B$32) * 10</f>
        <v>4.290462497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/>
      <c r="B32" s="1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f>(Processed_Ratios!B35 / Processed_Ratios!$B$65) * 10</f>
        <v>1.327559359</v>
      </c>
      <c r="C35" s="8">
        <f>(Processed_Ratios!C35 / Processed_Ratios!$B$65) * 10</f>
        <v>1.512826633</v>
      </c>
      <c r="D35" s="8">
        <f>(Processed_Ratios!D35 / Processed_Ratios!$B$65) * 10</f>
        <v>2.259578773</v>
      </c>
      <c r="E35" s="15">
        <f>(Processed_Ratios!E35 / Processed_Ratios!$B$65) * 10</f>
        <v>2.453938919</v>
      </c>
      <c r="F35" s="15">
        <f>(Processed_Ratios!F35 / Processed_Ratios!$B$65) * 10</f>
        <v>0</v>
      </c>
      <c r="G35" s="15">
        <f>(Processed_Ratios!G35 / Processed_Ratios!$B$65) * 10</f>
        <v>2.087950808</v>
      </c>
      <c r="H35" s="15">
        <f>(Processed_Ratios!H35 / Processed_Ratios!$B$65) * 10</f>
        <v>1.179800184</v>
      </c>
      <c r="I35" s="15">
        <f>(Processed_Ratios!I35 / Processed_Ratios!$B$65) * 10</f>
        <v>0.8319978177</v>
      </c>
      <c r="J35" s="15">
        <f>(Processed_Ratios!J35 / Processed_Ratios!$B$65) * 10</f>
        <v>0</v>
      </c>
      <c r="K35" s="15">
        <f>(Processed_Ratios!K35 / Processed_Ratios!$B$65) * 10</f>
        <v>1.786749412</v>
      </c>
      <c r="L35" s="15">
        <f>(Processed_Ratios!L35 / Processed_Ratios!$B$65) * 10</f>
        <v>1.117286687</v>
      </c>
      <c r="M35" s="15">
        <f>(Processed_Ratios!M35 / Processed_Ratios!$B$65) * 10</f>
        <v>1.395755902</v>
      </c>
    </row>
    <row r="36">
      <c r="A36" s="6" t="s">
        <v>2</v>
      </c>
      <c r="B36" s="8">
        <f>(Processed_Ratios!B36 / Processed_Ratios!$B$65) * 10</f>
        <v>9.63162501</v>
      </c>
      <c r="C36" s="8">
        <f>(Processed_Ratios!C36 / Processed_Ratios!$B$65) * 10</f>
        <v>5.270456121</v>
      </c>
      <c r="D36" s="8">
        <f>(Processed_Ratios!D36 / Processed_Ratios!$B$65) * 10</f>
        <v>5.282958821</v>
      </c>
      <c r="E36" s="15">
        <f>(Processed_Ratios!E36 / Processed_Ratios!$B$65) * 10</f>
        <v>6.528682329</v>
      </c>
      <c r="F36" s="15">
        <f>(Processed_Ratios!F36 / Processed_Ratios!$B$65) * 10</f>
        <v>1.162751049</v>
      </c>
      <c r="G36" s="15">
        <f>(Processed_Ratios!G36 / Processed_Ratios!$B$65) * 10</f>
        <v>7.314079176</v>
      </c>
      <c r="H36" s="15">
        <f>(Processed_Ratios!H36 / Processed_Ratios!$B$65) * 10</f>
        <v>4.499835192</v>
      </c>
      <c r="I36" s="15">
        <f>(Processed_Ratios!I36 / Processed_Ratios!$B$65) * 10</f>
        <v>5.506870802</v>
      </c>
      <c r="J36" s="15">
        <f>(Processed_Ratios!J36 / Processed_Ratios!$B$65) * 10</f>
        <v>4.468010139</v>
      </c>
      <c r="K36" s="15">
        <f>(Processed_Ratios!K36 / Processed_Ratios!$B$65) * 10</f>
        <v>4.059967493</v>
      </c>
      <c r="L36" s="15">
        <f>(Processed_Ratios!L36 / Processed_Ratios!$B$65) * 10</f>
        <v>4.765801707</v>
      </c>
      <c r="M36" s="15">
        <f>(Processed_Ratios!M36 / Processed_Ratios!$B$65) * 10</f>
        <v>4.740796308</v>
      </c>
    </row>
    <row r="37">
      <c r="A37" s="6" t="s">
        <v>3</v>
      </c>
      <c r="B37" s="8">
        <f>(Processed_Ratios!B37 / Processed_Ratios!$B$65) * 10</f>
        <v>0.1352564758</v>
      </c>
      <c r="C37" s="8">
        <f>(Processed_Ratios!C37 / Processed_Ratios!$B$65) * 10</f>
        <v>0.1420761301</v>
      </c>
      <c r="D37" s="8">
        <f>(Processed_Ratios!D37 / Processed_Ratios!$B$65) * 10</f>
        <v>0.3693979382</v>
      </c>
      <c r="E37" s="15">
        <f>(Processed_Ratios!E37 / Processed_Ratios!$B$65) * 10</f>
        <v>0.140939521</v>
      </c>
      <c r="F37" s="15">
        <f>(Processed_Ratios!F37 / Processed_Ratios!$B$65) * 10</f>
        <v>0.1727645742</v>
      </c>
      <c r="G37" s="15">
        <f>(Processed_Ratios!G37 / Processed_Ratios!$B$65) * 10</f>
        <v>0.1420761301</v>
      </c>
      <c r="H37" s="15">
        <f>(Processed_Ratios!H37 / Processed_Ratios!$B$65) * 10</f>
        <v>0.2648299065</v>
      </c>
      <c r="I37" s="15">
        <f>(Processed_Ratios!I37 / Processed_Ratios!$B$65) * 10</f>
        <v>0.1579886566</v>
      </c>
      <c r="J37" s="15">
        <f>(Processed_Ratios!J37 / Processed_Ratios!$B$65) * 10</f>
        <v>0.1739011832</v>
      </c>
      <c r="K37" s="15">
        <f>(Processed_Ratios!K37 / Processed_Ratios!$B$65) * 10</f>
        <v>0.1238903854</v>
      </c>
      <c r="L37" s="15">
        <f>(Processed_Ratios!L37 / Processed_Ratios!$B$65) * 10</f>
        <v>0.1142292086</v>
      </c>
      <c r="M37" s="15">
        <f>(Processed_Ratios!M37 / Processed_Ratios!$B$65) * 10</f>
        <v>0.1500323934</v>
      </c>
    </row>
    <row r="38">
      <c r="A38" s="6" t="s">
        <v>4</v>
      </c>
      <c r="B38" s="8">
        <f>(Processed_Ratios!B38 / Processed_Ratios!$B$65) * 10</f>
        <v>0.2034530183</v>
      </c>
      <c r="C38" s="8">
        <f>(Processed_Ratios!C38 / Processed_Ratios!$B$65) * 10</f>
        <v>0.1773110103</v>
      </c>
      <c r="D38" s="8">
        <f>(Processed_Ratios!D38 / Processed_Ratios!$B$65) * 10</f>
        <v>0.112524295</v>
      </c>
      <c r="E38" s="15">
        <f>(Processed_Ratios!E38 / Processed_Ratios!$B$65) * 10</f>
        <v>0.1182073402</v>
      </c>
      <c r="F38" s="15">
        <f>(Processed_Ratios!F38 / Processed_Ratios!$B$65) * 10</f>
        <v>0</v>
      </c>
      <c r="G38" s="15">
        <f>(Processed_Ratios!G38 / Processed_Ratios!$B$65) * 10</f>
        <v>0.4023596004</v>
      </c>
      <c r="H38" s="15">
        <f>(Processed_Ratios!H38 / Processed_Ratios!$B$65) * 10</f>
        <v>0.09774837749</v>
      </c>
      <c r="I38" s="15">
        <f>(Processed_Ratios!I38 / Processed_Ratios!$B$65) * 10</f>
        <v>0.1193439493</v>
      </c>
      <c r="J38" s="15">
        <f>(Processed_Ratios!J38 / Processed_Ratios!$B$65) * 10</f>
        <v>0</v>
      </c>
      <c r="K38" s="15">
        <f>(Processed_Ratios!K38 / Processed_Ratios!$B$65) * 10</f>
        <v>0.169354747</v>
      </c>
      <c r="L38" s="15">
        <f>(Processed_Ratios!L38 / Processed_Ratios!$B$65) * 10</f>
        <v>0.1864038827</v>
      </c>
      <c r="M38" s="15">
        <f>(Processed_Ratios!M38 / Processed_Ratios!$B$65) * 10</f>
        <v>0.2045896273</v>
      </c>
    </row>
    <row r="39">
      <c r="A39" s="6" t="s">
        <v>5</v>
      </c>
      <c r="B39" s="8">
        <f>(Processed_Ratios!B39 / Processed_Ratios!$B$65) * 10</f>
        <v>1.520782896</v>
      </c>
      <c r="C39" s="8">
        <f>(Processed_Ratios!C39 / Processed_Ratios!$B$65) * 10</f>
        <v>1.427580955</v>
      </c>
      <c r="D39" s="8">
        <f>(Processed_Ratios!D39 / Processed_Ratios!$B$65) * 10</f>
        <v>1.192302884</v>
      </c>
      <c r="E39" s="15">
        <f>(Processed_Ratios!E39 / Processed_Ratios!$B$65) * 10</f>
        <v>0.9740739478</v>
      </c>
      <c r="F39" s="15">
        <f>(Processed_Ratios!F39 / Processed_Ratios!$B$65) * 10</f>
        <v>0</v>
      </c>
      <c r="G39" s="15">
        <f>(Processed_Ratios!G39 / Processed_Ratios!$B$65) * 10</f>
        <v>2.050442709</v>
      </c>
      <c r="H39" s="15">
        <f>(Processed_Ratios!H39 / Processed_Ratios!$B$65) * 10</f>
        <v>0.6569600255</v>
      </c>
      <c r="I39" s="15">
        <f>(Processed_Ratios!I39 / Processed_Ratios!$B$65) * 10</f>
        <v>0.84109069</v>
      </c>
      <c r="J39" s="15">
        <f>(Processed_Ratios!J39 / Processed_Ratios!$B$65) * 10</f>
        <v>0</v>
      </c>
      <c r="K39" s="15">
        <f>(Processed_Ratios!K39 / Processed_Ratios!$B$65) * 10</f>
        <v>1.249133336</v>
      </c>
      <c r="L39" s="15">
        <f>(Processed_Ratios!L39 / Processed_Ratios!$B$65) * 10</f>
        <v>1.142292086</v>
      </c>
      <c r="M39" s="15">
        <f>(Processed_Ratios!M39 / Processed_Ratios!$B$65) * 10</f>
        <v>1.26731908</v>
      </c>
    </row>
    <row r="40">
      <c r="A40" s="6" t="s">
        <v>6</v>
      </c>
      <c r="B40" s="8">
        <f>(Processed_Ratios!B40 / Processed_Ratios!$B$65) * 10</f>
        <v>3.590547959</v>
      </c>
      <c r="C40" s="8">
        <f>(Processed_Ratios!C40 / Processed_Ratios!$B$65) * 10</f>
        <v>4.17021857</v>
      </c>
      <c r="D40" s="8">
        <f>(Processed_Ratios!D40 / Processed_Ratios!$B$65) * 10</f>
        <v>4.731703436</v>
      </c>
      <c r="E40" s="15">
        <f>(Processed_Ratios!E40 / Processed_Ratios!$B$65) * 10</f>
        <v>4.847637558</v>
      </c>
      <c r="F40" s="15">
        <f>(Processed_Ratios!F40 / Processed_Ratios!$B$65) * 10</f>
        <v>5.540969073</v>
      </c>
      <c r="G40" s="15">
        <f>(Processed_Ratios!G40 / Processed_Ratios!$B$65) * 10</f>
        <v>4.706698037</v>
      </c>
      <c r="H40" s="15">
        <f>(Processed_Ratios!H40 / Processed_Ratios!$B$65) * 10</f>
        <v>3.082483718</v>
      </c>
      <c r="I40" s="15">
        <f>(Processed_Ratios!I40 / Processed_Ratios!$B$65) * 10</f>
        <v>4.981757425</v>
      </c>
      <c r="J40" s="15">
        <f>(Processed_Ratios!J40 / Processed_Ratios!$B$65) * 10</f>
        <v>4.595310351</v>
      </c>
      <c r="K40" s="15">
        <f>(Processed_Ratios!K40 / Processed_Ratios!$B$65) * 10</f>
        <v>2.086814199</v>
      </c>
      <c r="L40" s="15">
        <f>(Processed_Ratios!L40 / Processed_Ratios!$B$65) * 10</f>
        <v>2.217524238</v>
      </c>
      <c r="M40" s="15">
        <f>(Processed_Ratios!M40 / Processed_Ratios!$B$65) * 10</f>
        <v>2.226617111</v>
      </c>
    </row>
    <row r="41">
      <c r="A41" s="6" t="s">
        <v>7</v>
      </c>
      <c r="B41" s="8">
        <f>(Processed_Ratios!B41 / Processed_Ratios!$B$65) * 10</f>
        <v>1.567383867</v>
      </c>
      <c r="C41" s="8">
        <f>(Processed_Ratios!C41 / Processed_Ratios!$B$65) * 10</f>
        <v>3.463247747</v>
      </c>
      <c r="D41" s="8">
        <f>(Processed_Ratios!D41 / Processed_Ratios!$B$65) * 10</f>
        <v>2.311862789</v>
      </c>
      <c r="E41" s="15">
        <f>(Processed_Ratios!E41 / Processed_Ratios!$B$65) * 10</f>
        <v>0</v>
      </c>
      <c r="F41" s="15">
        <f>(Processed_Ratios!F41 / Processed_Ratios!$B$65) * 10</f>
        <v>0</v>
      </c>
      <c r="G41" s="15">
        <f>(Processed_Ratios!G41 / Processed_Ratios!$B$65) * 10</f>
        <v>0</v>
      </c>
      <c r="H41" s="15">
        <f>(Processed_Ratios!H41 / Processed_Ratios!$B$65) * 10</f>
        <v>10</v>
      </c>
      <c r="I41" s="15">
        <f>(Processed_Ratios!I41 / Processed_Ratios!$B$65) * 10</f>
        <v>10</v>
      </c>
      <c r="J41" s="15">
        <f>(Processed_Ratios!J41 / Processed_Ratios!$B$65) * 10</f>
        <v>1.956104159</v>
      </c>
      <c r="K41" s="15">
        <f>(Processed_Ratios!K41 / Processed_Ratios!$B$65) * 10</f>
        <v>1.997022084</v>
      </c>
      <c r="L41" s="15">
        <f>(Processed_Ratios!L41 / Processed_Ratios!$B$65) * 10</f>
        <v>3.784908105</v>
      </c>
      <c r="M41" s="15">
        <f>(Processed_Ratios!M41 / Processed_Ratios!$B$65) * 10</f>
        <v>0</v>
      </c>
    </row>
    <row r="42">
      <c r="A42" s="6" t="s">
        <v>8</v>
      </c>
      <c r="B42" s="8">
        <f>(Processed_Ratios!B42 / Processed_Ratios!$B$65) * 10</f>
        <v>10</v>
      </c>
      <c r="C42" s="8">
        <f>(Processed_Ratios!C42 / Processed_Ratios!$B$65) * 10</f>
        <v>10</v>
      </c>
      <c r="D42" s="8">
        <f>(Processed_Ratios!D42 / Processed_Ratios!$B$65) * 10</f>
        <v>9.945329105</v>
      </c>
      <c r="E42" s="15">
        <f>(Processed_Ratios!E42 / Processed_Ratios!$B$65) * 10</f>
        <v>9.590707084</v>
      </c>
      <c r="F42" s="15">
        <f>(Processed_Ratios!F42 / Processed_Ratios!$B$65) * 10</f>
        <v>3.321171617</v>
      </c>
      <c r="G42" s="15">
        <f>(Processed_Ratios!G42 / Processed_Ratios!$B$65) * 10</f>
        <v>1.394619293</v>
      </c>
      <c r="H42" s="15">
        <f>(Processed_Ratios!H42 / Processed_Ratios!$B$65) * 10</f>
        <v>1.233220809</v>
      </c>
      <c r="I42" s="15">
        <f>(Processed_Ratios!I42 / Processed_Ratios!$B$65) * 10</f>
        <v>2.205021539</v>
      </c>
      <c r="J42" s="15">
        <f>(Processed_Ratios!J42 / Processed_Ratios!$B$65) * 10</f>
        <v>4.471419966</v>
      </c>
      <c r="K42" s="15">
        <f>(Processed_Ratios!K42 / Processed_Ratios!$B$65) * 10</f>
        <v>5.47277253</v>
      </c>
      <c r="L42" s="15">
        <f>(Processed_Ratios!L42 / Processed_Ratios!$B$65) * 10</f>
        <v>3.705345472</v>
      </c>
      <c r="M42" s="15">
        <f>(Processed_Ratios!M42 / Processed_Ratios!$B$65) * 10</f>
        <v>1.221854719</v>
      </c>
    </row>
    <row r="43">
      <c r="A43" s="6" t="s">
        <v>9</v>
      </c>
      <c r="B43" s="8">
        <f>(Processed_Ratios!B43 / Processed_Ratios!$B$65) * 10</f>
        <v>2.847205647</v>
      </c>
      <c r="C43" s="8">
        <f>(Processed_Ratios!C43 / Processed_Ratios!$B$65) * 10</f>
        <v>2.771052841</v>
      </c>
      <c r="D43" s="8">
        <f>(Processed_Ratios!D43 / Processed_Ratios!$B$65) * 10</f>
        <v>2.735817961</v>
      </c>
      <c r="E43" s="15">
        <f>(Processed_Ratios!E43 / Processed_Ratios!$B$65) * 10</f>
        <v>2.646025846</v>
      </c>
      <c r="F43" s="15">
        <f>(Processed_Ratios!F43 / Processed_Ratios!$B$65) * 10</f>
        <v>1.311646833</v>
      </c>
      <c r="G43" s="15">
        <f>(Processed_Ratios!G43 / Processed_Ratios!$B$65) * 10</f>
        <v>0</v>
      </c>
      <c r="H43" s="15">
        <f>(Processed_Ratios!H43 / Processed_Ratios!$B$65) * 10</f>
        <v>2.117502643</v>
      </c>
      <c r="I43" s="15">
        <f>(Processed_Ratios!I43 / Processed_Ratios!$B$65) * 10</f>
        <v>2.195928666</v>
      </c>
      <c r="J43" s="15">
        <f>(Processed_Ratios!J43 / Processed_Ratios!$B$65) * 10</f>
        <v>2.368693241</v>
      </c>
      <c r="K43" s="15">
        <f>(Processed_Ratios!K43 / Processed_Ratios!$B$65) * 10</f>
        <v>2.349370887</v>
      </c>
      <c r="L43" s="15">
        <f>(Processed_Ratios!L43 / Processed_Ratios!$B$65) * 10</f>
        <v>0</v>
      </c>
      <c r="M43" s="15">
        <f>(Processed_Ratios!M43 / Processed_Ratios!$B$65) * 10</f>
        <v>0</v>
      </c>
    </row>
    <row r="44">
      <c r="A44" s="6" t="s">
        <v>10</v>
      </c>
      <c r="B44" s="8">
        <f>(Processed_Ratios!B44 / Processed_Ratios!$B$65) * 10</f>
        <v>10</v>
      </c>
      <c r="C44" s="8">
        <f>(Processed_Ratios!C44 / Processed_Ratios!$B$65) * 10</f>
        <v>10</v>
      </c>
      <c r="D44" s="8">
        <f>(Processed_Ratios!D44 / Processed_Ratios!$B$65) * 10</f>
        <v>9.499778361</v>
      </c>
      <c r="E44" s="15">
        <f>(Processed_Ratios!E44 / Processed_Ratios!$B$65) * 10</f>
        <v>9.624805356</v>
      </c>
      <c r="F44" s="15">
        <f>(Processed_Ratios!F44 / Processed_Ratios!$B$65) * 10</f>
        <v>10</v>
      </c>
      <c r="G44" s="15">
        <f>(Processed_Ratios!G44 / Processed_Ratios!$B$65) * 10</f>
        <v>8.751889613</v>
      </c>
      <c r="H44" s="15">
        <f>(Processed_Ratios!H44 / Processed_Ratios!$B$65) * 10</f>
        <v>8.534797286</v>
      </c>
      <c r="I44" s="15">
        <f>(Processed_Ratios!I44 / Processed_Ratios!$B$65) * 10</f>
        <v>8.492742751</v>
      </c>
      <c r="J44" s="15">
        <f>(Processed_Ratios!J44 / Processed_Ratios!$B$65) * 10</f>
        <v>9.067866926</v>
      </c>
      <c r="K44" s="15">
        <f>(Processed_Ratios!K44 / Processed_Ratios!$B$65) * 10</f>
        <v>9.209943056</v>
      </c>
      <c r="L44" s="15">
        <f>(Processed_Ratios!L44 / Processed_Ratios!$B$65) * 10</f>
        <v>8.454098044</v>
      </c>
      <c r="M44" s="15">
        <f>(Processed_Ratios!M44 / Processed_Ratios!$B$65) * 10</f>
        <v>8.098339414</v>
      </c>
    </row>
    <row r="45">
      <c r="A45" s="6" t="s">
        <v>11</v>
      </c>
      <c r="B45" s="8">
        <f>(Processed_Ratios!B45 / Processed_Ratios!$B$65) * 10</f>
        <v>1.750377923</v>
      </c>
      <c r="C45" s="8">
        <f>(Processed_Ratios!C45 / Processed_Ratios!$B$65) * 10</f>
        <v>1.807208375</v>
      </c>
      <c r="D45" s="8">
        <f>(Processed_Ratios!D45 / Processed_Ratios!$B$65) * 10</f>
        <v>1.864038827</v>
      </c>
      <c r="E45" s="15">
        <f>(Processed_Ratios!E45 / Processed_Ratios!$B$65) * 10</f>
        <v>1.568520476</v>
      </c>
      <c r="F45" s="15">
        <f>(Processed_Ratios!F45 / Processed_Ratios!$B$65) * 10</f>
        <v>0.8524567804</v>
      </c>
      <c r="G45" s="15">
        <f>(Processed_Ratios!G45 / Processed_Ratios!$B$65) * 10</f>
        <v>0</v>
      </c>
      <c r="H45" s="15">
        <f>(Processed_Ratios!H45 / Processed_Ratios!$B$65) * 10</f>
        <v>1.704913561</v>
      </c>
      <c r="I45" s="15">
        <f>(Processed_Ratios!I45 / Processed_Ratios!$B$65) * 10</f>
        <v>1.363930849</v>
      </c>
      <c r="J45" s="15">
        <f>(Processed_Ratios!J45 / Processed_Ratios!$B$65) * 10</f>
        <v>1.591252657</v>
      </c>
      <c r="K45" s="15">
        <f>(Processed_Ratios!K45 / Processed_Ratios!$B$65) * 10</f>
        <v>3.296166218</v>
      </c>
      <c r="L45" s="15">
        <f>(Processed_Ratios!L45 / Processed_Ratios!$B$65) * 10</f>
        <v>2.727861697</v>
      </c>
      <c r="M45" s="15">
        <f>(Processed_Ratios!M45 / Processed_Ratios!$B$65) * 10</f>
        <v>2.727861697</v>
      </c>
    </row>
    <row r="46">
      <c r="A46" s="6" t="s">
        <v>12</v>
      </c>
      <c r="B46" s="8">
        <f>(Processed_Ratios!B46 / Processed_Ratios!$B$65) * 10</f>
        <v>8.634818881</v>
      </c>
      <c r="C46" s="8">
        <f>(Processed_Ratios!C46 / Processed_Ratios!$B$65) * 10</f>
        <v>6.365010627</v>
      </c>
      <c r="D46" s="8">
        <f>(Processed_Ratios!D46 / Processed_Ratios!$B$65) * 10</f>
        <v>6.429797343</v>
      </c>
      <c r="E46" s="15">
        <f>(Processed_Ratios!E46 / Processed_Ratios!$B$65) * 10</f>
        <v>6.504813539</v>
      </c>
      <c r="F46" s="15">
        <f>(Processed_Ratios!F46 / Processed_Ratios!$B$65) * 10</f>
        <v>5.355701799</v>
      </c>
      <c r="G46" s="15">
        <f>(Processed_Ratios!G46 / Processed_Ratios!$B$65) * 10</f>
        <v>6.518452848</v>
      </c>
      <c r="H46" s="15">
        <f>(Processed_Ratios!H46 / Processed_Ratios!$B$65) * 10</f>
        <v>10</v>
      </c>
      <c r="I46" s="15">
        <f>(Processed_Ratios!I46 / Processed_Ratios!$B$65) * 10</f>
        <v>5.29546152</v>
      </c>
      <c r="J46" s="15">
        <f>(Processed_Ratios!J46 / Processed_Ratios!$B$65) * 10</f>
        <v>5.504597584</v>
      </c>
      <c r="K46" s="15">
        <f>(Processed_Ratios!K46 / Processed_Ratios!$B$65) * 10</f>
        <v>5.741012264</v>
      </c>
      <c r="L46" s="15">
        <f>(Processed_Ratios!L46 / Processed_Ratios!$B$65) * 10</f>
        <v>4.676009593</v>
      </c>
      <c r="M46" s="15">
        <f>(Processed_Ratios!M46 / Processed_Ratios!$B$65) * 10</f>
        <v>3.845148384</v>
      </c>
    </row>
    <row r="47">
      <c r="A47" s="6" t="s">
        <v>13</v>
      </c>
      <c r="B47" s="8">
        <f>(Processed_Ratios!B47 / Processed_Ratios!$B$65) * 10</f>
        <v>2.659665155</v>
      </c>
      <c r="C47" s="8">
        <f>(Processed_Ratios!C47 / Processed_Ratios!$B$65) * 10</f>
        <v>4.660097066</v>
      </c>
      <c r="D47" s="8">
        <f>(Processed_Ratios!D47 / Processed_Ratios!$B$65) * 10</f>
        <v>4.411179687</v>
      </c>
      <c r="E47" s="15">
        <f>(Processed_Ratios!E47 / Processed_Ratios!$B$65) * 10</f>
        <v>4.823768768</v>
      </c>
      <c r="F47" s="15">
        <f>(Processed_Ratios!F47 / Processed_Ratios!$B$65) * 10</f>
        <v>5.312510656</v>
      </c>
      <c r="G47" s="15">
        <f>(Processed_Ratios!G47 / Processed_Ratios!$B$65) * 10</f>
        <v>5.234084632</v>
      </c>
      <c r="H47" s="15">
        <f>(Processed_Ratios!H47 / Processed_Ratios!$B$65) * 10</f>
        <v>5.672815722</v>
      </c>
      <c r="I47" s="15">
        <f>(Processed_Ratios!I47 / Processed_Ratios!$B$65) * 10</f>
        <v>5.818301679</v>
      </c>
      <c r="J47" s="15">
        <f>(Processed_Ratios!J47 / Processed_Ratios!$B$65) * 10</f>
        <v>7.555040293</v>
      </c>
      <c r="K47" s="15">
        <f>(Processed_Ratios!K47 / Processed_Ratios!$B$65) * 10</f>
        <v>6.093361067</v>
      </c>
      <c r="L47" s="15">
        <f>(Processed_Ratios!L47 / Processed_Ratios!$B$65) * 10</f>
        <v>5.892181266</v>
      </c>
      <c r="M47" s="15">
        <f>(Processed_Ratios!M47 / Processed_Ratios!$B$65) * 10</f>
        <v>6.099044112</v>
      </c>
    </row>
    <row r="48">
      <c r="A48" s="6" t="s">
        <v>14</v>
      </c>
      <c r="B48" s="8">
        <f>(Processed_Ratios!B48 / Processed_Ratios!$B$65) * 10</f>
        <v>1.777656539</v>
      </c>
      <c r="C48" s="8">
        <f>(Processed_Ratios!C48 / Processed_Ratios!$B$65) * 10</f>
        <v>1.917459451</v>
      </c>
      <c r="D48" s="8">
        <f>(Processed_Ratios!D48 / Processed_Ratios!$B$65) * 10</f>
        <v>1.627624146</v>
      </c>
      <c r="E48" s="15">
        <f>(Processed_Ratios!E48 / Processed_Ratios!$B$65) * 10</f>
        <v>1.782202976</v>
      </c>
      <c r="F48" s="15">
        <f>(Processed_Ratios!F48 / Processed_Ratios!$B$65) * 10</f>
        <v>1.74128505</v>
      </c>
      <c r="G48" s="15">
        <f>(Processed_Ratios!G48 / Processed_Ratios!$B$65) * 10</f>
        <v>1.616258056</v>
      </c>
      <c r="H48" s="15">
        <f>(Processed_Ratios!H48 / Processed_Ratios!$B$65) * 10</f>
        <v>1.914049624</v>
      </c>
      <c r="I48" s="15">
        <f>(Processed_Ratios!I48 / Processed_Ratios!$B$65) * 10</f>
        <v>1.615121447</v>
      </c>
      <c r="J48" s="15">
        <f>(Processed_Ratios!J48 / Processed_Ratios!$B$65) * 10</f>
        <v>1.67081529</v>
      </c>
      <c r="K48" s="15">
        <f>(Processed_Ratios!K48 / Processed_Ratios!$B$65) * 10</f>
        <v>1.654902763</v>
      </c>
      <c r="L48" s="15">
        <f>(Processed_Ratios!L48 / Processed_Ratios!$B$65) * 10</f>
        <v>1.744694877</v>
      </c>
      <c r="M48" s="15">
        <f>(Processed_Ratios!M48 / Processed_Ratios!$B$65) * 10</f>
        <v>1.702640343</v>
      </c>
    </row>
    <row r="49">
      <c r="A49" s="6" t="s">
        <v>15</v>
      </c>
      <c r="B49" s="8">
        <f>(Processed_Ratios!B49 / Processed_Ratios!$B$65) * 10</f>
        <v>2.909719144</v>
      </c>
      <c r="C49" s="8">
        <f>(Processed_Ratios!C49 / Processed_Ratios!$B$65) * 10</f>
        <v>3.670110592</v>
      </c>
      <c r="D49" s="8">
        <f>(Processed_Ratios!D49 / Processed_Ratios!$B$65) * 10</f>
        <v>3.355269888</v>
      </c>
      <c r="E49" s="15">
        <f>(Processed_Ratios!E49 / Processed_Ratios!$B$65) * 10</f>
        <v>3.314351962</v>
      </c>
      <c r="F49" s="15">
        <f>(Processed_Ratios!F49 / Processed_Ratios!$B$65) * 10</f>
        <v>3.581455087</v>
      </c>
      <c r="G49" s="15">
        <f>(Processed_Ratios!G49 / Processed_Ratios!$B$65) * 10</f>
        <v>4.677146202</v>
      </c>
      <c r="H49" s="15">
        <f>(Processed_Ratios!H49 / Processed_Ratios!$B$65) * 10</f>
        <v>0</v>
      </c>
      <c r="I49" s="15">
        <f>(Processed_Ratios!I49 / Processed_Ratios!$B$65) * 10</f>
        <v>0</v>
      </c>
      <c r="J49" s="15">
        <f>(Processed_Ratios!J49 / Processed_Ratios!$B$65) * 10</f>
        <v>0</v>
      </c>
      <c r="K49" s="15">
        <f>(Processed_Ratios!K49 / Processed_Ratios!$B$65) * 10</f>
        <v>0</v>
      </c>
      <c r="L49" s="15">
        <f>(Processed_Ratios!L49 / Processed_Ratios!$B$65) * 10</f>
        <v>3.603050659</v>
      </c>
      <c r="M49" s="15">
        <f>(Processed_Ratios!M49 / Processed_Ratios!$B$65) * 10</f>
        <v>3.062024755</v>
      </c>
    </row>
    <row r="50">
      <c r="A50" s="6" t="s">
        <v>16</v>
      </c>
      <c r="B50" s="8">
        <f>(Processed_Ratios!B50 / Processed_Ratios!$B$65) * 10</f>
        <v>2.067491845</v>
      </c>
      <c r="C50" s="8">
        <f>(Processed_Ratios!C50 / Processed_Ratios!$B$65) * 10</f>
        <v>1.825394119</v>
      </c>
      <c r="D50" s="8">
        <f>(Processed_Ratios!D50 / Processed_Ratios!$B$65) * 10</f>
        <v>1.419624692</v>
      </c>
      <c r="E50" s="15">
        <f>(Processed_Ratios!E50 / Processed_Ratios!$B$65) * 10</f>
        <v>1.691274252</v>
      </c>
      <c r="F50" s="15">
        <f>(Processed_Ratios!F50 / Processed_Ratios!$B$65) * 10</f>
        <v>1.643536673</v>
      </c>
      <c r="G50" s="15">
        <f>(Processed_Ratios!G50 / Processed_Ratios!$B$65) * 10</f>
        <v>10</v>
      </c>
      <c r="H50" s="15">
        <f>(Processed_Ratios!H50 / Processed_Ratios!$B$65) * 10</f>
        <v>2.003841739</v>
      </c>
      <c r="I50" s="15">
        <f>(Processed_Ratios!I50 / Processed_Ratios!$B$65) * 10</f>
        <v>1.283231607</v>
      </c>
      <c r="J50" s="15">
        <f>(Processed_Ratios!J50 / Processed_Ratios!$B$65) * 10</f>
        <v>2.377786113</v>
      </c>
      <c r="K50" s="15">
        <f>(Processed_Ratios!K50 / Processed_Ratios!$B$65) * 10</f>
        <v>2.79605824</v>
      </c>
      <c r="L50" s="15">
        <f>(Processed_Ratios!L50 / Processed_Ratios!$B$65) * 10</f>
        <v>2.699446471</v>
      </c>
      <c r="M50" s="15">
        <f>(Processed_Ratios!M50 / Processed_Ratios!$B$65) * 10</f>
        <v>2.099316898</v>
      </c>
    </row>
    <row r="51">
      <c r="A51" s="6" t="s">
        <v>17</v>
      </c>
      <c r="B51" s="8">
        <f>(Processed_Ratios!B51 / Processed_Ratios!$B$65) * 10</f>
        <v>3.0802105</v>
      </c>
      <c r="C51" s="8">
        <f>(Processed_Ratios!C51 / Processed_Ratios!$B$65) * 10</f>
        <v>2.290267217</v>
      </c>
      <c r="D51" s="8">
        <f>(Processed_Ratios!D51 / Processed_Ratios!$B$65) * 10</f>
        <v>2.508496153</v>
      </c>
      <c r="E51" s="15">
        <f>(Processed_Ratios!E51 / Processed_Ratios!$B$65) * 10</f>
        <v>3.982678078</v>
      </c>
      <c r="F51" s="15">
        <f>(Processed_Ratios!F51 / Processed_Ratios!$B$65) * 10</f>
        <v>4.693058729</v>
      </c>
      <c r="G51" s="15">
        <f>(Processed_Ratios!G51 / Processed_Ratios!$B$65) * 10</f>
        <v>4.838544686</v>
      </c>
      <c r="H51" s="15">
        <f>(Processed_Ratios!H51 / Processed_Ratios!$B$65) * 10</f>
        <v>3.590547959</v>
      </c>
      <c r="I51" s="15">
        <f>(Processed_Ratios!I51 / Processed_Ratios!$B$65) * 10</f>
        <v>3.267750992</v>
      </c>
      <c r="J51" s="15">
        <f>(Processed_Ratios!J51 / Processed_Ratios!$B$65) * 10</f>
        <v>1.59920892</v>
      </c>
      <c r="K51" s="15">
        <f>(Processed_Ratios!K51 / Processed_Ratios!$B$65) * 10</f>
        <v>1.561700822</v>
      </c>
      <c r="L51" s="15">
        <f>(Processed_Ratios!L51 / Processed_Ratios!$B$65) * 10</f>
        <v>2.253895727</v>
      </c>
      <c r="M51" s="15">
        <f>(Processed_Ratios!M51 / Processed_Ratios!$B$65) * 10</f>
        <v>1.443493482</v>
      </c>
    </row>
    <row r="52">
      <c r="A52" s="6" t="s">
        <v>18</v>
      </c>
      <c r="B52" s="8">
        <f>(Processed_Ratios!B52 / Processed_Ratios!$B$65) * 10</f>
        <v>3.881519874</v>
      </c>
      <c r="C52" s="8">
        <f>(Processed_Ratios!C52 / Processed_Ratios!$B$65) * 10</f>
        <v>3.971311988</v>
      </c>
      <c r="D52" s="8">
        <f>(Processed_Ratios!D52 / Processed_Ratios!$B$65) * 10</f>
        <v>2.768779623</v>
      </c>
      <c r="E52" s="15">
        <f>(Processed_Ratios!E52 / Processed_Ratios!$B$65) * 10</f>
        <v>2.642616019</v>
      </c>
      <c r="F52" s="15">
        <f>(Processed_Ratios!F52 / Processed_Ratios!$B$65) * 10</f>
        <v>4.295245564</v>
      </c>
      <c r="G52" s="15">
        <f>(Processed_Ratios!G52 / Processed_Ratios!$B$65) * 10</f>
        <v>0.4841954513</v>
      </c>
      <c r="H52" s="15">
        <f>(Processed_Ratios!H52 / Processed_Ratios!$B$65) * 10</f>
        <v>2.498266671</v>
      </c>
      <c r="I52" s="15">
        <f>(Processed_Ratios!I52 / Processed_Ratios!$B$65) * 10</f>
        <v>4.354349234</v>
      </c>
      <c r="J52" s="15">
        <f>(Processed_Ratios!J52 / Processed_Ratios!$B$65) * 10</f>
        <v>3.811050113</v>
      </c>
      <c r="K52" s="15">
        <f>(Processed_Ratios!K52 / Processed_Ratios!$B$65) * 10</f>
        <v>2.906309317</v>
      </c>
      <c r="L52" s="15">
        <f>(Processed_Ratios!L52 / Processed_Ratios!$B$65) * 10</f>
        <v>2.34596106</v>
      </c>
      <c r="M52" s="15">
        <f>(Processed_Ratios!M52 / Processed_Ratios!$B$65) * 10</f>
        <v>4.77489458</v>
      </c>
    </row>
    <row r="53">
      <c r="A53" s="6" t="s">
        <v>19</v>
      </c>
      <c r="B53" s="8">
        <f>(Processed_Ratios!B53 / Processed_Ratios!$B$65) * 10</f>
        <v>5.277275775</v>
      </c>
      <c r="C53" s="8">
        <f>(Processed_Ratios!C53 / Processed_Ratios!$B$65) * 10</f>
        <v>5.76942749</v>
      </c>
      <c r="D53" s="8">
        <f>(Processed_Ratios!D53 / Processed_Ratios!$B$65) * 10</f>
        <v>5.1420193</v>
      </c>
      <c r="E53" s="15">
        <f>(Processed_Ratios!E53 / Processed_Ratios!$B$65) * 10</f>
        <v>5.889908048</v>
      </c>
      <c r="F53" s="15">
        <f>(Processed_Ratios!F53 / Processed_Ratios!$B$65) * 10</f>
        <v>6.441163433</v>
      </c>
      <c r="G53" s="15">
        <f>(Processed_Ratios!G53 / Processed_Ratios!$B$65) * 10</f>
        <v>3.204100885</v>
      </c>
      <c r="H53" s="15">
        <f>(Processed_Ratios!H53 / Processed_Ratios!$B$65) * 10</f>
        <v>5.113604074</v>
      </c>
      <c r="I53" s="15">
        <f>(Processed_Ratios!I53 / Processed_Ratios!$B$65) * 10</f>
        <v>4.203180232</v>
      </c>
      <c r="J53" s="15">
        <f>(Processed_Ratios!J53 / Processed_Ratios!$B$65) * 10</f>
        <v>0.7978995465</v>
      </c>
      <c r="K53" s="15">
        <f>(Processed_Ratios!K53 / Processed_Ratios!$B$65) * 10</f>
        <v>2.104999943</v>
      </c>
      <c r="L53" s="15">
        <f>(Processed_Ratios!L53 / Processed_Ratios!$B$65) * 10</f>
        <v>2.518725634</v>
      </c>
      <c r="M53" s="15">
        <f>(Processed_Ratios!M53 / Processed_Ratios!$B$65) * 10</f>
        <v>3.512121935</v>
      </c>
    </row>
    <row r="54">
      <c r="A54" s="6" t="s">
        <v>20</v>
      </c>
      <c r="B54" s="8">
        <f>(Processed_Ratios!B54 / Processed_Ratios!$B$65) * 10</f>
        <v>1.103647378</v>
      </c>
      <c r="C54" s="8">
        <f>(Processed_Ratios!C54 / Processed_Ratios!$B$65) * 10</f>
        <v>0.9933963015</v>
      </c>
      <c r="D54" s="8">
        <f>(Processed_Ratios!D54 / Processed_Ratios!$B$65) * 10</f>
        <v>0.8660960889</v>
      </c>
      <c r="E54" s="15">
        <f>(Processed_Ratios!E54 / Processed_Ratios!$B$65) * 10</f>
        <v>0.8035825917</v>
      </c>
      <c r="F54" s="15">
        <f>(Processed_Ratios!F54 / Processed_Ratios!$B$65) * 10</f>
        <v>0.9070140144</v>
      </c>
      <c r="G54" s="15">
        <f>(Processed_Ratios!G54 / Processed_Ratios!$B$65) * 10</f>
        <v>1.111603642</v>
      </c>
      <c r="H54" s="15">
        <f>(Processed_Ratios!H54 / Processed_Ratios!$B$65) * 10</f>
        <v>1.019538309</v>
      </c>
      <c r="I54" s="15">
        <f>(Processed_Ratios!I54 / Processed_Ratios!$B$65) * 10</f>
        <v>1.025221355</v>
      </c>
      <c r="J54" s="15">
        <f>(Processed_Ratios!J54 / Processed_Ratios!$B$65) * 10</f>
        <v>0</v>
      </c>
      <c r="K54" s="15">
        <f>(Processed_Ratios!K54 / Processed_Ratios!$B$65) * 10</f>
        <v>2.307316352</v>
      </c>
      <c r="L54" s="15">
        <f>(Processed_Ratios!L54 / Processed_Ratios!$B$65) * 10</f>
        <v>1.419624692</v>
      </c>
      <c r="M54" s="15">
        <f>(Processed_Ratios!M54 / Processed_Ratios!$B$65) * 10</f>
        <v>1.410531819</v>
      </c>
    </row>
    <row r="55">
      <c r="A55" s="6" t="s">
        <v>21</v>
      </c>
      <c r="B55" s="8">
        <f>(Processed_Ratios!B55 / Processed_Ratios!$B$65) * 10</f>
        <v>2.27435469</v>
      </c>
      <c r="C55" s="8">
        <f>(Processed_Ratios!C55 / Processed_Ratios!$B$65) * 10</f>
        <v>2.275491299</v>
      </c>
      <c r="D55" s="8">
        <f>(Processed_Ratios!D55 / Processed_Ratios!$B$65) * 10</f>
        <v>2.282310954</v>
      </c>
      <c r="E55" s="15">
        <f>(Processed_Ratios!E55 / Processed_Ratios!$B$65) * 10</f>
        <v>2.273218081</v>
      </c>
      <c r="F55" s="15">
        <f>(Processed_Ratios!F55 / Processed_Ratios!$B$65) * 10</f>
        <v>1.987929212</v>
      </c>
      <c r="G55" s="15">
        <f>(Processed_Ratios!G55 / Processed_Ratios!$B$65) * 10</f>
        <v>0</v>
      </c>
      <c r="H55" s="15">
        <f>(Processed_Ratios!H55 / Processed_Ratios!$B$65) * 10</f>
        <v>0</v>
      </c>
      <c r="I55" s="15">
        <f>(Processed_Ratios!I55 / Processed_Ratios!$B$65) * 10</f>
        <v>0</v>
      </c>
      <c r="J55" s="15">
        <f>(Processed_Ratios!J55 / Processed_Ratios!$B$65) * 10</f>
        <v>2.285720781</v>
      </c>
      <c r="K55" s="15">
        <f>(Processed_Ratios!K55 / Processed_Ratios!$B$65) * 10</f>
        <v>2.305043134</v>
      </c>
      <c r="L55" s="15">
        <f>(Processed_Ratios!L55 / Processed_Ratios!$B$65) * 10</f>
        <v>2.297086871</v>
      </c>
      <c r="M55" s="15">
        <f>(Processed_Ratios!M55 / Processed_Ratios!$B$65) * 10</f>
        <v>2.336868187</v>
      </c>
    </row>
    <row r="56">
      <c r="A56" s="6" t="s">
        <v>22</v>
      </c>
      <c r="B56" s="8">
        <f>(Processed_Ratios!B56 / Processed_Ratios!$B$65) * 10</f>
        <v>3.757629488</v>
      </c>
      <c r="C56" s="8">
        <f>(Processed_Ratios!C56 / Processed_Ratios!$B$65) * 10</f>
        <v>3.439378957</v>
      </c>
      <c r="D56" s="8">
        <f>(Processed_Ratios!D56 / Processed_Ratios!$B$65) * 10</f>
        <v>3.379138678</v>
      </c>
      <c r="E56" s="15">
        <f>(Processed_Ratios!E56 / Processed_Ratios!$B$65) * 10</f>
        <v>7.497073232</v>
      </c>
      <c r="F56" s="15">
        <f>(Processed_Ratios!F56 / Processed_Ratios!$B$65) * 10</f>
        <v>6.10131733</v>
      </c>
      <c r="G56" s="15">
        <f>(Processed_Ratios!G56 / Processed_Ratios!$B$65) * 10</f>
        <v>4.162262307</v>
      </c>
      <c r="H56" s="15">
        <f>(Processed_Ratios!H56 / Processed_Ratios!$B$65) * 10</f>
        <v>2.042486446</v>
      </c>
      <c r="I56" s="15">
        <f>(Processed_Ratios!I56 / Processed_Ratios!$B$65) * 10</f>
        <v>4.19408736</v>
      </c>
      <c r="J56" s="15">
        <f>(Processed_Ratios!J56 / Processed_Ratios!$B$65) * 10</f>
        <v>0.392130119</v>
      </c>
      <c r="K56" s="15">
        <f>(Processed_Ratios!K56 / Processed_Ratios!$B$65) * 10</f>
        <v>1.804935156</v>
      </c>
      <c r="L56" s="15">
        <f>(Processed_Ratios!L56 / Processed_Ratios!$B$65) * 10</f>
        <v>1.807208375</v>
      </c>
      <c r="M56" s="15">
        <f>(Processed_Ratios!M56 / Processed_Ratios!$B$65) * 10</f>
        <v>1.122969732</v>
      </c>
    </row>
    <row r="57">
      <c r="A57" s="6" t="s">
        <v>23</v>
      </c>
      <c r="B57" s="8">
        <f>(Processed_Ratios!B57 / Processed_Ratios!$B$65) * 10</f>
        <v>0.9433855037</v>
      </c>
      <c r="C57" s="8">
        <f>(Processed_Ratios!C57 / Processed_Ratios!$B$65) * 10</f>
        <v>0.2784692149</v>
      </c>
      <c r="D57" s="8">
        <f>(Processed_Ratios!D57 / Processed_Ratios!$B$65) * 10</f>
        <v>0</v>
      </c>
      <c r="E57" s="15">
        <f>(Processed_Ratios!E57 / Processed_Ratios!$B$65) * 10</f>
        <v>0</v>
      </c>
      <c r="F57" s="15">
        <f>(Processed_Ratios!F57 / Processed_Ratios!$B$65) * 10</f>
        <v>0</v>
      </c>
      <c r="G57" s="15">
        <f>(Processed_Ratios!G57 / Processed_Ratios!$B$65) * 10</f>
        <v>0</v>
      </c>
      <c r="H57" s="15">
        <f>(Processed_Ratios!H57 / Processed_Ratios!$B$65) * 10</f>
        <v>0</v>
      </c>
      <c r="I57" s="15">
        <f>(Processed_Ratios!I57 / Processed_Ratios!$B$65) * 10</f>
        <v>0</v>
      </c>
      <c r="J57" s="15">
        <f>(Processed_Ratios!J57 / Processed_Ratios!$B$65) * 10</f>
        <v>0</v>
      </c>
      <c r="K57" s="15">
        <f>(Processed_Ratios!K57 / Processed_Ratios!$B$65) * 10</f>
        <v>0</v>
      </c>
      <c r="L57" s="15">
        <f>(Processed_Ratios!L57 / Processed_Ratios!$B$65) * 10</f>
        <v>0</v>
      </c>
      <c r="M57" s="15">
        <f>(Processed_Ratios!M57 / Processed_Ratios!$B$65) * 10</f>
        <v>0.5262499858</v>
      </c>
    </row>
    <row r="58">
      <c r="A58" s="6" t="s">
        <v>24</v>
      </c>
      <c r="B58" s="8">
        <f>(Processed_Ratios!B58 / Processed_Ratios!$B$65) * 10</f>
        <v>10</v>
      </c>
      <c r="C58" s="8">
        <f>(Processed_Ratios!C58 / Processed_Ratios!$B$65) * 10</f>
        <v>0</v>
      </c>
      <c r="D58" s="8">
        <f>(Processed_Ratios!D58 / Processed_Ratios!$B$65) * 10</f>
        <v>8.079017061</v>
      </c>
      <c r="E58" s="15">
        <f>(Processed_Ratios!E58 / Processed_Ratios!$B$65) * 10</f>
        <v>0.8501835624</v>
      </c>
      <c r="F58" s="15">
        <f>(Processed_Ratios!F58 / Processed_Ratios!$B$65) * 10</f>
        <v>1.736738614</v>
      </c>
      <c r="G58" s="15">
        <f>(Processed_Ratios!G58 / Processed_Ratios!$B$65) * 10</f>
        <v>10</v>
      </c>
      <c r="H58" s="15">
        <f>(Processed_Ratios!H58 / Processed_Ratios!$B$65) * 10</f>
        <v>1.273002125</v>
      </c>
      <c r="I58" s="15">
        <f>(Processed_Ratios!I58 / Processed_Ratios!$B$65) * 10</f>
        <v>1.045680317</v>
      </c>
      <c r="J58" s="15">
        <f>(Processed_Ratios!J58 / Processed_Ratios!$B$65) * 10</f>
        <v>0</v>
      </c>
      <c r="K58" s="15">
        <f>(Processed_Ratios!K58 / Processed_Ratios!$B$65) * 10</f>
        <v>0</v>
      </c>
      <c r="L58" s="15">
        <f>(Processed_Ratios!L58 / Processed_Ratios!$B$65) * 10</f>
        <v>0</v>
      </c>
      <c r="M58" s="15">
        <f>(Processed_Ratios!M58 / Processed_Ratios!$B$65) * 10</f>
        <v>3.069981019</v>
      </c>
    </row>
    <row r="59">
      <c r="A59" s="6" t="s">
        <v>25</v>
      </c>
      <c r="B59" s="8">
        <f>(Processed_Ratios!B59 / Processed_Ratios!$B$65) * 10</f>
        <v>10</v>
      </c>
      <c r="C59" s="8">
        <f>(Processed_Ratios!C59 / Processed_Ratios!$B$65) * 10</f>
        <v>6.222934497</v>
      </c>
      <c r="D59" s="8">
        <f>(Processed_Ratios!D59 / Processed_Ratios!$B$65) * 10</f>
        <v>10</v>
      </c>
      <c r="E59" s="15">
        <f>(Processed_Ratios!E59 / Processed_Ratios!$B$65) * 10</f>
        <v>3.948579807</v>
      </c>
      <c r="F59" s="15">
        <f>(Processed_Ratios!F59 / Processed_Ratios!$B$65) * 10</f>
        <v>3.801957241</v>
      </c>
      <c r="G59" s="15">
        <f>(Processed_Ratios!G59 / Processed_Ratios!$B$65) * 10</f>
        <v>10</v>
      </c>
      <c r="H59" s="15">
        <f>(Processed_Ratios!H59 / Processed_Ratios!$B$65) * 10</f>
        <v>3.640558757</v>
      </c>
      <c r="I59" s="15">
        <f>(Processed_Ratios!I59 / Processed_Ratios!$B$65) * 10</f>
        <v>4.084972892</v>
      </c>
      <c r="J59" s="15">
        <f>(Processed_Ratios!J59 / Processed_Ratios!$B$65) * 10</f>
        <v>3.961082506</v>
      </c>
      <c r="K59" s="15">
        <f>(Processed_Ratios!K59 / Processed_Ratios!$B$65) * 10</f>
        <v>3.742853571</v>
      </c>
      <c r="L59" s="15">
        <f>(Processed_Ratios!L59 / Processed_Ratios!$B$65) * 10</f>
        <v>8.858730862</v>
      </c>
      <c r="M59" s="15">
        <f>(Processed_Ratios!M59 / Processed_Ratios!$B$65) * 10</f>
        <v>3.716711563</v>
      </c>
    </row>
    <row r="60">
      <c r="A60" s="6" t="s">
        <v>26</v>
      </c>
      <c r="B60" s="8">
        <f>(Processed_Ratios!B60 / Processed_Ratios!$B$65) * 10</f>
        <v>10</v>
      </c>
      <c r="C60" s="8">
        <f>(Processed_Ratios!C60 / Processed_Ratios!$B$65) * 10</f>
        <v>10</v>
      </c>
      <c r="D60" s="8">
        <f>(Processed_Ratios!D60 / Processed_Ratios!$B$65) * 10</f>
        <v>10</v>
      </c>
      <c r="E60" s="15">
        <f>(Processed_Ratios!E60 / Processed_Ratios!$B$65) * 10</f>
        <v>8.129027858</v>
      </c>
      <c r="F60" s="15">
        <f>(Processed_Ratios!F60 / Processed_Ratios!$B$65) * 10</f>
        <v>4.514611109</v>
      </c>
      <c r="G60" s="15">
        <f>(Processed_Ratios!G60 / Processed_Ratios!$B$65) * 10</f>
        <v>7.021970653</v>
      </c>
      <c r="H60" s="15">
        <f>(Processed_Ratios!H60 / Processed_Ratios!$B$65) * 10</f>
        <v>3.941760153</v>
      </c>
      <c r="I60" s="15">
        <f>(Processed_Ratios!I60 / Processed_Ratios!$B$65) * 10</f>
        <v>2.822200248</v>
      </c>
      <c r="J60" s="15">
        <f>(Processed_Ratios!J60 / Processed_Ratios!$B$65) * 10</f>
        <v>5.006762824</v>
      </c>
      <c r="K60" s="15">
        <f>(Processed_Ratios!K60 / Processed_Ratios!$B$65) * 10</f>
        <v>2.106136552</v>
      </c>
      <c r="L60" s="15">
        <f>(Processed_Ratios!L60 / Processed_Ratios!$B$65) * 10</f>
        <v>2.505086325</v>
      </c>
      <c r="M60" s="15">
        <f>(Processed_Ratios!M60 / Processed_Ratios!$B$65) * 10</f>
        <v>1.751514532</v>
      </c>
    </row>
    <row r="61">
      <c r="A61" s="6" t="s">
        <v>27</v>
      </c>
      <c r="B61" s="8">
        <f>(Processed_Ratios!B61 / Processed_Ratios!$B$65) * 10</f>
        <v>3.323444835</v>
      </c>
      <c r="C61" s="8">
        <f>(Processed_Ratios!C61 / Processed_Ratios!$B$65) * 10</f>
        <v>2.886986963</v>
      </c>
      <c r="D61" s="8">
        <f>(Processed_Ratios!D61 / Processed_Ratios!$B$65) * 10</f>
        <v>2.328911924</v>
      </c>
      <c r="E61" s="15">
        <f>(Processed_Ratios!E61 / Processed_Ratios!$B$65) * 10</f>
        <v>1.856082563</v>
      </c>
      <c r="F61" s="15">
        <f>(Processed_Ratios!F61 / Processed_Ratios!$B$65) * 10</f>
        <v>4.14634978</v>
      </c>
      <c r="G61" s="15">
        <f>(Processed_Ratios!G61 / Processed_Ratios!$B$65) * 10</f>
        <v>3.359816324</v>
      </c>
      <c r="H61" s="15">
        <f>(Processed_Ratios!H61 / Processed_Ratios!$B$65) * 10</f>
        <v>2.693763426</v>
      </c>
      <c r="I61" s="15">
        <f>(Processed_Ratios!I61 / Processed_Ratios!$B$65) * 10</f>
        <v>2.320955661</v>
      </c>
      <c r="J61" s="15">
        <f>(Processed_Ratios!J61 / Processed_Ratios!$B$65) * 10</f>
        <v>0</v>
      </c>
      <c r="K61" s="15">
        <f>(Processed_Ratios!K61 / Processed_Ratios!$B$65) * 10</f>
        <v>6.730998738</v>
      </c>
      <c r="L61" s="15">
        <f>(Processed_Ratios!L61 / Processed_Ratios!$B$65) * 10</f>
        <v>2.842659211</v>
      </c>
      <c r="M61" s="15">
        <f>(Processed_Ratios!M61 / Processed_Ratios!$B$65) * 10</f>
        <v>2.882440527</v>
      </c>
    </row>
    <row r="62">
      <c r="A62" s="6" t="s">
        <v>28</v>
      </c>
      <c r="B62" s="8">
        <f>(Processed_Ratios!B62 / Processed_Ratios!$B$65) * 10</f>
        <v>0.8354076448</v>
      </c>
      <c r="C62" s="8">
        <f>(Processed_Ratios!C62 / Processed_Ratios!$B$65) * 10</f>
        <v>0.5978563553</v>
      </c>
      <c r="D62" s="8">
        <f>(Processed_Ratios!D62 / Processed_Ratios!$B$65) * 10</f>
        <v>0.9990793467</v>
      </c>
      <c r="E62" s="15">
        <f>(Processed_Ratios!E62 / Processed_Ratios!$B$65) * 10</f>
        <v>4.580534434</v>
      </c>
      <c r="F62" s="15">
        <f>(Processed_Ratios!F62 / Processed_Ratios!$B$65) * 10</f>
        <v>0</v>
      </c>
      <c r="G62" s="15">
        <f>(Processed_Ratios!G62 / Processed_Ratios!$B$65) * 10</f>
        <v>4.820358941</v>
      </c>
      <c r="H62" s="15">
        <f>(Processed_Ratios!H62 / Processed_Ratios!$B$65) * 10</f>
        <v>5.400029552</v>
      </c>
      <c r="I62" s="15">
        <f>(Processed_Ratios!I62 / Processed_Ratios!$B$65) * 10</f>
        <v>5.227264978</v>
      </c>
      <c r="J62" s="15">
        <f>(Processed_Ratios!J62 / Processed_Ratios!$B$65) * 10</f>
        <v>0</v>
      </c>
      <c r="K62" s="15">
        <f>(Processed_Ratios!K62 / Processed_Ratios!$B$65) * 10</f>
        <v>10</v>
      </c>
      <c r="L62" s="15">
        <f>(Processed_Ratios!L62 / Processed_Ratios!$B$65) * 10</f>
        <v>2.919948625</v>
      </c>
      <c r="M62" s="15">
        <f>(Processed_Ratios!M62 / Processed_Ratios!$B$65) * 10</f>
        <v>0</v>
      </c>
    </row>
    <row r="63">
      <c r="A63" s="6" t="s">
        <v>29</v>
      </c>
      <c r="B63" s="8">
        <f>(Processed_Ratios!B63 / Processed_Ratios!$B$65) * 10</f>
        <v>3.796274196</v>
      </c>
      <c r="C63" s="8">
        <f>(Processed_Ratios!C63 / Processed_Ratios!$B$65) * 10</f>
        <v>1.77651993</v>
      </c>
      <c r="D63" s="8">
        <f>(Processed_Ratios!D63 / Processed_Ratios!$B$65) * 10</f>
        <v>2.451665701</v>
      </c>
      <c r="E63" s="15">
        <f>(Processed_Ratios!E63 / Processed_Ratios!$B$65) * 10</f>
        <v>1.650356327</v>
      </c>
      <c r="F63" s="15">
        <f>(Processed_Ratios!F63 / Processed_Ratios!$B$65) * 10</f>
        <v>0.7797138018</v>
      </c>
      <c r="G63" s="15">
        <f>(Processed_Ratios!G63 / Processed_Ratios!$B$65) * 10</f>
        <v>0.7512985758</v>
      </c>
      <c r="H63" s="15">
        <f>(Processed_Ratios!H63 / Processed_Ratios!$B$65) * 10</f>
        <v>1.643536673</v>
      </c>
      <c r="I63" s="15">
        <f>(Processed_Ratios!I63 / Processed_Ratios!$B$65) * 10</f>
        <v>1.689001034</v>
      </c>
      <c r="J63" s="15">
        <f>(Processed_Ratios!J63 / Processed_Ratios!$B$65) * 10</f>
        <v>1.091144679</v>
      </c>
      <c r="K63" s="15">
        <f>(Processed_Ratios!K63 / Processed_Ratios!$B$65) * 10</f>
        <v>1.344608495</v>
      </c>
      <c r="L63" s="15">
        <f>(Processed_Ratios!L63 / Processed_Ratios!$B$65) * 10</f>
        <v>1.337788841</v>
      </c>
      <c r="M63" s="15">
        <f>(Processed_Ratios!M63 / Processed_Ratios!$B$65) * 10</f>
        <v>1.270728907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/>
      <c r="B65" s="2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f>(Processed_Ratios!B68 / Processed_Ratios!$B$98) * 10</f>
        <v>10</v>
      </c>
      <c r="C68" s="8">
        <f>(Processed_Ratios!C68 / Processed_Ratios!$B$98) * 10</f>
        <v>9.686154809</v>
      </c>
      <c r="D68" s="8">
        <f>(Processed_Ratios!D68 / Processed_Ratios!$B$98) * 10</f>
        <v>8.023792753</v>
      </c>
      <c r="E68" s="15">
        <f>(Processed_Ratios!E68 / Processed_Ratios!$B$98) * 10</f>
        <v>9.041245989</v>
      </c>
      <c r="F68" s="15">
        <f>(Processed_Ratios!F68 / Processed_Ratios!$B$98) * 10</f>
        <v>10</v>
      </c>
      <c r="G68" s="15">
        <f>(Processed_Ratios!G68 / Processed_Ratios!$B$98) * 10</f>
        <v>9.989825468</v>
      </c>
      <c r="H68" s="15">
        <f>(Processed_Ratios!H68 / Processed_Ratios!$B$98) * 10</f>
        <v>10</v>
      </c>
      <c r="I68" s="15">
        <f>(Processed_Ratios!I68 / Processed_Ratios!$B$98) * 10</f>
        <v>10</v>
      </c>
      <c r="J68" s="15">
        <f>(Processed_Ratios!J68 / Processed_Ratios!$B$98) * 10</f>
        <v>10</v>
      </c>
      <c r="K68" s="15">
        <f>(Processed_Ratios!K68 / Processed_Ratios!$B$98) * 10</f>
        <v>10</v>
      </c>
      <c r="L68" s="15">
        <f>(Processed_Ratios!L68 / Processed_Ratios!$B$98) * 10</f>
        <v>10</v>
      </c>
      <c r="M68" s="15">
        <f>(Processed_Ratios!M68 / Processed_Ratios!$B$98) * 10</f>
        <v>10</v>
      </c>
    </row>
    <row r="69">
      <c r="A69" s="6" t="s">
        <v>2</v>
      </c>
      <c r="B69" s="8">
        <f>(Processed_Ratios!B69 / Processed_Ratios!$B$98) * 10</f>
        <v>3.29341786</v>
      </c>
      <c r="C69" s="8">
        <f>(Processed_Ratios!C69 / Processed_Ratios!$B$98) * 10</f>
        <v>4.783595523</v>
      </c>
      <c r="D69" s="8">
        <f>(Processed_Ratios!D69 / Processed_Ratios!$B$98) * 10</f>
        <v>3.722313532</v>
      </c>
      <c r="E69" s="15">
        <f>(Processed_Ratios!E69 / Processed_Ratios!$B$98) * 10</f>
        <v>3.284025984</v>
      </c>
      <c r="F69" s="15">
        <f>(Processed_Ratios!F69 / Processed_Ratios!$B$98) * 10</f>
        <v>4.580104876</v>
      </c>
      <c r="G69" s="15">
        <f>(Processed_Ratios!G69 / Processed_Ratios!$B$98) * 10</f>
        <v>4.216952336</v>
      </c>
      <c r="H69" s="15">
        <f>(Processed_Ratios!H69 / Processed_Ratios!$B$98) * 10</f>
        <v>3.525084136</v>
      </c>
      <c r="I69" s="15">
        <f>(Processed_Ratios!I69 / Processed_Ratios!$B$98) * 10</f>
        <v>3.816232292</v>
      </c>
      <c r="J69" s="15">
        <f>(Processed_Ratios!J69 / Processed_Ratios!$B$98) * 10</f>
        <v>4.085466072</v>
      </c>
      <c r="K69" s="15">
        <f>(Processed_Ratios!K69 / Processed_Ratios!$B$98) * 10</f>
        <v>3.878844799</v>
      </c>
      <c r="L69" s="15">
        <f>(Processed_Ratios!L69 / Processed_Ratios!$B$98) * 10</f>
        <v>3.149409094</v>
      </c>
      <c r="M69" s="15">
        <f>(Processed_Ratios!M69 / Processed_Ratios!$B$98) * 10</f>
        <v>3.108710965</v>
      </c>
    </row>
    <row r="70">
      <c r="A70" s="6" t="s">
        <v>3</v>
      </c>
      <c r="B70" s="8">
        <f>(Processed_Ratios!B70 / Processed_Ratios!$B$98) * 10</f>
        <v>6.909290131</v>
      </c>
      <c r="C70" s="8">
        <f>(Processed_Ratios!C70 / Processed_Ratios!$B$98) * 10</f>
        <v>7.335055177</v>
      </c>
      <c r="D70" s="8">
        <f>(Processed_Ratios!D70 / Processed_Ratios!$B$98) * 10</f>
        <v>3.88510605</v>
      </c>
      <c r="E70" s="15">
        <f>(Processed_Ratios!E70 / Processed_Ratios!$B$98) * 10</f>
        <v>6.439696329</v>
      </c>
      <c r="F70" s="15">
        <f>(Processed_Ratios!F70 / Processed_Ratios!$B$98) * 10</f>
        <v>3.506300384</v>
      </c>
      <c r="G70" s="15">
        <f>(Processed_Ratios!G70 / Processed_Ratios!$B$98) * 10</f>
        <v>0.9204038507</v>
      </c>
      <c r="H70" s="15">
        <f>(Processed_Ratios!H70 / Processed_Ratios!$B$98) * 10</f>
        <v>2.817562808</v>
      </c>
      <c r="I70" s="15">
        <f>(Processed_Ratios!I70 / Processed_Ratios!$B$98) * 10</f>
        <v>0.3099319089</v>
      </c>
      <c r="J70" s="15">
        <f>(Processed_Ratios!J70 / Processed_Ratios!$B$98) * 10</f>
        <v>2.748689051</v>
      </c>
      <c r="K70" s="15">
        <f>(Processed_Ratios!K70 / Processed_Ratios!$B$98) * 10</f>
        <v>6.317601941</v>
      </c>
      <c r="L70" s="15">
        <f>(Processed_Ratios!L70 / Processed_Ratios!$B$98) * 10</f>
        <v>6.524223214</v>
      </c>
      <c r="M70" s="15">
        <f>(Processed_Ratios!M70 / Processed_Ratios!$B$98) * 10</f>
        <v>6.424043203</v>
      </c>
    </row>
    <row r="71">
      <c r="A71" s="6" t="s">
        <v>4</v>
      </c>
      <c r="B71" s="8">
        <f>(Processed_Ratios!B71 / Processed_Ratios!$B$98) * 10</f>
        <v>4.101119199</v>
      </c>
      <c r="C71" s="8">
        <f>(Processed_Ratios!C71 / Processed_Ratios!$B$98) * 10</f>
        <v>4.420442983</v>
      </c>
      <c r="D71" s="8">
        <f>(Processed_Ratios!D71 / Processed_Ratios!$B$98) * 10</f>
        <v>4.655239884</v>
      </c>
      <c r="E71" s="15">
        <f>(Processed_Ratios!E71 / Processed_Ratios!$B$98) * 10</f>
        <v>3.803709791</v>
      </c>
      <c r="F71" s="15">
        <f>(Processed_Ratios!F71 / Processed_Ratios!$B$98) * 10</f>
        <v>3.803709791</v>
      </c>
      <c r="G71" s="15">
        <f>(Processed_Ratios!G71 / Processed_Ratios!$B$98) * 10</f>
        <v>3.449949127</v>
      </c>
      <c r="H71" s="15">
        <f>(Processed_Ratios!H71 / Processed_Ratios!$B$98) * 10</f>
        <v>3.947718557</v>
      </c>
      <c r="I71" s="15">
        <f>(Processed_Ratios!I71 / Processed_Ratios!$B$98) * 10</f>
        <v>3.975894185</v>
      </c>
      <c r="J71" s="15">
        <f>(Processed_Ratios!J71 / Processed_Ratios!$B$98) * 10</f>
        <v>4.404789857</v>
      </c>
      <c r="K71" s="15">
        <f>(Processed_Ratios!K71 / Processed_Ratios!$B$98) * 10</f>
        <v>9.194646631</v>
      </c>
      <c r="L71" s="15">
        <f>(Processed_Ratios!L71 / Processed_Ratios!$B$98) * 10</f>
        <v>9.939735462</v>
      </c>
      <c r="M71" s="15">
        <f>(Processed_Ratios!M71 / Processed_Ratios!$B$98) * 10</f>
        <v>10</v>
      </c>
    </row>
    <row r="72">
      <c r="A72" s="6" t="s">
        <v>5</v>
      </c>
      <c r="B72" s="8">
        <f>(Processed_Ratios!B72 / Processed_Ratios!$B$98) * 10</f>
        <v>7.529153949</v>
      </c>
      <c r="C72" s="8">
        <f>(Processed_Ratios!C72 / Processed_Ratios!$B$98) * 10</f>
        <v>8.224152775</v>
      </c>
      <c r="D72" s="8">
        <f>(Processed_Ratios!D72 / Processed_Ratios!$B$98) * 10</f>
        <v>8.700007827</v>
      </c>
      <c r="E72" s="15">
        <f>(Processed_Ratios!E72 / Processed_Ratios!$B$98) * 10</f>
        <v>6.953118885</v>
      </c>
      <c r="F72" s="15">
        <f>(Processed_Ratios!F72 / Processed_Ratios!$B$98) * 10</f>
        <v>5.187446192</v>
      </c>
      <c r="G72" s="15">
        <f>(Processed_Ratios!G72 / Processed_Ratios!$B$98) * 10</f>
        <v>6.245597558</v>
      </c>
      <c r="H72" s="15">
        <f>(Processed_Ratios!H72 / Processed_Ratios!$B$98) * 10</f>
        <v>6.76215074</v>
      </c>
      <c r="I72" s="15">
        <f>(Processed_Ratios!I72 / Processed_Ratios!$B$98) * 10</f>
        <v>6.226813806</v>
      </c>
      <c r="J72" s="15">
        <f>(Processed_Ratios!J72 / Processed_Ratios!$B$98) * 10</f>
        <v>5.766611881</v>
      </c>
      <c r="K72" s="15">
        <f>(Processed_Ratios!K72 / Processed_Ratios!$B$98) * 10</f>
        <v>5.478594349</v>
      </c>
      <c r="L72" s="15">
        <f>(Processed_Ratios!L72 / Processed_Ratios!$B$98) * 10</f>
        <v>5.221883071</v>
      </c>
      <c r="M72" s="15">
        <f>(Processed_Ratios!M72 / Processed_Ratios!$B$98) * 10</f>
        <v>5.525553729</v>
      </c>
    </row>
    <row r="73">
      <c r="A73" s="6" t="s">
        <v>6</v>
      </c>
      <c r="B73" s="8">
        <f>(Processed_Ratios!B73 / Processed_Ratios!$B$98) * 10</f>
        <v>6.962510762</v>
      </c>
      <c r="C73" s="8">
        <f>(Processed_Ratios!C73 / Processed_Ratios!$B$98) * 10</f>
        <v>6.089066291</v>
      </c>
      <c r="D73" s="8">
        <f>(Processed_Ratios!D73 / Processed_Ratios!$B$98) * 10</f>
        <v>5.187446192</v>
      </c>
      <c r="E73" s="15">
        <f>(Processed_Ratios!E73 / Processed_Ratios!$B$98) * 10</f>
        <v>4.796118025</v>
      </c>
      <c r="F73" s="15">
        <f>(Processed_Ratios!F73 / Processed_Ratios!$B$98) * 10</f>
        <v>4.589496752</v>
      </c>
      <c r="G73" s="15">
        <f>(Processed_Ratios!G73 / Processed_Ratios!$B$98) * 10</f>
        <v>4.326524223</v>
      </c>
      <c r="H73" s="15">
        <f>(Processed_Ratios!H73 / Processed_Ratios!$B$98) * 10</f>
        <v>4.755419895</v>
      </c>
      <c r="I73" s="15">
        <f>(Processed_Ratios!I73 / Processed_Ratios!$B$98) * 10</f>
        <v>4.235736088</v>
      </c>
      <c r="J73" s="15">
        <f>(Processed_Ratios!J73 / Processed_Ratios!$B$98) * 10</f>
        <v>5.406589966</v>
      </c>
      <c r="K73" s="15">
        <f>(Processed_Ratios!K73 / Processed_Ratios!$B$98) * 10</f>
        <v>5.547468107</v>
      </c>
      <c r="L73" s="15">
        <f>(Processed_Ratios!L73 / Processed_Ratios!$B$98) * 10</f>
        <v>5.281364953</v>
      </c>
      <c r="M73" s="15">
        <f>(Processed_Ratios!M73 / Processed_Ratios!$B$98) * 10</f>
        <v>4.570713</v>
      </c>
    </row>
    <row r="74">
      <c r="A74" s="6" t="s">
        <v>7</v>
      </c>
      <c r="B74" s="8">
        <f>(Processed_Ratios!B74 / Processed_Ratios!$B$98) * 10</f>
        <v>6.110980668</v>
      </c>
      <c r="C74" s="8">
        <f>(Processed_Ratios!C74 / Processed_Ratios!$B$98) * 10</f>
        <v>1.217813258</v>
      </c>
      <c r="D74" s="8">
        <f>(Processed_Ratios!D74 / Processed_Ratios!$B$98) * 10</f>
        <v>2.595288409</v>
      </c>
      <c r="E74" s="15">
        <f>(Processed_Ratios!E74 / Processed_Ratios!$B$98) * 10</f>
        <v>1.577835173</v>
      </c>
      <c r="F74" s="15">
        <f>(Processed_Ratios!F74 / Processed_Ratios!$B$98) * 10</f>
        <v>0.2088127103</v>
      </c>
      <c r="G74" s="15">
        <f>(Processed_Ratios!G74 / Processed_Ratios!$B$98) * 10</f>
        <v>0.2088127103</v>
      </c>
      <c r="H74" s="15">
        <f>(Processed_Ratios!H74 / Processed_Ratios!$B$98) * 10</f>
        <v>0.5134225562</v>
      </c>
      <c r="I74" s="15">
        <f>(Processed_Ratios!I74 / Processed_Ratios!$B$98) * 10</f>
        <v>0.4163731705</v>
      </c>
      <c r="J74" s="15">
        <f>(Processed_Ratios!J74 / Processed_Ratios!$B$98) * 10</f>
        <v>1.045628864</v>
      </c>
      <c r="K74" s="15">
        <f>(Processed_Ratios!K74 / Processed_Ratios!$B$98) * 10</f>
        <v>1.887767081</v>
      </c>
      <c r="L74" s="15">
        <f>(Processed_Ratios!L74 / Processed_Ratios!$B$98) * 10</f>
        <v>1.643578305</v>
      </c>
      <c r="M74" s="15">
        <f>(Processed_Ratios!M74 / Processed_Ratios!$B$98) * 10</f>
        <v>1.098849495</v>
      </c>
    </row>
    <row r="75">
      <c r="A75" s="6" t="s">
        <v>8</v>
      </c>
      <c r="B75" s="8">
        <f>(Processed_Ratios!B75 / Processed_Ratios!$B$98) * 10</f>
        <v>4.652109259</v>
      </c>
      <c r="C75" s="8">
        <f>(Processed_Ratios!C75 / Processed_Ratios!$B$98) * 10</f>
        <v>4.473663614</v>
      </c>
      <c r="D75" s="8">
        <f>(Processed_Ratios!D75 / Processed_Ratios!$B$98) * 10</f>
        <v>4.580104876</v>
      </c>
      <c r="E75" s="15">
        <f>(Processed_Ratios!E75 / Processed_Ratios!$B$98) * 10</f>
        <v>4.94012679</v>
      </c>
      <c r="F75" s="15">
        <f>(Processed_Ratios!F75 / Processed_Ratios!$B$98) * 10</f>
        <v>4.636456132</v>
      </c>
      <c r="G75" s="15">
        <f>(Processed_Ratios!G75 / Processed_Ratios!$B$98) * 10</f>
        <v>4.896298036</v>
      </c>
      <c r="H75" s="15">
        <f>(Processed_Ratios!H75 / Processed_Ratios!$B$98) * 10</f>
        <v>5.240666823</v>
      </c>
      <c r="I75" s="15">
        <f>(Processed_Ratios!I75 / Processed_Ratios!$B$98) * 10</f>
        <v>5.39093684</v>
      </c>
      <c r="J75" s="15">
        <f>(Processed_Ratios!J75 / Processed_Ratios!$B$98) * 10</f>
        <v>5.660170619</v>
      </c>
      <c r="K75" s="15">
        <f>(Processed_Ratios!K75 / Processed_Ratios!$B$98) * 10</f>
        <v>5.62573374</v>
      </c>
      <c r="L75" s="15">
        <f>(Processed_Ratios!L75 / Processed_Ratios!$B$98) * 10</f>
        <v>6.226813806</v>
      </c>
      <c r="M75" s="15">
        <f>(Processed_Ratios!M75 / Processed_Ratios!$B$98) * 10</f>
        <v>6.336385693</v>
      </c>
    </row>
    <row r="76">
      <c r="A76" s="6" t="s">
        <v>9</v>
      </c>
      <c r="B76" s="8">
        <f>(Processed_Ratios!B76 / Processed_Ratios!$B$98) * 10</f>
        <v>7.015731392</v>
      </c>
      <c r="C76" s="8">
        <f>(Processed_Ratios!C76 / Processed_Ratios!$B$98) * 10</f>
        <v>7.366361431</v>
      </c>
      <c r="D76" s="8">
        <f>(Processed_Ratios!D76 / Processed_Ratios!$B$98) * 10</f>
        <v>8.543476559</v>
      </c>
      <c r="E76" s="15">
        <f>(Processed_Ratios!E76 / Processed_Ratios!$B$98) * 10</f>
        <v>9.056899116</v>
      </c>
      <c r="F76" s="15">
        <f>(Processed_Ratios!F76 / Processed_Ratios!$B$98) * 10</f>
        <v>8.058229631</v>
      </c>
      <c r="G76" s="15">
        <f>(Processed_Ratios!G76 / Processed_Ratios!$B$98) * 10</f>
        <v>7.156609533</v>
      </c>
      <c r="H76" s="15">
        <f>(Processed_Ratios!H76 / Processed_Ratios!$B$98) * 10</f>
        <v>6.665101354</v>
      </c>
      <c r="I76" s="15">
        <f>(Processed_Ratios!I76 / Processed_Ratios!$B$98) * 10</f>
        <v>6.821632621</v>
      </c>
      <c r="J76" s="15">
        <f>(Processed_Ratios!J76 / Processed_Ratios!$B$98) * 10</f>
        <v>6.571182594</v>
      </c>
      <c r="K76" s="15">
        <f>(Processed_Ratios!K76 / Processed_Ratios!$B$98) * 10</f>
        <v>6.389606324</v>
      </c>
      <c r="L76" s="15">
        <f>(Processed_Ratios!L76 / Processed_Ratios!$B$98) * 10</f>
        <v>6.596227596</v>
      </c>
      <c r="M76" s="15">
        <f>(Processed_Ratios!M76 / Processed_Ratios!$B$98) * 10</f>
        <v>6.452218831</v>
      </c>
    </row>
    <row r="77">
      <c r="A77" s="6" t="s">
        <v>10</v>
      </c>
      <c r="B77" s="8">
        <f>(Processed_Ratios!B77 / Processed_Ratios!$B$98) * 10</f>
        <v>5.293887454</v>
      </c>
      <c r="C77" s="8">
        <f>(Processed_Ratios!C77 / Processed_Ratios!$B$98) * 10</f>
        <v>5.199968694</v>
      </c>
      <c r="D77" s="8">
        <f>(Processed_Ratios!D77 / Processed_Ratios!$B$98) * 10</f>
        <v>5.240666823</v>
      </c>
      <c r="E77" s="15">
        <f>(Processed_Ratios!E77 / Processed_Ratios!$B$98) * 10</f>
        <v>5.306409955</v>
      </c>
      <c r="F77" s="15">
        <f>(Processed_Ratios!F77 / Processed_Ratios!$B$98) * 10</f>
        <v>5.322063082</v>
      </c>
      <c r="G77" s="15">
        <f>(Processed_Ratios!G77 / Processed_Ratios!$B$98) * 10</f>
        <v>5.315801831</v>
      </c>
      <c r="H77" s="15">
        <f>(Processed_Ratios!H77 / Processed_Ratios!$B$98) * 10</f>
        <v>4.824293653</v>
      </c>
      <c r="I77" s="15">
        <f>(Processed_Ratios!I77 / Processed_Ratios!$B$98) * 10</f>
        <v>4.602019253</v>
      </c>
      <c r="J77" s="15">
        <f>(Processed_Ratios!J77 / Processed_Ratios!$B$98) * 10</f>
        <v>4.235736088</v>
      </c>
      <c r="K77" s="15">
        <f>(Processed_Ratios!K77 / Processed_Ratios!$B$98) * 10</f>
        <v>4.044767942</v>
      </c>
      <c r="L77" s="15">
        <f>(Processed_Ratios!L77 / Processed_Ratios!$B$98) * 10</f>
        <v>4.282695468</v>
      </c>
      <c r="M77" s="15">
        <f>(Processed_Ratios!M77 / Processed_Ratios!$B$98) * 10</f>
        <v>4.235736088</v>
      </c>
    </row>
    <row r="78">
      <c r="A78" s="6" t="s">
        <v>11</v>
      </c>
      <c r="B78" s="8">
        <f>(Processed_Ratios!B78 / Processed_Ratios!$B$98) * 10</f>
        <v>9.141426</v>
      </c>
      <c r="C78" s="8">
        <f>(Processed_Ratios!C78 / Processed_Ratios!$B$98) * 10</f>
        <v>8.831494091</v>
      </c>
      <c r="D78" s="8">
        <f>(Processed_Ratios!D78 / Processed_Ratios!$B$98) * 10</f>
        <v>8.909759725</v>
      </c>
      <c r="E78" s="15">
        <f>(Processed_Ratios!E78 / Processed_Ratios!$B$98) * 10</f>
        <v>8.458949675</v>
      </c>
      <c r="F78" s="15">
        <f>(Processed_Ratios!F78 / Processed_Ratios!$B$98) * 10</f>
        <v>7.097127651</v>
      </c>
      <c r="G78" s="15">
        <f>(Processed_Ratios!G78 / Processed_Ratios!$B$98) * 10</f>
        <v>4.141817328</v>
      </c>
      <c r="H78" s="15">
        <f>(Processed_Ratios!H78 / Processed_Ratios!$B$98) * 10</f>
        <v>2.473194021</v>
      </c>
      <c r="I78" s="15">
        <f>(Processed_Ratios!I78 / Processed_Ratios!$B$98) * 10</f>
        <v>4.580104876</v>
      </c>
      <c r="J78" s="15">
        <f>(Processed_Ratios!J78 / Processed_Ratios!$B$98) * 10</f>
        <v>5.822963137</v>
      </c>
      <c r="K78" s="15">
        <f>(Processed_Ratios!K78 / Processed_Ratios!$B$98) * 10</f>
        <v>5.766611881</v>
      </c>
      <c r="L78" s="15">
        <f>(Processed_Ratios!L78 / Processed_Ratios!$B$98) * 10</f>
        <v>7.369492056</v>
      </c>
      <c r="M78" s="15">
        <f>(Processed_Ratios!M78 / Processed_Ratios!$B$98) * 10</f>
        <v>7.388275808</v>
      </c>
    </row>
    <row r="79">
      <c r="A79" s="6" t="s">
        <v>12</v>
      </c>
      <c r="B79" s="8">
        <f>(Processed_Ratios!B79 / Processed_Ratios!$B$98) * 10</f>
        <v>5.137356187</v>
      </c>
      <c r="C79" s="8">
        <f>(Processed_Ratios!C79 / Processed_Ratios!$B$98) * 10</f>
        <v>5.347108085</v>
      </c>
      <c r="D79" s="8">
        <f>(Processed_Ratios!D79 / Processed_Ratios!$B$98) * 10</f>
        <v>5.140486812</v>
      </c>
      <c r="E79" s="15">
        <f>(Processed_Ratios!E79 / Processed_Ratios!$B$98) * 10</f>
        <v>5.697738123</v>
      </c>
      <c r="F79" s="15">
        <f>(Processed_Ratios!F79 / Processed_Ratios!$B$98) * 10</f>
        <v>6.051498787</v>
      </c>
      <c r="G79" s="15">
        <f>(Processed_Ratios!G79 / Processed_Ratios!$B$98) * 10</f>
        <v>5.735305627</v>
      </c>
      <c r="H79" s="15">
        <f>(Processed_Ratios!H79 / Processed_Ratios!$B$98) * 10</f>
        <v>5.832355013</v>
      </c>
      <c r="I79" s="15">
        <f>(Processed_Ratios!I79 / Processed_Ratios!$B$98) * 10</f>
        <v>7.144087031</v>
      </c>
      <c r="J79" s="15">
        <f>(Processed_Ratios!J79 / Processed_Ratios!$B$98) * 10</f>
        <v>6.574313219</v>
      </c>
      <c r="K79" s="15">
        <f>(Processed_Ratios!K79 / Processed_Ratios!$B$98) * 10</f>
        <v>6.76215074</v>
      </c>
      <c r="L79" s="15">
        <f>(Processed_Ratios!L79 / Processed_Ratios!$B$98) * 10</f>
        <v>7.263050794</v>
      </c>
      <c r="M79" s="15">
        <f>(Processed_Ratios!M79 / Processed_Ratios!$B$98) * 10</f>
        <v>6.652578853</v>
      </c>
    </row>
    <row r="80">
      <c r="A80" s="6" t="s">
        <v>13</v>
      </c>
      <c r="B80" s="8">
        <f>(Processed_Ratios!B80 / Processed_Ratios!$B$98) * 10</f>
        <v>10</v>
      </c>
      <c r="C80" s="8">
        <f>(Processed_Ratios!C80 / Processed_Ratios!$B$98) * 10</f>
        <v>9.150817876</v>
      </c>
      <c r="D80" s="8">
        <f>(Processed_Ratios!D80 / Processed_Ratios!$B$98) * 10</f>
        <v>8.571652188</v>
      </c>
      <c r="E80" s="15">
        <f>(Processed_Ratios!E80 / Processed_Ratios!$B$98) * 10</f>
        <v>7.989355874</v>
      </c>
      <c r="F80" s="15">
        <f>(Processed_Ratios!F80 / Processed_Ratios!$B$98) * 10</f>
        <v>8.505909055</v>
      </c>
      <c r="G80" s="15">
        <f>(Processed_Ratios!G80 / Processed_Ratios!$B$98) * 10</f>
        <v>9.87399233</v>
      </c>
      <c r="H80" s="15">
        <f>(Processed_Ratios!H80 / Processed_Ratios!$B$98) * 10</f>
        <v>8.302418408</v>
      </c>
      <c r="I80" s="15">
        <f>(Processed_Ratios!I80 / Processed_Ratios!$B$98) * 10</f>
        <v>8.27424278</v>
      </c>
      <c r="J80" s="15">
        <f>(Processed_Ratios!J80 / Processed_Ratios!$B$98) * 10</f>
        <v>7.660640213</v>
      </c>
      <c r="K80" s="15">
        <f>(Processed_Ratios!K80 / Processed_Ratios!$B$98) * 10</f>
        <v>7.582374579</v>
      </c>
      <c r="L80" s="15">
        <f>(Processed_Ratios!L80 / Processed_Ratios!$B$98) * 10</f>
        <v>7.870392111</v>
      </c>
      <c r="M80" s="15">
        <f>(Processed_Ratios!M80 / Processed_Ratios!$B$98) * 10</f>
        <v>7.967441496</v>
      </c>
    </row>
    <row r="81">
      <c r="A81" s="6" t="s">
        <v>14</v>
      </c>
      <c r="B81" s="8">
        <f>(Processed_Ratios!B81 / Processed_Ratios!$B$98) * 10</f>
        <v>10</v>
      </c>
      <c r="C81" s="8">
        <f>(Processed_Ratios!C81 / Processed_Ratios!$B$98) * 10</f>
        <v>10</v>
      </c>
      <c r="D81" s="8">
        <f>(Processed_Ratios!D81 / Processed_Ratios!$B$98) * 10</f>
        <v>10</v>
      </c>
      <c r="E81" s="15">
        <f>(Processed_Ratios!E81 / Processed_Ratios!$B$98) * 10</f>
        <v>10</v>
      </c>
      <c r="F81" s="15">
        <f>(Processed_Ratios!F81 / Processed_Ratios!$B$98) * 10</f>
        <v>9.445096658</v>
      </c>
      <c r="G81" s="15">
        <f>(Processed_Ratios!G81 / Processed_Ratios!$B$98) * 10</f>
        <v>8.048837755</v>
      </c>
      <c r="H81" s="15">
        <f>(Processed_Ratios!H81 / Processed_Ratios!$B$98) * 10</f>
        <v>7.444627064</v>
      </c>
      <c r="I81" s="15">
        <f>(Processed_Ratios!I81 / Processed_Ratios!$B$98) * 10</f>
        <v>7.657509588</v>
      </c>
      <c r="J81" s="15">
        <f>(Processed_Ratios!J81 / Processed_Ratios!$B$98) * 10</f>
        <v>6.940596384</v>
      </c>
      <c r="K81" s="15">
        <f>(Processed_Ratios!K81 / Processed_Ratios!$B$98) * 10</f>
        <v>5.262581201</v>
      </c>
      <c r="L81" s="15">
        <f>(Processed_Ratios!L81 / Processed_Ratios!$B$98) * 10</f>
        <v>7.203568913</v>
      </c>
      <c r="M81" s="15">
        <f>(Processed_Ratios!M81 / Processed_Ratios!$B$98) * 10</f>
        <v>6.558660092</v>
      </c>
    </row>
    <row r="82">
      <c r="A82" s="6" t="s">
        <v>15</v>
      </c>
      <c r="B82" s="8">
        <f>(Processed_Ratios!B82 / Processed_Ratios!$B$98) * 10</f>
        <v>2.163262112</v>
      </c>
      <c r="C82" s="8">
        <f>(Processed_Ratios!C82 / Processed_Ratios!$B$98) * 10</f>
        <v>2.203960241</v>
      </c>
      <c r="D82" s="8">
        <f>(Processed_Ratios!D82 / Processed_Ratios!$B$98) * 10</f>
        <v>2.153870236</v>
      </c>
      <c r="E82" s="15">
        <f>(Processed_Ratios!E82 / Processed_Ratios!$B$98) * 10</f>
        <v>2.05682085</v>
      </c>
      <c r="F82" s="15">
        <f>(Processed_Ratios!F82 / Processed_Ratios!$B$98) * 10</f>
        <v>2.97096345</v>
      </c>
      <c r="G82" s="15">
        <f>(Processed_Ratios!G82 / Processed_Ratios!$B$98) * 10</f>
        <v>2.329185255</v>
      </c>
      <c r="H82" s="15">
        <f>(Processed_Ratios!H82 / Processed_Ratios!$B$98) * 10</f>
        <v>2.369883384</v>
      </c>
      <c r="I82" s="15">
        <f>(Processed_Ratios!I82 / Processed_Ratios!$B$98) * 10</f>
        <v>2.207090866</v>
      </c>
      <c r="J82" s="15">
        <f>(Processed_Ratios!J82 / Processed_Ratios!$B$98) * 10</f>
        <v>1.96916334</v>
      </c>
      <c r="K82" s="15">
        <f>(Processed_Ratios!K82 / Processed_Ratios!$B$98) * 10</f>
        <v>1.712452062</v>
      </c>
      <c r="L82" s="15">
        <f>(Processed_Ratios!L82 / Processed_Ratios!$B$98) * 10</f>
        <v>1.678015184</v>
      </c>
      <c r="M82" s="15">
        <f>(Processed_Ratios!M82 / Processed_Ratios!$B$98) * 10</f>
        <v>1.784456445</v>
      </c>
    </row>
    <row r="83">
      <c r="A83" s="6" t="s">
        <v>16</v>
      </c>
      <c r="B83" s="8">
        <f>(Processed_Ratios!B83 / Processed_Ratios!$B$98) * 10</f>
        <v>2.470063395</v>
      </c>
      <c r="C83" s="8">
        <f>(Processed_Ratios!C83 / Processed_Ratios!$B$98) * 10</f>
        <v>2.523284026</v>
      </c>
      <c r="D83" s="8">
        <f>(Processed_Ratios!D83 / Processed_Ratios!$B$98) * 10</f>
        <v>2.545198403</v>
      </c>
      <c r="E83" s="15">
        <f>(Processed_Ratios!E83 / Processed_Ratios!$B$98) * 10</f>
        <v>1.872113955</v>
      </c>
      <c r="F83" s="15">
        <f>(Processed_Ratios!F83 / Processed_Ratios!$B$98) * 10</f>
        <v>0.2088127103</v>
      </c>
      <c r="G83" s="15">
        <f>(Processed_Ratios!G83 / Processed_Ratios!$B$98) * 10</f>
        <v>0.2088127103</v>
      </c>
      <c r="H83" s="15">
        <f>(Processed_Ratios!H83 / Processed_Ratios!$B$98) * 10</f>
        <v>1.389997652</v>
      </c>
      <c r="I83" s="15">
        <f>(Processed_Ratios!I83 / Processed_Ratios!$B$98) * 10</f>
        <v>2.326054629</v>
      </c>
      <c r="J83" s="15">
        <f>(Processed_Ratios!J83 / Processed_Ratios!$B$98) * 10</f>
        <v>1.177115129</v>
      </c>
      <c r="K83" s="15">
        <f>(Processed_Ratios!K83 / Processed_Ratios!$B$98) * 10</f>
        <v>1.117633247</v>
      </c>
      <c r="L83" s="15">
        <f>(Processed_Ratios!L83 / Processed_Ratios!$B$98) * 10</f>
        <v>1.127025123</v>
      </c>
      <c r="M83" s="15">
        <f>(Processed_Ratios!M83 / Processed_Ratios!$B$98) * 10</f>
        <v>1.8282852</v>
      </c>
    </row>
    <row r="84">
      <c r="A84" s="6" t="s">
        <v>17</v>
      </c>
      <c r="B84" s="8">
        <f>(Processed_Ratios!B84 / Processed_Ratios!$B$98) * 10</f>
        <v>2.917742819</v>
      </c>
      <c r="C84" s="8">
        <f>(Processed_Ratios!C84 / Processed_Ratios!$B$98) * 10</f>
        <v>2.917742819</v>
      </c>
      <c r="D84" s="8">
        <f>(Processed_Ratios!D84 / Processed_Ratios!$B$98) * 10</f>
        <v>2.138217109</v>
      </c>
      <c r="E84" s="15">
        <f>(Processed_Ratios!E84 / Processed_Ratios!$B$98) * 10</f>
        <v>1.314862644</v>
      </c>
      <c r="F84" s="15">
        <f>(Processed_Ratios!F84 / Processed_Ratios!$B$98) * 10</f>
        <v>1.87524458</v>
      </c>
      <c r="G84" s="15">
        <f>(Processed_Ratios!G84 / Processed_Ratios!$B$98) * 10</f>
        <v>2.297879001</v>
      </c>
      <c r="H84" s="15">
        <f>(Processed_Ratios!H84 / Processed_Ratios!$B$98) * 10</f>
        <v>2.723644048</v>
      </c>
      <c r="I84" s="15">
        <f>(Processed_Ratios!I84 / Processed_Ratios!$B$98) * 10</f>
        <v>3.024184081</v>
      </c>
      <c r="J84" s="15">
        <f>(Processed_Ratios!J84 / Processed_Ratios!$B$98) * 10</f>
        <v>3.371683494</v>
      </c>
      <c r="K84" s="15">
        <f>(Processed_Ratios!K84 / Processed_Ratios!$B$98) * 10</f>
        <v>2.920873444</v>
      </c>
      <c r="L84" s="15">
        <f>(Processed_Ratios!L84 / Processed_Ratios!$B$98) * 10</f>
        <v>2.335446505</v>
      </c>
      <c r="M84" s="15">
        <f>(Processed_Ratios!M84 / Processed_Ratios!$B$98) * 10</f>
        <v>1.994208343</v>
      </c>
    </row>
    <row r="85">
      <c r="A85" s="6" t="s">
        <v>18</v>
      </c>
      <c r="B85" s="8">
        <f>(Processed_Ratios!B85 / Processed_Ratios!$B$98) * 10</f>
        <v>3.61587227</v>
      </c>
      <c r="C85" s="8">
        <f>(Processed_Ratios!C85 / Processed_Ratios!$B$98) * 10</f>
        <v>3.453079753</v>
      </c>
      <c r="D85" s="8">
        <f>(Processed_Ratios!D85 / Processed_Ratios!$B$98) * 10</f>
        <v>2.902089692</v>
      </c>
      <c r="E85" s="15">
        <f>(Processed_Ratios!E85 / Processed_Ratios!$B$98) * 10</f>
        <v>3.759881036</v>
      </c>
      <c r="F85" s="15">
        <f>(Processed_Ratios!F85 / Processed_Ratios!$B$98) * 10</f>
        <v>4.007200438</v>
      </c>
      <c r="G85" s="15">
        <f>(Processed_Ratios!G85 / Processed_Ratios!$B$98) * 10</f>
        <v>3.28715661</v>
      </c>
      <c r="H85" s="15">
        <f>(Processed_Ratios!H85 / Processed_Ratios!$B$98) * 10</f>
        <v>4.169992956</v>
      </c>
      <c r="I85" s="15">
        <f>(Processed_Ratios!I85 / Processed_Ratios!$B$98) * 10</f>
        <v>3.572043516</v>
      </c>
      <c r="J85" s="15">
        <f>(Processed_Ratios!J85 / Processed_Ratios!$B$98) * 10</f>
        <v>3.847538546</v>
      </c>
      <c r="K85" s="15">
        <f>(Processed_Ratios!K85 / Processed_Ratios!$B$98) * 10</f>
        <v>4.536276121</v>
      </c>
      <c r="L85" s="15">
        <f>(Processed_Ratios!L85 / Processed_Ratios!$B$98) * 10</f>
        <v>3.878844799</v>
      </c>
      <c r="M85" s="15">
        <f>(Processed_Ratios!M85 / Processed_Ratios!$B$98) * 10</f>
        <v>4.520622994</v>
      </c>
    </row>
    <row r="86">
      <c r="A86" s="6" t="s">
        <v>19</v>
      </c>
      <c r="B86" s="8">
        <f>(Processed_Ratios!B86 / Processed_Ratios!$B$98) * 10</f>
        <v>10</v>
      </c>
      <c r="C86" s="8">
        <f>(Processed_Ratios!C86 / Processed_Ratios!$B$98) * 10</f>
        <v>10</v>
      </c>
      <c r="D86" s="8">
        <f>(Processed_Ratios!D86 / Processed_Ratios!$B$98) * 10</f>
        <v>10</v>
      </c>
      <c r="E86" s="15">
        <f>(Processed_Ratios!E86 / Processed_Ratios!$B$98) * 10</f>
        <v>10</v>
      </c>
      <c r="F86" s="15">
        <f>(Processed_Ratios!F86 / Processed_Ratios!$B$98) * 10</f>
        <v>9.335524771</v>
      </c>
      <c r="G86" s="15">
        <f>(Processed_Ratios!G86 / Processed_Ratios!$B$98) * 10</f>
        <v>9.044376614</v>
      </c>
      <c r="H86" s="15">
        <f>(Processed_Ratios!H86 / Processed_Ratios!$B$98) * 10</f>
        <v>8.844016592</v>
      </c>
      <c r="I86" s="15">
        <f>(Processed_Ratios!I86 / Processed_Ratios!$B$98) * 10</f>
        <v>8.418251546</v>
      </c>
      <c r="J86" s="15">
        <f>(Processed_Ratios!J86 / Processed_Ratios!$B$98) * 10</f>
        <v>8.903498474</v>
      </c>
      <c r="K86" s="15">
        <f>(Processed_Ratios!K86 / Processed_Ratios!$B$98) * 10</f>
        <v>8.856539094</v>
      </c>
      <c r="L86" s="15">
        <f>(Processed_Ratios!L86 / Processed_Ratios!$B$98) * 10</f>
        <v>8.944196603</v>
      </c>
      <c r="M86" s="15">
        <f>(Processed_Ratios!M86 / Processed_Ratios!$B$98) * 10</f>
        <v>9.081944118</v>
      </c>
    </row>
    <row r="87">
      <c r="A87" s="6" t="s">
        <v>20</v>
      </c>
      <c r="B87" s="8">
        <f>(Processed_Ratios!B87 / Processed_Ratios!$B$98) * 10</f>
        <v>2.620333412</v>
      </c>
      <c r="C87" s="8">
        <f>(Processed_Ratios!C87 / Processed_Ratios!$B$98) * 10</f>
        <v>2.729905299</v>
      </c>
      <c r="D87" s="8">
        <f>(Processed_Ratios!D87 / Processed_Ratios!$B$98) * 10</f>
        <v>2.639117164</v>
      </c>
      <c r="E87" s="15">
        <f>(Processed_Ratios!E87 / Processed_Ratios!$B$98) * 10</f>
        <v>3.021053455</v>
      </c>
      <c r="F87" s="15">
        <f>(Processed_Ratios!F87 / Processed_Ratios!$B$98) * 10</f>
        <v>3.565782265</v>
      </c>
      <c r="G87" s="15">
        <f>(Processed_Ratios!G87 / Processed_Ratios!$B$98) * 10</f>
        <v>2.081865853</v>
      </c>
      <c r="H87" s="15">
        <f>(Processed_Ratios!H87 / Processed_Ratios!$B$98) * 10</f>
        <v>2.185176489</v>
      </c>
      <c r="I87" s="15">
        <f>(Processed_Ratios!I87 / Processed_Ratios!$B$98) * 10</f>
        <v>2.87704469</v>
      </c>
      <c r="J87" s="15">
        <f>(Processed_Ratios!J87 / Processed_Ratios!$B$98) * 10</f>
        <v>3.068012836</v>
      </c>
      <c r="K87" s="15">
        <f>(Processed_Ratios!K87 / Processed_Ratios!$B$98) * 10</f>
        <v>3.384205995</v>
      </c>
      <c r="L87" s="15">
        <f>(Processed_Ratios!L87 / Processed_Ratios!$B$98) * 10</f>
        <v>1.96916334</v>
      </c>
      <c r="M87" s="15">
        <f>(Processed_Ratios!M87 / Processed_Ratios!$B$98) * 10</f>
        <v>1.621663927</v>
      </c>
    </row>
    <row r="88">
      <c r="A88" s="6" t="s">
        <v>21</v>
      </c>
      <c r="B88" s="8">
        <f>(Processed_Ratios!B88 / Processed_Ratios!$B$98) * 10</f>
        <v>5.037176176</v>
      </c>
      <c r="C88" s="8">
        <f>(Processed_Ratios!C88 / Processed_Ratios!$B$98) * 10</f>
        <v>4.855599906</v>
      </c>
      <c r="D88" s="8">
        <f>(Processed_Ratios!D88 / Processed_Ratios!$B$98) * 10</f>
        <v>5.046568052</v>
      </c>
      <c r="E88" s="15">
        <f>(Processed_Ratios!E88 / Processed_Ratios!$B$98) * 10</f>
        <v>3.922673554</v>
      </c>
      <c r="F88" s="15">
        <f>(Processed_Ratios!F88 / Processed_Ratios!$B$98) * 10</f>
        <v>2.733035924</v>
      </c>
      <c r="G88" s="15">
        <f>(Processed_Ratios!G88 / Processed_Ratios!$B$98) * 10</f>
        <v>2.106910855</v>
      </c>
      <c r="H88" s="15">
        <f>(Processed_Ratios!H88 / Processed_Ratios!$B$98) * 10</f>
        <v>0.3788056664</v>
      </c>
      <c r="I88" s="15">
        <f>(Processed_Ratios!I88 / Processed_Ratios!$B$98) * 10</f>
        <v>0.2088127103</v>
      </c>
      <c r="J88" s="15">
        <f>(Processed_Ratios!J88 / Processed_Ratios!$B$98) * 10</f>
        <v>0.2088127103</v>
      </c>
      <c r="K88" s="15">
        <f>(Processed_Ratios!K88 / Processed_Ratios!$B$98) * 10</f>
        <v>1.806370823</v>
      </c>
      <c r="L88" s="15">
        <f>(Processed_Ratios!L88 / Processed_Ratios!$B$98) * 10</f>
        <v>2.635986538</v>
      </c>
      <c r="M88" s="15">
        <f>(Processed_Ratios!M88 / Processed_Ratios!$B$98) * 10</f>
        <v>2.398059012</v>
      </c>
    </row>
    <row r="89">
      <c r="A89" s="6" t="s">
        <v>22</v>
      </c>
      <c r="B89" s="8">
        <f>(Processed_Ratios!B89 / Processed_Ratios!$B$98) * 10</f>
        <v>6.536745715</v>
      </c>
      <c r="C89" s="8">
        <f>(Processed_Ratios!C89 / Processed_Ratios!$B$98) * 10</f>
        <v>6.226813806</v>
      </c>
      <c r="D89" s="8">
        <f>(Processed_Ratios!D89 / Processed_Ratios!$B$98) * 10</f>
        <v>6.104719418</v>
      </c>
      <c r="E89" s="15">
        <f>(Processed_Ratios!E89 / Processed_Ratios!$B$98) * 10</f>
        <v>2.758080927</v>
      </c>
      <c r="F89" s="15">
        <f>(Processed_Ratios!F89 / Processed_Ratios!$B$98) * 10</f>
        <v>2.135086484</v>
      </c>
      <c r="G89" s="15">
        <f>(Processed_Ratios!G89 / Processed_Ratios!$B$98) * 10</f>
        <v>3.991547312</v>
      </c>
      <c r="H89" s="15">
        <f>(Processed_Ratios!H89 / Processed_Ratios!$B$98) * 10</f>
        <v>3.456210378</v>
      </c>
      <c r="I89" s="15">
        <f>(Processed_Ratios!I89 / Processed_Ratios!$B$98) * 10</f>
        <v>3.121233466</v>
      </c>
      <c r="J89" s="15">
        <f>(Processed_Ratios!J89 / Processed_Ratios!$B$98) * 10</f>
        <v>7.832824607</v>
      </c>
      <c r="K89" s="15">
        <f>(Processed_Ratios!K89 / Processed_Ratios!$B$98) * 10</f>
        <v>6.214291305</v>
      </c>
      <c r="L89" s="15">
        <f>(Processed_Ratios!L89 / Processed_Ratios!$B$98) * 10</f>
        <v>6.261250685</v>
      </c>
      <c r="M89" s="15">
        <f>(Processed_Ratios!M89 / Processed_Ratios!$B$98) * 10</f>
        <v>7.551068326</v>
      </c>
    </row>
    <row r="90">
      <c r="A90" s="6" t="s">
        <v>23</v>
      </c>
      <c r="B90" s="8">
        <f>(Processed_Ratios!B90 / Processed_Ratios!$B$98) * 10</f>
        <v>1.981685842</v>
      </c>
      <c r="C90" s="8">
        <f>(Processed_Ratios!C90 / Processed_Ratios!$B$98) * 10</f>
        <v>2.222743993</v>
      </c>
      <c r="D90" s="8">
        <f>(Processed_Ratios!D90 / Processed_Ratios!$B$98) * 10</f>
        <v>0.2128825233</v>
      </c>
      <c r="E90" s="15">
        <f>(Processed_Ratios!E90 / Processed_Ratios!$B$98) * 10</f>
        <v>0.2088127103</v>
      </c>
      <c r="F90" s="15">
        <f>(Processed_Ratios!F90 / Processed_Ratios!$B$98) * 10</f>
        <v>0.2088127103</v>
      </c>
      <c r="G90" s="15">
        <f>(Processed_Ratios!G90 / Processed_Ratios!$B$98) * 10</f>
        <v>0.2088127103</v>
      </c>
      <c r="H90" s="15">
        <f>(Processed_Ratios!H90 / Processed_Ratios!$B$98) * 10</f>
        <v>0.2088127103</v>
      </c>
      <c r="I90" s="15">
        <f>(Processed_Ratios!I90 / Processed_Ratios!$B$98) * 10</f>
        <v>0.7231744541</v>
      </c>
      <c r="J90" s="15">
        <f>(Processed_Ratios!J90 / Processed_Ratios!$B$98) * 10</f>
        <v>0.7012600767</v>
      </c>
      <c r="K90" s="15">
        <f>(Processed_Ratios!K90 / Processed_Ratios!$B$98) * 10</f>
        <v>1.271033889</v>
      </c>
      <c r="L90" s="15">
        <f>(Processed_Ratios!L90 / Processed_Ratios!$B$98) * 10</f>
        <v>1.674884558</v>
      </c>
      <c r="M90" s="15">
        <f>(Processed_Ratios!M90 / Processed_Ratios!$B$98) * 10</f>
        <v>1.894028332</v>
      </c>
    </row>
    <row r="91">
      <c r="A91" s="6" t="s">
        <v>24</v>
      </c>
      <c r="B91" s="8">
        <f>(Processed_Ratios!B91 / Processed_Ratios!$B$98) * 10</f>
        <v>0.4257650466</v>
      </c>
      <c r="C91" s="8">
        <f>(Processed_Ratios!C91 / Processed_Ratios!$B$98) * 10</f>
        <v>0.2088127103</v>
      </c>
      <c r="D91" s="8">
        <f>(Processed_Ratios!D91 / Processed_Ratios!$B$98) * 10</f>
        <v>0.9830163575</v>
      </c>
      <c r="E91" s="15">
        <f>(Processed_Ratios!E91 / Processed_Ratios!$B$98) * 10</f>
        <v>5.271973077</v>
      </c>
      <c r="F91" s="15">
        <f>(Processed_Ratios!F91 / Processed_Ratios!$B$98) * 10</f>
        <v>1.571573922</v>
      </c>
      <c r="G91" s="15">
        <f>(Processed_Ratios!G91 / Processed_Ratios!$B$98) * 10</f>
        <v>0.2088127103</v>
      </c>
      <c r="H91" s="15">
        <f>(Processed_Ratios!H91 / Processed_Ratios!$B$98) * 10</f>
        <v>1.759411442</v>
      </c>
      <c r="I91" s="15">
        <f>(Processed_Ratios!I91 / Processed_Ratios!$B$98) * 10</f>
        <v>4.163731705</v>
      </c>
      <c r="J91" s="15">
        <f>(Processed_Ratios!J91 / Processed_Ratios!$B$98) * 10</f>
        <v>0.2088127103</v>
      </c>
      <c r="K91" s="15">
        <f>(Processed_Ratios!K91 / Processed_Ratios!$B$98) * 10</f>
        <v>0.2088127103</v>
      </c>
      <c r="L91" s="15">
        <f>(Processed_Ratios!L91 / Processed_Ratios!$B$98) * 10</f>
        <v>0.2088127103</v>
      </c>
      <c r="M91" s="15">
        <f>(Processed_Ratios!M91 / Processed_Ratios!$B$98) * 10</f>
        <v>0.7701338342</v>
      </c>
    </row>
    <row r="92">
      <c r="A92" s="6" t="s">
        <v>25</v>
      </c>
      <c r="B92" s="8">
        <f>(Processed_Ratios!B92 / Processed_Ratios!$B$98) * 10</f>
        <v>5.982625029</v>
      </c>
      <c r="C92" s="8">
        <f>(Processed_Ratios!C92 / Processed_Ratios!$B$98) * 10</f>
        <v>5.98888628</v>
      </c>
      <c r="D92" s="8">
        <f>(Processed_Ratios!D92 / Processed_Ratios!$B$98) * 10</f>
        <v>5.873053142</v>
      </c>
      <c r="E92" s="15">
        <f>(Processed_Ratios!E92 / Processed_Ratios!$B$98) * 10</f>
        <v>6.276903812</v>
      </c>
      <c r="F92" s="15">
        <f>(Processed_Ratios!F92 / Processed_Ratios!$B$98) * 10</f>
        <v>6.208030054</v>
      </c>
      <c r="G92" s="15">
        <f>(Processed_Ratios!G92 / Processed_Ratios!$B$98) * 10</f>
        <v>6.471002583</v>
      </c>
      <c r="H92" s="15">
        <f>(Processed_Ratios!H92 / Processed_Ratios!$B$98) * 10</f>
        <v>6.743366988</v>
      </c>
      <c r="I92" s="15">
        <f>(Processed_Ratios!I92 / Processed_Ratios!$B$98) * 10</f>
        <v>6.58057447</v>
      </c>
      <c r="J92" s="15">
        <f>(Processed_Ratios!J92 / Processed_Ratios!$B$98) * 10</f>
        <v>6.993817015</v>
      </c>
      <c r="K92" s="15">
        <f>(Processed_Ratios!K92 / Processed_Ratios!$B$98) * 10</f>
        <v>7.012600767</v>
      </c>
      <c r="L92" s="15">
        <f>(Processed_Ratios!L92 / Processed_Ratios!$B$98) * 10</f>
        <v>6.633795101</v>
      </c>
      <c r="M92" s="15">
        <f>(Processed_Ratios!M92 / Processed_Ratios!$B$98) * 10</f>
        <v>7.397667684</v>
      </c>
    </row>
    <row r="93">
      <c r="A93" s="6" t="s">
        <v>26</v>
      </c>
      <c r="B93" s="8">
        <f>(Processed_Ratios!B93 / Processed_Ratios!$B$98) * 10</f>
        <v>2.507630899</v>
      </c>
      <c r="C93" s="8">
        <f>(Processed_Ratios!C93 / Processed_Ratios!$B$98) * 10</f>
        <v>1.433826407</v>
      </c>
      <c r="D93" s="8">
        <f>(Processed_Ratios!D93 / Processed_Ratios!$B$98) * 10</f>
        <v>2.867652814</v>
      </c>
      <c r="E93" s="15">
        <f>(Processed_Ratios!E93 / Processed_Ratios!$B$98) * 10</f>
        <v>3.944587931</v>
      </c>
      <c r="F93" s="15">
        <f>(Processed_Ratios!F93 / Processed_Ratios!$B$98) * 10</f>
        <v>3.597088518</v>
      </c>
      <c r="G93" s="15">
        <f>(Processed_Ratios!G93 / Processed_Ratios!$B$98) * 10</f>
        <v>3.312201612</v>
      </c>
      <c r="H93" s="15">
        <f>(Processed_Ratios!H93 / Processed_Ratios!$B$98) * 10</f>
        <v>3.922673554</v>
      </c>
      <c r="I93" s="15">
        <f>(Processed_Ratios!I93 / Processed_Ratios!$B$98) * 10</f>
        <v>3.850669171</v>
      </c>
      <c r="J93" s="15">
        <f>(Processed_Ratios!J93 / Processed_Ratios!$B$98) * 10</f>
        <v>3.06488221</v>
      </c>
      <c r="K93" s="15">
        <f>(Processed_Ratios!K93 / Processed_Ratios!$B$98) * 10</f>
        <v>3.572043516</v>
      </c>
      <c r="L93" s="15">
        <f>(Processed_Ratios!L93 / Processed_Ratios!$B$98) * 10</f>
        <v>3.678484777</v>
      </c>
      <c r="M93" s="15">
        <f>(Processed_Ratios!M93 / Processed_Ratios!$B$98) * 10</f>
        <v>5.090396807</v>
      </c>
    </row>
    <row r="94">
      <c r="A94" s="6" t="s">
        <v>27</v>
      </c>
      <c r="B94" s="8">
        <f>(Processed_Ratios!B94 / Processed_Ratios!$B$98) * 10</f>
        <v>1.724974564</v>
      </c>
      <c r="C94" s="8">
        <f>(Processed_Ratios!C94 / Processed_Ratios!$B$98) * 10</f>
        <v>2.141347734</v>
      </c>
      <c r="D94" s="8">
        <f>(Processed_Ratios!D94 / Processed_Ratios!$B$98) * 10</f>
        <v>2.523284026</v>
      </c>
      <c r="E94" s="15">
        <f>(Processed_Ratios!E94 / Processed_Ratios!$B$98) * 10</f>
        <v>2.388667136</v>
      </c>
      <c r="F94" s="15">
        <f>(Processed_Ratios!F94 / Processed_Ratios!$B$98) * 10</f>
        <v>1.415042655</v>
      </c>
      <c r="G94" s="15">
        <f>(Processed_Ratios!G94 / Processed_Ratios!$B$98) * 10</f>
        <v>2.222743993</v>
      </c>
      <c r="H94" s="15">
        <f>(Processed_Ratios!H94 / Processed_Ratios!$B$98) * 10</f>
        <v>2.200829616</v>
      </c>
      <c r="I94" s="15">
        <f>(Processed_Ratios!I94 / Processed_Ratios!$B$98) * 10</f>
        <v>2.14447836</v>
      </c>
      <c r="J94" s="15">
        <f>(Processed_Ratios!J94 / Processed_Ratios!$B$98) * 10</f>
        <v>1.649839555</v>
      </c>
      <c r="K94" s="15">
        <f>(Processed_Ratios!K94 / Processed_Ratios!$B$98) * 10</f>
        <v>1.87524458</v>
      </c>
      <c r="L94" s="15">
        <f>(Processed_Ratios!L94 / Processed_Ratios!$B$98) * 10</f>
        <v>2.14447836</v>
      </c>
      <c r="M94" s="15">
        <f>(Processed_Ratios!M94 / Processed_Ratios!$B$98) * 10</f>
        <v>2.10378023</v>
      </c>
    </row>
    <row r="95">
      <c r="A95" s="6" t="s">
        <v>28</v>
      </c>
      <c r="B95" s="8">
        <f>(Processed_Ratios!B95 / Processed_Ratios!$B$98) * 10</f>
        <v>2.645378414</v>
      </c>
      <c r="C95" s="8">
        <f>(Processed_Ratios!C95 / Processed_Ratios!$B$98) * 10</f>
        <v>3.424904125</v>
      </c>
      <c r="D95" s="8">
        <f>(Processed_Ratios!D95 / Processed_Ratios!$B$98) * 10</f>
        <v>1.177115129</v>
      </c>
      <c r="E95" s="15">
        <f>(Processed_Ratios!E95 / Processed_Ratios!$B$98) * 10</f>
        <v>0.2088127103</v>
      </c>
      <c r="F95" s="15">
        <f>(Processed_Ratios!F95 / Processed_Ratios!$B$98) * 10</f>
        <v>0.2088127103</v>
      </c>
      <c r="G95" s="15">
        <f>(Processed_Ratios!G95 / Processed_Ratios!$B$98) * 10</f>
        <v>1.224074509</v>
      </c>
      <c r="H95" s="15">
        <f>(Processed_Ratios!H95 / Processed_Ratios!$B$98) * 10</f>
        <v>1.264772638</v>
      </c>
      <c r="I95" s="15">
        <f>(Processed_Ratios!I95 / Processed_Ratios!$B$98) * 10</f>
        <v>1.590357674</v>
      </c>
      <c r="J95" s="15">
        <f>(Processed_Ratios!J95 / Processed_Ratios!$B$98) * 10</f>
        <v>1.621663927</v>
      </c>
      <c r="K95" s="15">
        <f>(Processed_Ratios!K95 / Processed_Ratios!$B$98) * 10</f>
        <v>0.923534476</v>
      </c>
      <c r="L95" s="15">
        <f>(Processed_Ratios!L95 / Processed_Ratios!$B$98) * 10</f>
        <v>1.771933944</v>
      </c>
      <c r="M95" s="15">
        <f>(Processed_Ratios!M95 / Processed_Ratios!$B$98) * 10</f>
        <v>0.2088127103</v>
      </c>
    </row>
    <row r="96">
      <c r="A96" s="6" t="s">
        <v>29</v>
      </c>
      <c r="B96" s="8">
        <f>(Processed_Ratios!B96 / Processed_Ratios!$B$98) * 10</f>
        <v>2.491977773</v>
      </c>
      <c r="C96" s="8">
        <f>(Processed_Ratios!C96 / Processed_Ratios!$B$98) * 10</f>
        <v>3.080535337</v>
      </c>
      <c r="D96" s="8">
        <f>(Processed_Ratios!D96 / Processed_Ratios!$B$98) * 10</f>
        <v>2.507630899</v>
      </c>
      <c r="E96" s="15">
        <f>(Processed_Ratios!E96 / Processed_Ratios!$B$98) * 10</f>
        <v>4.364091727</v>
      </c>
      <c r="F96" s="15">
        <f>(Processed_Ratios!F96 / Processed_Ratios!$B$98) * 10</f>
        <v>3.819362918</v>
      </c>
      <c r="G96" s="15">
        <f>(Processed_Ratios!G96 / Processed_Ratios!$B$98) * 10</f>
        <v>4.241997339</v>
      </c>
      <c r="H96" s="15">
        <f>(Processed_Ratios!H96 / Processed_Ratios!$B$98) * 10</f>
        <v>1.803240197</v>
      </c>
      <c r="I96" s="15">
        <f>(Processed_Ratios!I96 / Processed_Ratios!$B$98) * 10</f>
        <v>2.247788996</v>
      </c>
      <c r="J96" s="15">
        <f>(Processed_Ratios!J96 / Processed_Ratios!$B$98) * 10</f>
        <v>3.346638491</v>
      </c>
      <c r="K96" s="15">
        <f>(Processed_Ratios!K96 / Processed_Ratios!$B$98) * 10</f>
        <v>3.083665962</v>
      </c>
      <c r="L96" s="15">
        <f>(Processed_Ratios!L96 / Processed_Ratios!$B$98) * 10</f>
        <v>2.701729671</v>
      </c>
      <c r="M96" s="15">
        <f>(Processed_Ratios!M96 / Processed_Ratios!$B$98) * 10</f>
        <v>3.196368475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/>
      <c r="B98" s="2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f>(Processed_Ratios!B101 / Processed_Ratios!$B$131) * 10</f>
        <v>1.952764609</v>
      </c>
      <c r="C101" s="8">
        <f>(Processed_Ratios!C101 / Processed_Ratios!$B$131) * 10</f>
        <v>2.229999405</v>
      </c>
      <c r="D101" s="8">
        <f>(Processed_Ratios!D101 / Processed_Ratios!$B$131) * 10</f>
        <v>2.626257388</v>
      </c>
      <c r="E101" s="15">
        <f>(Processed_Ratios!E101 / Processed_Ratios!$B$131) * 10</f>
        <v>2.792766653</v>
      </c>
      <c r="F101" s="15">
        <f>(Processed_Ratios!F101 / Processed_Ratios!$B$131) * 10</f>
        <v>2.693797795</v>
      </c>
      <c r="G101" s="15">
        <f>(Processed_Ratios!G101 / Processed_Ratios!$B$131) * 10</f>
        <v>2.626257388</v>
      </c>
      <c r="H101" s="15">
        <f>(Processed_Ratios!H101 / Processed_Ratios!$B$131) * 10</f>
        <v>2.592000876</v>
      </c>
      <c r="I101" s="15">
        <f>(Processed_Ratios!I101 / Processed_Ratios!$B$131) * 10</f>
        <v>2.487209505</v>
      </c>
      <c r="J101" s="15">
        <f>(Processed_Ratios!J101 / Processed_Ratios!$B$131) * 10</f>
        <v>2.808997432</v>
      </c>
      <c r="K101" s="15">
        <f>(Processed_Ratios!K101 / Processed_Ratios!$B$131) * 10</f>
        <v>3.118988493</v>
      </c>
      <c r="L101" s="15">
        <f>(Processed_Ratios!L101 / Processed_Ratios!$B$131) * 10</f>
        <v>3.133802027</v>
      </c>
      <c r="M101" s="15">
        <f>(Processed_Ratios!M101 / Processed_Ratios!$B$131) * 10</f>
        <v>3.013532387</v>
      </c>
    </row>
    <row r="102">
      <c r="A102" s="6" t="s">
        <v>2</v>
      </c>
      <c r="B102" s="8">
        <f>(Processed_Ratios!B102 / Processed_Ratios!$B$131) * 10</f>
        <v>0.1397296646</v>
      </c>
      <c r="C102" s="8">
        <f>(Processed_Ratios!C102 / Processed_Ratios!$B$131) * 10</f>
        <v>0.207591712</v>
      </c>
      <c r="D102" s="8">
        <f>(Processed_Ratios!D102 / Processed_Ratios!$B$131) * 10</f>
        <v>0.207591712</v>
      </c>
      <c r="E102" s="15">
        <f>(Processed_Ratios!E102 / Processed_Ratios!$B$131) * 10</f>
        <v>0.207591712</v>
      </c>
      <c r="F102" s="15">
        <f>(Processed_Ratios!F102 / Processed_Ratios!$B$131) * 10</f>
        <v>0.1053076599</v>
      </c>
      <c r="G102" s="15">
        <f>(Processed_Ratios!G102 / Processed_Ratios!$B$131) * 10</f>
        <v>0.1053076599</v>
      </c>
      <c r="H102" s="15">
        <f>(Processed_Ratios!H102 / Processed_Ratios!$B$131) * 10</f>
        <v>0.2410440682</v>
      </c>
      <c r="I102" s="15">
        <f>(Processed_Ratios!I102 / Processed_Ratios!$B$131) * 10</f>
        <v>0.207591712</v>
      </c>
      <c r="J102" s="15">
        <f>(Processed_Ratios!J102 / Processed_Ratios!$B$131) * 10</f>
        <v>0.2410440682</v>
      </c>
      <c r="K102" s="15">
        <f>(Processed_Ratios!K102 / Processed_Ratios!$B$131) * 10</f>
        <v>0.173822267</v>
      </c>
      <c r="L102" s="15">
        <f>(Processed_Ratios!L102 / Processed_Ratios!$B$131) * 10</f>
        <v>0.3070209495</v>
      </c>
      <c r="M102" s="15">
        <f>(Processed_Ratios!M102 / Processed_Ratios!$B$131) * 10</f>
        <v>0.207591712</v>
      </c>
    </row>
    <row r="103">
      <c r="A103" s="6" t="s">
        <v>3</v>
      </c>
      <c r="B103" s="8">
        <f>(Processed_Ratios!B103 / Processed_Ratios!$B$131) * 10</f>
        <v>7.780120109</v>
      </c>
      <c r="C103" s="8">
        <f>(Processed_Ratios!C103 / Processed_Ratios!$B$131) * 10</f>
        <v>8.091114028</v>
      </c>
      <c r="D103" s="8">
        <f>(Processed_Ratios!D103 / Processed_Ratios!$B$131) * 10</f>
        <v>8.339606638</v>
      </c>
      <c r="E103" s="15">
        <f>(Processed_Ratios!E103 / Processed_Ratios!$B$131) * 10</f>
        <v>8.245801566</v>
      </c>
      <c r="F103" s="15">
        <f>(Processed_Ratios!F103 / Processed_Ratios!$B$131) * 10</f>
        <v>8.080067043</v>
      </c>
      <c r="G103" s="15">
        <f>(Processed_Ratios!G103 / Processed_Ratios!$B$131) * 10</f>
        <v>7.827941629</v>
      </c>
      <c r="H103" s="15">
        <f>(Processed_Ratios!H103 / Processed_Ratios!$B$131) * 10</f>
        <v>8.849881985</v>
      </c>
      <c r="I103" s="15">
        <f>(Processed_Ratios!I103 / Processed_Ratios!$B$131) * 10</f>
        <v>8.451001257</v>
      </c>
      <c r="J103" s="15">
        <f>(Processed_Ratios!J103 / Processed_Ratios!$B$131) * 10</f>
        <v>8.474189203</v>
      </c>
      <c r="K103" s="15">
        <f>(Processed_Ratios!K103 / Processed_Ratios!$B$131) * 10</f>
        <v>8.160293867</v>
      </c>
      <c r="L103" s="15">
        <f>(Processed_Ratios!L103 / Processed_Ratios!$B$131) * 10</f>
        <v>8.318973473</v>
      </c>
      <c r="M103" s="15">
        <f>(Processed_Ratios!M103 / Processed_Ratios!$B$131) * 10</f>
        <v>8.224616272</v>
      </c>
    </row>
    <row r="104">
      <c r="A104" s="6" t="s">
        <v>4</v>
      </c>
      <c r="B104" s="8">
        <f>(Processed_Ratios!B104 / Processed_Ratios!$B$131) * 10</f>
        <v>6.317490068</v>
      </c>
      <c r="C104" s="8">
        <f>(Processed_Ratios!C104 / Processed_Ratios!$B$131) * 10</f>
        <v>6.24415678</v>
      </c>
      <c r="D104" s="8">
        <f>(Processed_Ratios!D104 / Processed_Ratios!$B$131) * 10</f>
        <v>6.112075201</v>
      </c>
      <c r="E104" s="15">
        <f>(Processed_Ratios!E104 / Processed_Ratios!$B$131) * 10</f>
        <v>5.72673117</v>
      </c>
      <c r="F104" s="15">
        <f>(Processed_Ratios!F104 / Processed_Ratios!$B$131) * 10</f>
        <v>5.413493366</v>
      </c>
      <c r="G104" s="15">
        <f>(Processed_Ratios!G104 / Processed_Ratios!$B$131) * 10</f>
        <v>5.762251402</v>
      </c>
      <c r="H104" s="15">
        <f>(Processed_Ratios!H104 / Processed_Ratios!$B$131) * 10</f>
        <v>5.873593269</v>
      </c>
      <c r="I104" s="15">
        <f>(Processed_Ratios!I104 / Processed_Ratios!$B$131) * 10</f>
        <v>5.147188859</v>
      </c>
      <c r="J104" s="15">
        <f>(Processed_Ratios!J104 / Processed_Ratios!$B$131) * 10</f>
        <v>5.147188859</v>
      </c>
      <c r="K104" s="15">
        <f>(Processed_Ratios!K104 / Processed_Ratios!$B$131) * 10</f>
        <v>5.147188859</v>
      </c>
      <c r="L104" s="15">
        <f>(Processed_Ratios!L104 / Processed_Ratios!$B$131) * 10</f>
        <v>5.147188859</v>
      </c>
      <c r="M104" s="15">
        <f>(Processed_Ratios!M104 / Processed_Ratios!$B$131) * 10</f>
        <v>5.147188859</v>
      </c>
    </row>
    <row r="105">
      <c r="A105" s="6" t="s">
        <v>5</v>
      </c>
      <c r="B105" s="8">
        <f>(Processed_Ratios!B105 / Processed_Ratios!$B$131) * 10</f>
        <v>5.54361534</v>
      </c>
      <c r="C105" s="8">
        <f>(Processed_Ratios!C105 / Processed_Ratios!$B$131) * 10</f>
        <v>5.603242669</v>
      </c>
      <c r="D105" s="8">
        <f>(Processed_Ratios!D105 / Processed_Ratios!$B$131) * 10</f>
        <v>5.72673117</v>
      </c>
      <c r="E105" s="15">
        <f>(Processed_Ratios!E105 / Processed_Ratios!$B$131) * 10</f>
        <v>5.573553749</v>
      </c>
      <c r="F105" s="15">
        <f>(Processed_Ratios!F105 / Processed_Ratios!$B$131) * 10</f>
        <v>5.413493366</v>
      </c>
      <c r="G105" s="15">
        <f>(Processed_Ratios!G105 / Processed_Ratios!$B$131) * 10</f>
        <v>5.748085778</v>
      </c>
      <c r="H105" s="15">
        <f>(Processed_Ratios!H105 / Processed_Ratios!$B$131) * 10</f>
        <v>6.477170809</v>
      </c>
      <c r="I105" s="15">
        <f>(Processed_Ratios!I105 / Processed_Ratios!$B$131) * 10</f>
        <v>5.294595243</v>
      </c>
      <c r="J105" s="15">
        <f>(Processed_Ratios!J105 / Processed_Ratios!$B$131) * 10</f>
        <v>5.994829345</v>
      </c>
      <c r="K105" s="15">
        <f>(Processed_Ratios!K105 / Processed_Ratios!$B$131) * 10</f>
        <v>6.377468753</v>
      </c>
      <c r="L105" s="15">
        <f>(Processed_Ratios!L105 / Processed_Ratios!$B$131) * 10</f>
        <v>6.206916199</v>
      </c>
      <c r="M105" s="15">
        <f>(Processed_Ratios!M105 / Processed_Ratios!$B$131) * 10</f>
        <v>6.482949642</v>
      </c>
    </row>
    <row r="106">
      <c r="A106" s="6" t="s">
        <v>6</v>
      </c>
      <c r="B106" s="8">
        <f>(Processed_Ratios!B106 / Processed_Ratios!$B$131) * 10</f>
        <v>2.808997432</v>
      </c>
      <c r="C106" s="8">
        <f>(Processed_Ratios!C106 / Processed_Ratios!$B$131) * 10</f>
        <v>2.693797795</v>
      </c>
      <c r="D106" s="8">
        <f>(Processed_Ratios!D106 / Processed_Ratios!$B$131) * 10</f>
        <v>2.643262909</v>
      </c>
      <c r="E106" s="15">
        <f>(Processed_Ratios!E106 / Processed_Ratios!$B$131) * 10</f>
        <v>2.342513485</v>
      </c>
      <c r="F106" s="15">
        <f>(Processed_Ratios!F106 / Processed_Ratios!$B$131) * 10</f>
        <v>2.133444721</v>
      </c>
      <c r="G106" s="15">
        <f>(Processed_Ratios!G106 / Processed_Ratios!$B$131) * 10</f>
        <v>3.133802027</v>
      </c>
      <c r="H106" s="15">
        <f>(Processed_Ratios!H106 / Processed_Ratios!$B$131) * 10</f>
        <v>2.904859262</v>
      </c>
      <c r="I106" s="15">
        <f>(Processed_Ratios!I106 / Processed_Ratios!$B$131) * 10</f>
        <v>1.740639476</v>
      </c>
      <c r="J106" s="15">
        <f>(Processed_Ratios!J106 / Processed_Ratios!$B$131) * 10</f>
        <v>1.952764609</v>
      </c>
      <c r="K106" s="15">
        <f>(Processed_Ratios!K106 / Processed_Ratios!$B$131) * 10</f>
        <v>1.584259838</v>
      </c>
      <c r="L106" s="15">
        <f>(Processed_Ratios!L106 / Processed_Ratios!$B$131) * 10</f>
        <v>1.890442615</v>
      </c>
      <c r="M106" s="15">
        <f>(Processed_Ratios!M106 / Processed_Ratios!$B$131) * 10</f>
        <v>2.054271468</v>
      </c>
    </row>
    <row r="107">
      <c r="A107" s="6" t="s">
        <v>7</v>
      </c>
      <c r="B107" s="8">
        <f>(Processed_Ratios!B107 / Processed_Ratios!$B$131) * 10</f>
        <v>2.693797795</v>
      </c>
      <c r="C107" s="8">
        <f>(Processed_Ratios!C107 / Processed_Ratios!$B$131) * 10</f>
        <v>3.264422963</v>
      </c>
      <c r="D107" s="8">
        <f>(Processed_Ratios!D107 / Processed_Ratios!$B$131) * 10</f>
        <v>3.693530422</v>
      </c>
      <c r="E107" s="15">
        <f>(Processed_Ratios!E107 / Processed_Ratios!$B$131) * 10</f>
        <v>3.913970815</v>
      </c>
      <c r="F107" s="15">
        <f>(Processed_Ratios!F107 / Processed_Ratios!$B$131) * 10</f>
        <v>4.058227594</v>
      </c>
      <c r="G107" s="15">
        <f>(Processed_Ratios!G107 / Processed_Ratios!$B$131) * 10</f>
        <v>3.292810761</v>
      </c>
      <c r="H107" s="15">
        <f>(Processed_Ratios!H107 / Processed_Ratios!$B$131) * 10</f>
        <v>3.525388703</v>
      </c>
      <c r="I107" s="15">
        <f>(Processed_Ratios!I107 / Processed_Ratios!$B$131) * 10</f>
        <v>3.133802027</v>
      </c>
      <c r="J107" s="15">
        <f>(Processed_Ratios!J107 / Processed_Ratios!$B$131) * 10</f>
        <v>3.292810761</v>
      </c>
      <c r="K107" s="15">
        <f>(Processed_Ratios!K107 / Processed_Ratios!$B$131) * 10</f>
        <v>3.264422963</v>
      </c>
      <c r="L107" s="15">
        <f>(Processed_Ratios!L107 / Processed_Ratios!$B$131) * 10</f>
        <v>3.616911345</v>
      </c>
      <c r="M107" s="15">
        <f>(Processed_Ratios!M107 / Processed_Ratios!$B$131) * 10</f>
        <v>2.920588426</v>
      </c>
    </row>
    <row r="108">
      <c r="A108" s="6" t="s">
        <v>8</v>
      </c>
      <c r="B108" s="8">
        <f>(Processed_Ratios!B108 / Processed_Ratios!$B$131) * 10</f>
        <v>0.1053076599</v>
      </c>
      <c r="C108" s="8">
        <f>(Processed_Ratios!C108 / Processed_Ratios!$B$131) * 10</f>
        <v>0.1053076599</v>
      </c>
      <c r="D108" s="8">
        <f>(Processed_Ratios!D108 / Processed_Ratios!$B$131) * 10</f>
        <v>0.1053076599</v>
      </c>
      <c r="E108" s="15">
        <f>(Processed_Ratios!E108 / Processed_Ratios!$B$131) * 10</f>
        <v>0.207591712</v>
      </c>
      <c r="F108" s="15">
        <f>(Processed_Ratios!F108 / Processed_Ratios!$B$131) * 10</f>
        <v>0.207591712</v>
      </c>
      <c r="G108" s="15">
        <f>(Processed_Ratios!G108 / Processed_Ratios!$B$131) * 10</f>
        <v>0.3070209495</v>
      </c>
      <c r="H108" s="15">
        <f>(Processed_Ratios!H108 / Processed_Ratios!$B$131) * 10</f>
        <v>0.3070209495</v>
      </c>
      <c r="I108" s="15">
        <f>(Processed_Ratios!I108 / Processed_Ratios!$B$131) * 10</f>
        <v>0.1053076599</v>
      </c>
      <c r="J108" s="15">
        <f>(Processed_Ratios!J108 / Processed_Ratios!$B$131) * 10</f>
        <v>0.1053076599</v>
      </c>
      <c r="K108" s="15">
        <f>(Processed_Ratios!K108 / Processed_Ratios!$B$131) * 10</f>
        <v>0.1053076599</v>
      </c>
      <c r="L108" s="15">
        <f>(Processed_Ratios!L108 / Processed_Ratios!$B$131) * 10</f>
        <v>0.1053076599</v>
      </c>
      <c r="M108" s="15">
        <f>(Processed_Ratios!M108 / Processed_Ratios!$B$131) * 10</f>
        <v>0.1053076599</v>
      </c>
    </row>
    <row r="109">
      <c r="A109" s="6" t="s">
        <v>9</v>
      </c>
      <c r="B109" s="8">
        <f>(Processed_Ratios!B109 / Processed_Ratios!$B$131) * 10</f>
        <v>7.067428891</v>
      </c>
      <c r="C109" s="8">
        <f>(Processed_Ratios!C109 / Processed_Ratios!$B$131) * 10</f>
        <v>7.461364837</v>
      </c>
      <c r="D109" s="8">
        <f>(Processed_Ratios!D109 / Processed_Ratios!$B$131) * 10</f>
        <v>7.747878715</v>
      </c>
      <c r="E109" s="15">
        <f>(Processed_Ratios!E109 / Processed_Ratios!$B$131) * 10</f>
        <v>7.657680232</v>
      </c>
      <c r="F109" s="15">
        <f>(Processed_Ratios!F109 / Processed_Ratios!$B$131) * 10</f>
        <v>7.657680232</v>
      </c>
      <c r="G109" s="15">
        <f>(Processed_Ratios!G109 / Processed_Ratios!$B$131) * 10</f>
        <v>7.796132045</v>
      </c>
      <c r="H109" s="15">
        <f>(Processed_Ratios!H109 / Processed_Ratios!$B$131) * 10</f>
        <v>7.594845274</v>
      </c>
      <c r="I109" s="15">
        <f>(Processed_Ratios!I109 / Processed_Ratios!$B$131) * 10</f>
        <v>8.26336025</v>
      </c>
      <c r="J109" s="15">
        <f>(Processed_Ratios!J109 / Processed_Ratios!$B$131) * 10</f>
        <v>7.835849845</v>
      </c>
      <c r="K109" s="15">
        <f>(Processed_Ratios!K109 / Processed_Ratios!$B$131) * 10</f>
        <v>7.784129845</v>
      </c>
      <c r="L109" s="15">
        <f>(Processed_Ratios!L109 / Processed_Ratios!$B$131) * 10</f>
        <v>8.061578939</v>
      </c>
      <c r="M109" s="15">
        <f>(Processed_Ratios!M109 / Processed_Ratios!$B$131) * 10</f>
        <v>8.657589547</v>
      </c>
    </row>
    <row r="110">
      <c r="A110" s="6" t="s">
        <v>10</v>
      </c>
      <c r="B110" s="8">
        <f>(Processed_Ratios!B110 / Processed_Ratios!$B$131) * 10</f>
        <v>1.584259838</v>
      </c>
      <c r="C110" s="8">
        <f>(Processed_Ratios!C110 / Processed_Ratios!$B$131) * 10</f>
        <v>1.60702445</v>
      </c>
      <c r="D110" s="8">
        <f>(Processed_Ratios!D110 / Processed_Ratios!$B$131) * 10</f>
        <v>1.538289525</v>
      </c>
      <c r="E110" s="15">
        <f>(Processed_Ratios!E110 / Processed_Ratios!$B$131) * 10</f>
        <v>1.491718277</v>
      </c>
      <c r="F110" s="15">
        <f>(Processed_Ratios!F110 / Processed_Ratios!$B$131) * 10</f>
        <v>1.420699651</v>
      </c>
      <c r="G110" s="15">
        <f>(Processed_Ratios!G110 / Processed_Ratios!$B$131) * 10</f>
        <v>3.458545283</v>
      </c>
      <c r="H110" s="15">
        <f>(Processed_Ratios!H110 / Processed_Ratios!$B$131) * 10</f>
        <v>3.089175351</v>
      </c>
      <c r="I110" s="15">
        <f>(Processed_Ratios!I110 / Processed_Ratios!$B$131) * 10</f>
        <v>3.133802027</v>
      </c>
      <c r="J110" s="15">
        <f>(Processed_Ratios!J110 / Processed_Ratios!$B$131) * 10</f>
        <v>3.362806131</v>
      </c>
      <c r="K110" s="15">
        <f>(Processed_Ratios!K110 / Processed_Ratios!$B$131) * 10</f>
        <v>3.028790011</v>
      </c>
      <c r="L110" s="15">
        <f>(Processed_Ratios!L110 / Processed_Ratios!$B$131) * 10</f>
        <v>3.841995644</v>
      </c>
      <c r="M110" s="15">
        <f>(Processed_Ratios!M110 / Processed_Ratios!$B$131) * 10</f>
        <v>4.058227594</v>
      </c>
    </row>
    <row r="111">
      <c r="A111" s="6" t="s">
        <v>11</v>
      </c>
      <c r="B111" s="8">
        <f>(Processed_Ratios!B111 / Processed_Ratios!$B$131) * 10</f>
        <v>8.15668612</v>
      </c>
      <c r="C111" s="8">
        <f>(Processed_Ratios!C111 / Processed_Ratios!$B$131) * 10</f>
        <v>8.174688431</v>
      </c>
      <c r="D111" s="8">
        <f>(Processed_Ratios!D111 / Processed_Ratios!$B$131) * 10</f>
        <v>7.694856045</v>
      </c>
      <c r="E111" s="15">
        <f>(Processed_Ratios!E111 / Processed_Ratios!$B$131) * 10</f>
        <v>7.879034007</v>
      </c>
      <c r="F111" s="15">
        <f>(Processed_Ratios!F111 / Processed_Ratios!$B$131) * 10</f>
        <v>7.948589032</v>
      </c>
      <c r="G111" s="15">
        <f>(Processed_Ratios!G111 / Processed_Ratios!$B$131) * 10</f>
        <v>8.336176065</v>
      </c>
      <c r="H111" s="15">
        <f>(Processed_Ratios!H111 / Processed_Ratios!$B$131) * 10</f>
        <v>8.249320233</v>
      </c>
      <c r="I111" s="15">
        <f>(Processed_Ratios!I111 / Processed_Ratios!$B$131) * 10</f>
        <v>8.068985698</v>
      </c>
      <c r="J111" s="15">
        <f>(Processed_Ratios!J111 / Processed_Ratios!$B$131) * 10</f>
        <v>7.906244776</v>
      </c>
      <c r="K111" s="15">
        <f>(Processed_Ratios!K111 / Processed_Ratios!$B$131) * 10</f>
        <v>7.902370225</v>
      </c>
      <c r="L111" s="15">
        <f>(Processed_Ratios!L111 / Processed_Ratios!$B$131) * 10</f>
        <v>7.963863009</v>
      </c>
      <c r="M111" s="15">
        <f>(Processed_Ratios!M111 / Processed_Ratios!$B$131) * 10</f>
        <v>7.940927417</v>
      </c>
    </row>
    <row r="112">
      <c r="A112" s="6" t="s">
        <v>12</v>
      </c>
      <c r="B112" s="8">
        <f>(Processed_Ratios!B112 / Processed_Ratios!$B$131) * 10</f>
        <v>1.372555003</v>
      </c>
      <c r="C112" s="8">
        <f>(Processed_Ratios!C112 / Processed_Ratios!$B$131) * 10</f>
        <v>1.420699651</v>
      </c>
      <c r="D112" s="8">
        <f>(Processed_Ratios!D112 / Processed_Ratios!$B$131) * 10</f>
        <v>1.60702445</v>
      </c>
      <c r="E112" s="15">
        <f>(Processed_Ratios!E112 / Processed_Ratios!$B$131) * 10</f>
        <v>1.584259838</v>
      </c>
      <c r="F112" s="15">
        <f>(Processed_Ratios!F112 / Processed_Ratios!$B$131) * 10</f>
        <v>1.274268776</v>
      </c>
      <c r="G112" s="15">
        <f>(Processed_Ratios!G112 / Processed_Ratios!$B$131) * 10</f>
        <v>1.249267622</v>
      </c>
      <c r="H112" s="15">
        <f>(Processed_Ratios!H112 / Processed_Ratios!$B$131) * 10</f>
        <v>0.8794759992</v>
      </c>
      <c r="I112" s="15">
        <f>(Processed_Ratios!I112 / Processed_Ratios!$B$131) * 10</f>
        <v>0.7375189824</v>
      </c>
      <c r="J112" s="15">
        <f>(Processed_Ratios!J112 / Processed_Ratios!$B$131) * 10</f>
        <v>0.6197347092</v>
      </c>
      <c r="K112" s="15">
        <f>(Processed_Ratios!K112 / Processed_Ratios!$B$131) * 10</f>
        <v>0.6495478519</v>
      </c>
      <c r="L112" s="15">
        <f>(Processed_Ratios!L112 / Processed_Ratios!$B$131) * 10</f>
        <v>0.6495478519</v>
      </c>
      <c r="M112" s="15">
        <f>(Processed_Ratios!M112 / Processed_Ratios!$B$131) * 10</f>
        <v>0.8233701189</v>
      </c>
      <c r="N112" s="6"/>
    </row>
    <row r="113">
      <c r="A113" s="6" t="s">
        <v>13</v>
      </c>
      <c r="B113" s="8">
        <f>(Processed_Ratios!B113 / Processed_Ratios!$B$131) * 10</f>
        <v>0.4354186208</v>
      </c>
      <c r="C113" s="8">
        <f>(Processed_Ratios!C113 / Processed_Ratios!$B$131) * 10</f>
        <v>0.4668078086</v>
      </c>
      <c r="D113" s="8">
        <f>(Processed_Ratios!D113 / Processed_Ratios!$B$131) * 10</f>
        <v>0.7375189824</v>
      </c>
      <c r="E113" s="15">
        <f>(Processed_Ratios!E113 / Processed_Ratios!$B$131) * 10</f>
        <v>0.7663665066</v>
      </c>
      <c r="F113" s="15">
        <f>(Processed_Ratios!F113 / Processed_Ratios!$B$131) * 10</f>
        <v>0.7375189824</v>
      </c>
      <c r="G113" s="15">
        <f>(Processed_Ratios!G113 / Processed_Ratios!$B$131) * 10</f>
        <v>0.6791135798</v>
      </c>
      <c r="H113" s="15">
        <f>(Processed_Ratios!H113 / Processed_Ratios!$B$131) * 10</f>
        <v>0.7663665066</v>
      </c>
      <c r="I113" s="15">
        <f>(Processed_Ratios!I113 / Processed_Ratios!$B$131) * 10</f>
        <v>0.7375189824</v>
      </c>
      <c r="J113" s="15">
        <f>(Processed_Ratios!J113 / Processed_Ratios!$B$131) * 10</f>
        <v>0.7949823212</v>
      </c>
      <c r="K113" s="15">
        <f>(Processed_Ratios!K113 / Processed_Ratios!$B$131) * 10</f>
        <v>1.249267622</v>
      </c>
      <c r="L113" s="15">
        <f>(Processed_Ratios!L113 / Processed_Ratios!$B$131) * 10</f>
        <v>1.299095704</v>
      </c>
      <c r="M113" s="15">
        <f>(Processed_Ratios!M113 / Processed_Ratios!$B$131) * 10</f>
        <v>1.34823648</v>
      </c>
      <c r="N113" s="6"/>
    </row>
    <row r="114">
      <c r="A114" s="6" t="s">
        <v>14</v>
      </c>
      <c r="B114" s="8">
        <f>(Processed_Ratios!B114 / Processed_Ratios!$B$131) * 10</f>
        <v>6.014640238</v>
      </c>
      <c r="C114" s="8">
        <f>(Processed_Ratios!C114 / Processed_Ratios!$B$131) * 10</f>
        <v>6.329566858</v>
      </c>
      <c r="D114" s="8">
        <f>(Processed_Ratios!D114 / Processed_Ratios!$B$131) * 10</f>
        <v>6.09923681</v>
      </c>
      <c r="E114" s="15">
        <f>(Processed_Ratios!E114 / Processed_Ratios!$B$131) * 10</f>
        <v>6.09923681</v>
      </c>
      <c r="F114" s="15">
        <f>(Processed_Ratios!F114 / Processed_Ratios!$B$131) * 10</f>
        <v>6.181871107</v>
      </c>
      <c r="G114" s="15">
        <f>(Processed_Ratios!G114 / Processed_Ratios!$B$131) * 10</f>
        <v>6.568525808</v>
      </c>
      <c r="H114" s="15">
        <f>(Processed_Ratios!H114 / Processed_Ratios!$B$131) * 10</f>
        <v>6.808305255</v>
      </c>
      <c r="I114" s="15">
        <f>(Processed_Ratios!I114 / Processed_Ratios!$B$131) * 10</f>
        <v>6.860621169</v>
      </c>
      <c r="J114" s="15">
        <f>(Processed_Ratios!J114 / Processed_Ratios!$B$131) * 10</f>
        <v>7.023049289</v>
      </c>
      <c r="K114" s="15">
        <f>(Processed_Ratios!K114 / Processed_Ratios!$B$131) * 10</f>
        <v>7.101568164</v>
      </c>
      <c r="L114" s="15">
        <f>(Processed_Ratios!L114 / Processed_Ratios!$B$131) * 10</f>
        <v>6.978109873</v>
      </c>
      <c r="M114" s="15">
        <f>(Processed_Ratios!M114 / Processed_Ratios!$B$131) * 10</f>
        <v>7.202065956</v>
      </c>
    </row>
    <row r="115">
      <c r="A115" s="6" t="s">
        <v>15</v>
      </c>
      <c r="B115" s="8">
        <f>(Processed_Ratios!B115 / Processed_Ratios!$B$131) * 10</f>
        <v>3.013532387</v>
      </c>
      <c r="C115" s="8">
        <f>(Processed_Ratios!C115 / Processed_Ratios!$B$131) * 10</f>
        <v>2.998209138</v>
      </c>
      <c r="D115" s="8">
        <f>(Processed_Ratios!D115 / Processed_Ratios!$B$131) * 10</f>
        <v>3.013532387</v>
      </c>
      <c r="E115" s="15">
        <f>(Processed_Ratios!E115 / Processed_Ratios!$B$131) * 10</f>
        <v>3.264422963</v>
      </c>
      <c r="F115" s="15">
        <f>(Processed_Ratios!F115 / Processed_Ratios!$B$131) * 10</f>
        <v>3.577974894</v>
      </c>
      <c r="G115" s="15">
        <f>(Processed_Ratios!G115 / Processed_Ratios!$B$131) * 10</f>
        <v>4.019278475</v>
      </c>
      <c r="H115" s="15">
        <f>(Processed_Ratios!H115 / Processed_Ratios!$B$131) * 10</f>
        <v>3.937642993</v>
      </c>
      <c r="I115" s="15">
        <f>(Processed_Ratios!I115 / Processed_Ratios!$B$131) * 10</f>
        <v>3.485433334</v>
      </c>
      <c r="J115" s="15">
        <f>(Processed_Ratios!J115 / Processed_Ratios!$B$131) * 10</f>
        <v>3.512119974</v>
      </c>
      <c r="K115" s="15">
        <f>(Processed_Ratios!K115 / Processed_Ratios!$B$131) * 10</f>
        <v>3.902075479</v>
      </c>
      <c r="L115" s="15">
        <f>(Processed_Ratios!L115 / Processed_Ratios!$B$131) * 10</f>
        <v>3.925826565</v>
      </c>
      <c r="M115" s="15">
        <f>(Processed_Ratios!M115 / Processed_Ratios!$B$131) * 10</f>
        <v>4.058227594</v>
      </c>
      <c r="N115" s="6"/>
    </row>
    <row r="116">
      <c r="A116" s="6" t="s">
        <v>16</v>
      </c>
      <c r="B116" s="8">
        <f>(Processed_Ratios!B116 / Processed_Ratios!$B$131) * 10</f>
        <v>3.362806131</v>
      </c>
      <c r="C116" s="8">
        <f>(Processed_Ratios!C116 / Processed_Ratios!$B$131) * 10</f>
        <v>3.348916641</v>
      </c>
      <c r="D116" s="8">
        <f>(Processed_Ratios!D116 / Processed_Ratios!$B$131) * 10</f>
        <v>3.362806131</v>
      </c>
      <c r="E116" s="15">
        <f>(Processed_Ratios!E116 / Processed_Ratios!$B$131) * 10</f>
        <v>3.376641682</v>
      </c>
      <c r="F116" s="15">
        <f>(Processed_Ratios!F116 / Processed_Ratios!$B$131) * 10</f>
        <v>3.163245581</v>
      </c>
      <c r="G116" s="15">
        <f>(Processed_Ratios!G116 / Processed_Ratios!$B$131) * 10</f>
        <v>3.348916641</v>
      </c>
      <c r="H116" s="15">
        <f>(Processed_Ratios!H116 / Processed_Ratios!$B$131) * 10</f>
        <v>3.04398257</v>
      </c>
      <c r="I116" s="15">
        <f>(Processed_Ratios!I116 / Processed_Ratios!$B$131) * 10</f>
        <v>2.857250762</v>
      </c>
      <c r="J116" s="15">
        <f>(Processed_Ratios!J116 / Processed_Ratios!$B$131) * 10</f>
        <v>3.04398257</v>
      </c>
      <c r="K116" s="15">
        <f>(Processed_Ratios!K116 / Processed_Ratios!$B$131) * 10</f>
        <v>2.743625877</v>
      </c>
      <c r="L116" s="15">
        <f>(Processed_Ratios!L116 / Processed_Ratios!$B$131) * 10</f>
        <v>2.71048471</v>
      </c>
      <c r="M116" s="15">
        <f>(Processed_Ratios!M116 / Processed_Ratios!$B$131) * 10</f>
        <v>2.825154601</v>
      </c>
      <c r="N116" s="6"/>
    </row>
    <row r="117">
      <c r="A117" s="6" t="s">
        <v>17</v>
      </c>
      <c r="B117" s="8">
        <f>(Processed_Ratios!B117 / Processed_Ratios!$B$131) * 10</f>
        <v>0.9347119858</v>
      </c>
      <c r="C117" s="8">
        <f>(Processed_Ratios!C117 / Processed_Ratios!$B$131) * 10</f>
        <v>1.095460294</v>
      </c>
      <c r="D117" s="8">
        <f>(Processed_Ratios!D117 / Processed_Ratios!$B$131) * 10</f>
        <v>1.095460294</v>
      </c>
      <c r="E117" s="15">
        <f>(Processed_Ratios!E117 / Processed_Ratios!$B$131) * 10</f>
        <v>1.042679332</v>
      </c>
      <c r="F117" s="15">
        <f>(Processed_Ratios!F117 / Processed_Ratios!$B$131) * 10</f>
        <v>1.015992692</v>
      </c>
      <c r="G117" s="15">
        <f>(Processed_Ratios!G117 / Processed_Ratios!$B$131) * 10</f>
        <v>0.8515335049</v>
      </c>
      <c r="H117" s="15">
        <f>(Processed_Ratios!H117 / Processed_Ratios!$B$131) * 10</f>
        <v>0.9620121176</v>
      </c>
      <c r="I117" s="15">
        <f>(Processed_Ratios!I117 / Processed_Ratios!$B$131) * 10</f>
        <v>1.042679332</v>
      </c>
      <c r="J117" s="15">
        <f>(Processed_Ratios!J117 / Processed_Ratios!$B$131) * 10</f>
        <v>1.069167556</v>
      </c>
      <c r="K117" s="15">
        <f>(Processed_Ratios!K117 / Processed_Ratios!$B$131) * 10</f>
        <v>1.22408978</v>
      </c>
      <c r="L117" s="15">
        <f>(Processed_Ratios!L117 / Processed_Ratios!$B$131) * 10</f>
        <v>1.538289525</v>
      </c>
      <c r="M117" s="15">
        <f>(Processed_Ratios!M117 / Processed_Ratios!$B$131) * 10</f>
        <v>1.718715408</v>
      </c>
      <c r="N117" s="6"/>
    </row>
    <row r="118">
      <c r="A118" s="6" t="s">
        <v>18</v>
      </c>
      <c r="B118" s="8">
        <f>(Processed_Ratios!B118 / Processed_Ratios!$B$131) * 10</f>
        <v>2.72709383</v>
      </c>
      <c r="C118" s="8">
        <f>(Processed_Ratios!C118 / Processed_Ratios!$B$131) * 10</f>
        <v>2.873191056</v>
      </c>
      <c r="D118" s="8">
        <f>(Processed_Ratios!D118 / Processed_Ratios!$B$131) * 10</f>
        <v>3.013532387</v>
      </c>
      <c r="E118" s="15">
        <f>(Processed_Ratios!E118 / Processed_Ratios!$B$131) * 10</f>
        <v>3.013532387</v>
      </c>
      <c r="F118" s="15">
        <f>(Processed_Ratios!F118 / Processed_Ratios!$B$131) * 10</f>
        <v>3.089175351</v>
      </c>
      <c r="G118" s="15">
        <f>(Processed_Ratios!G118 / Processed_Ratios!$B$131) * 10</f>
        <v>3.133802027</v>
      </c>
      <c r="H118" s="15">
        <f>(Processed_Ratios!H118 / Processed_Ratios!$B$131) * 10</f>
        <v>2.904859262</v>
      </c>
      <c r="I118" s="15">
        <f>(Processed_Ratios!I118 / Processed_Ratios!$B$131) * 10</f>
        <v>2.693797795</v>
      </c>
      <c r="J118" s="15">
        <f>(Processed_Ratios!J118 / Processed_Ratios!$B$131) * 10</f>
        <v>2.539990467</v>
      </c>
      <c r="K118" s="15">
        <f>(Processed_Ratios!K118 / Processed_Ratios!$B$131) * 10</f>
        <v>2.379242159</v>
      </c>
      <c r="L118" s="15">
        <f>(Processed_Ratios!L118 / Processed_Ratios!$B$131) * 10</f>
        <v>2.397465471</v>
      </c>
      <c r="M118" s="15">
        <f>(Processed_Ratios!M118 / Processed_Ratios!$B$131) * 10</f>
        <v>1.952764609</v>
      </c>
      <c r="N118" s="6"/>
    </row>
    <row r="119">
      <c r="A119" s="6" t="s">
        <v>19</v>
      </c>
      <c r="B119" s="8">
        <f>(Processed_Ratios!B119 / Processed_Ratios!$B$131) * 10</f>
        <v>3.133802027</v>
      </c>
      <c r="C119" s="8">
        <f>(Processed_Ratios!C119 / Processed_Ratios!$B$131) * 10</f>
        <v>3.148554221</v>
      </c>
      <c r="D119" s="8">
        <f>(Processed_Ratios!D119 / Processed_Ratios!$B$131) * 10</f>
        <v>3.292810761</v>
      </c>
      <c r="E119" s="15">
        <f>(Processed_Ratios!E119 / Processed_Ratios!$B$131) * 10</f>
        <v>3.629796168</v>
      </c>
      <c r="F119" s="15">
        <f>(Processed_Ratios!F119 / Processed_Ratios!$B$131) * 10</f>
        <v>3.756144508</v>
      </c>
      <c r="G119" s="15">
        <f>(Processed_Ratios!G119 / Processed_Ratios!$B$131) * 10</f>
        <v>4.058227594</v>
      </c>
      <c r="H119" s="15">
        <f>(Processed_Ratios!H119 / Processed_Ratios!$B$131) * 10</f>
        <v>4.058227594</v>
      </c>
      <c r="I119" s="15">
        <f>(Processed_Ratios!I119 / Processed_Ratios!$B$131) * 10</f>
        <v>4.058227594</v>
      </c>
      <c r="J119" s="15">
        <f>(Processed_Ratios!J119 / Processed_Ratios!$B$131) * 10</f>
        <v>4.058227594</v>
      </c>
      <c r="K119" s="15">
        <f>(Processed_Ratios!K119 / Processed_Ratios!$B$131) * 10</f>
        <v>4.058227594</v>
      </c>
      <c r="L119" s="15">
        <f>(Processed_Ratios!L119 / Processed_Ratios!$B$131) * 10</f>
        <v>4.058227594</v>
      </c>
      <c r="M119" s="15">
        <f>(Processed_Ratios!M119 / Processed_Ratios!$B$131) * 10</f>
        <v>4.058227594</v>
      </c>
      <c r="N119" s="6"/>
    </row>
    <row r="120">
      <c r="A120" s="6" t="s">
        <v>20</v>
      </c>
      <c r="B120" s="8">
        <f>(Processed_Ratios!B120 / Processed_Ratios!$B$131) * 10</f>
        <v>1.22408978</v>
      </c>
      <c r="C120" s="8">
        <f>(Processed_Ratios!C120 / Processed_Ratios!$B$131) * 10</f>
        <v>1.22408978</v>
      </c>
      <c r="D120" s="8">
        <f>(Processed_Ratios!D120 / Processed_Ratios!$B$131) * 10</f>
        <v>1.299095704</v>
      </c>
      <c r="E120" s="15">
        <f>(Processed_Ratios!E120 / Processed_Ratios!$B$131) * 10</f>
        <v>1.042679332</v>
      </c>
      <c r="F120" s="15">
        <f>(Processed_Ratios!F120 / Processed_Ratios!$B$131) * 10</f>
        <v>0.9891046418</v>
      </c>
      <c r="G120" s="15">
        <f>(Processed_Ratios!G120 / Processed_Ratios!$B$131) * 10</f>
        <v>1.784086963</v>
      </c>
      <c r="H120" s="15">
        <f>(Processed_Ratios!H120 / Processed_Ratios!$B$131) * 10</f>
        <v>1.890442615</v>
      </c>
      <c r="I120" s="15">
        <f>(Processed_Ratios!I120 / Processed_Ratios!$B$131) * 10</f>
        <v>1.718715408</v>
      </c>
      <c r="J120" s="15">
        <f>(Processed_Ratios!J120 / Processed_Ratios!$B$131) * 10</f>
        <v>1.890442615</v>
      </c>
      <c r="K120" s="15">
        <f>(Processed_Ratios!K120 / Processed_Ratios!$B$131) * 10</f>
        <v>1.932111509</v>
      </c>
      <c r="L120" s="15">
        <f>(Processed_Ratios!L120 / Processed_Ratios!$B$131) * 10</f>
        <v>1.848280587</v>
      </c>
      <c r="M120" s="15">
        <f>(Processed_Ratios!M120 / Processed_Ratios!$B$131) * 10</f>
        <v>1.848280587</v>
      </c>
      <c r="N120" s="6"/>
    </row>
    <row r="121">
      <c r="A121" s="6" t="s">
        <v>21</v>
      </c>
      <c r="B121" s="8">
        <f>(Processed_Ratios!B121 / Processed_Ratios!$B$131) * 10</f>
        <v>9.64308105</v>
      </c>
      <c r="C121" s="8">
        <f>(Processed_Ratios!C121 / Processed_Ratios!$B$131) * 10</f>
        <v>9.919819809</v>
      </c>
      <c r="D121" s="8">
        <f>(Processed_Ratios!D121 / Processed_Ratios!$B$131) * 10</f>
        <v>9.998170793</v>
      </c>
      <c r="E121" s="15">
        <f>(Processed_Ratios!E121 / Processed_Ratios!$B$131) * 10</f>
        <v>10</v>
      </c>
      <c r="F121" s="15">
        <f>(Processed_Ratios!F121 / Processed_Ratios!$B$131) * 10</f>
        <v>10</v>
      </c>
      <c r="G121" s="15">
        <f>(Processed_Ratios!G121 / Processed_Ratios!$B$131) * 10</f>
        <v>10</v>
      </c>
      <c r="H121" s="15">
        <f>(Processed_Ratios!H121 / Processed_Ratios!$B$131) * 10</f>
        <v>10</v>
      </c>
      <c r="I121" s="15">
        <f>(Processed_Ratios!I121 / Processed_Ratios!$B$131) * 10</f>
        <v>9.805787396</v>
      </c>
      <c r="J121" s="15">
        <f>(Processed_Ratios!J121 / Processed_Ratios!$B$131) * 10</f>
        <v>9.839706882</v>
      </c>
      <c r="K121" s="15">
        <f>(Processed_Ratios!K121 / Processed_Ratios!$B$131) * 10</f>
        <v>9.970075745</v>
      </c>
      <c r="L121" s="15">
        <f>(Processed_Ratios!L121 / Processed_Ratios!$B$131) * 10</f>
        <v>10</v>
      </c>
      <c r="M121" s="15">
        <f>(Processed_Ratios!M121 / Processed_Ratios!$B$131) * 10</f>
        <v>9.928611053</v>
      </c>
    </row>
    <row r="122">
      <c r="A122" s="6" t="s">
        <v>22</v>
      </c>
      <c r="B122" s="8">
        <f>(Processed_Ratios!B122 / Processed_Ratios!$B$131) * 10</f>
        <v>0.8515335049</v>
      </c>
      <c r="C122" s="8">
        <f>(Processed_Ratios!C122 / Processed_Ratios!$B$131) * 10</f>
        <v>1.042679332</v>
      </c>
      <c r="D122" s="8">
        <f>(Processed_Ratios!D122 / Processed_Ratios!$B$131) * 10</f>
        <v>1.173193918</v>
      </c>
      <c r="E122" s="15">
        <f>(Processed_Ratios!E122 / Processed_Ratios!$B$131) * 10</f>
        <v>1.173193918</v>
      </c>
      <c r="F122" s="15">
        <f>(Processed_Ratios!F122 / Processed_Ratios!$B$131) * 10</f>
        <v>1.173193918</v>
      </c>
      <c r="G122" s="15">
        <f>(Processed_Ratios!G122 / Processed_Ratios!$B$131) * 10</f>
        <v>1.274268776</v>
      </c>
      <c r="H122" s="15">
        <f>(Processed_Ratios!H122 / Processed_Ratios!$B$131) * 10</f>
        <v>1.198732736</v>
      </c>
      <c r="I122" s="15">
        <f>(Processed_Ratios!I122 / Processed_Ratios!$B$131) * 10</f>
        <v>1.22408978</v>
      </c>
      <c r="J122" s="15">
        <f>(Processed_Ratios!J122 / Processed_Ratios!$B$131) * 10</f>
        <v>1.015992692</v>
      </c>
      <c r="K122" s="15">
        <f>(Processed_Ratios!K122 / Processed_Ratios!$B$131) * 10</f>
        <v>1.015992692</v>
      </c>
      <c r="L122" s="15">
        <f>(Processed_Ratios!L122 / Processed_Ratios!$B$131) * 10</f>
        <v>1.249267622</v>
      </c>
      <c r="M122" s="15">
        <f>(Processed_Ratios!M122 / Processed_Ratios!$B$131) * 10</f>
        <v>0.9347119858</v>
      </c>
    </row>
    <row r="123">
      <c r="A123" s="6" t="s">
        <v>23</v>
      </c>
      <c r="B123" s="8">
        <f>(Processed_Ratios!B123 / Processed_Ratios!$B$131) * 10</f>
        <v>1.538289525</v>
      </c>
      <c r="C123" s="8">
        <f>(Processed_Ratios!C123 / Processed_Ratios!$B$131) * 10</f>
        <v>2.743625877</v>
      </c>
      <c r="D123" s="8">
        <f>(Processed_Ratios!D123 / Processed_Ratios!$B$131) * 10</f>
        <v>4.058227594</v>
      </c>
      <c r="E123" s="15">
        <f>(Processed_Ratios!E123 / Processed_Ratios!$B$131) * 10</f>
        <v>4.058227594</v>
      </c>
      <c r="F123" s="15">
        <f>(Processed_Ratios!F123 / Processed_Ratios!$B$131) * 10</f>
        <v>4.007730167</v>
      </c>
      <c r="G123" s="15">
        <f>(Processed_Ratios!G123 / Processed_Ratios!$B$131) * 10</f>
        <v>3.376641682</v>
      </c>
      <c r="H123" s="15">
        <f>(Processed_Ratios!H123 / Processed_Ratios!$B$131) * 10</f>
        <v>3.278645136</v>
      </c>
      <c r="I123" s="15">
        <f>(Processed_Ratios!I123 / Processed_Ratios!$B$131) * 10</f>
        <v>2.133444721</v>
      </c>
      <c r="J123" s="15">
        <f>(Processed_Ratios!J123 / Processed_Ratios!$B$131) * 10</f>
        <v>2.93624845</v>
      </c>
      <c r="K123" s="15">
        <f>(Processed_Ratios!K123 / Processed_Ratios!$B$131) * 10</f>
        <v>2.054271468</v>
      </c>
      <c r="L123" s="15">
        <f>(Processed_Ratios!L123 / Processed_Ratios!$B$131) * 10</f>
        <v>2.857250762</v>
      </c>
      <c r="M123" s="15">
        <f>(Processed_Ratios!M123 / Processed_Ratios!$B$131) * 10</f>
        <v>2.172381172</v>
      </c>
    </row>
    <row r="124">
      <c r="A124" s="6" t="s">
        <v>24</v>
      </c>
      <c r="B124" s="8">
        <f>(Processed_Ratios!B124 / Processed_Ratios!$B$131) * 10</f>
        <v>2.433634815</v>
      </c>
      <c r="C124" s="8">
        <f>(Processed_Ratios!C124 / Processed_Ratios!$B$131) * 10</f>
        <v>2.267900292</v>
      </c>
      <c r="D124" s="8">
        <f>(Processed_Ratios!D124 / Processed_Ratios!$B$131) * 10</f>
        <v>2.01401511</v>
      </c>
      <c r="E124" s="15">
        <f>(Processed_Ratios!E124 / Processed_Ratios!$B$131) * 10</f>
        <v>1.67445832</v>
      </c>
      <c r="F124" s="15">
        <f>(Processed_Ratios!F124 / Processed_Ratios!$B$131) * 10</f>
        <v>2.643262909</v>
      </c>
      <c r="G124" s="15">
        <f>(Processed_Ratios!G124 / Processed_Ratios!$B$131) * 10</f>
        <v>3.39042371</v>
      </c>
      <c r="H124" s="15">
        <f>(Processed_Ratios!H124 / Processed_Ratios!$B$131) * 10</f>
        <v>3.074174698</v>
      </c>
      <c r="I124" s="15">
        <f>(Processed_Ratios!I124 / Processed_Ratios!$B$131) * 10</f>
        <v>3.278645136</v>
      </c>
      <c r="J124" s="15">
        <f>(Processed_Ratios!J124 / Processed_Ratios!$B$131) * 10</f>
        <v>4.058227594</v>
      </c>
      <c r="K124" s="15">
        <f>(Processed_Ratios!K124 / Processed_Ratios!$B$131) * 10</f>
        <v>3.841995644</v>
      </c>
      <c r="L124" s="15">
        <f>(Processed_Ratios!L124 / Processed_Ratios!$B$131) * 10</f>
        <v>4.058227594</v>
      </c>
      <c r="M124" s="15">
        <f>(Processed_Ratios!M124 / Processed_Ratios!$B$131) * 10</f>
        <v>3.525388703</v>
      </c>
    </row>
    <row r="125">
      <c r="A125" s="6" t="s">
        <v>25</v>
      </c>
      <c r="B125" s="8">
        <f>(Processed_Ratios!B125 / Processed_Ratios!$B$131) * 10</f>
        <v>1.869423972</v>
      </c>
      <c r="C125" s="8">
        <f>(Processed_Ratios!C125 / Processed_Ratios!$B$131) * 10</f>
        <v>1.827010973</v>
      </c>
      <c r="D125" s="8">
        <f>(Processed_Ratios!D125 / Processed_Ratios!$B$131) * 10</f>
        <v>1.652121885</v>
      </c>
      <c r="E125" s="15">
        <f>(Processed_Ratios!E125 / Processed_Ratios!$B$131) * 10</f>
        <v>1.629644525</v>
      </c>
      <c r="F125" s="15">
        <f>(Processed_Ratios!F125 / Processed_Ratios!$B$131) * 10</f>
        <v>1.444530173</v>
      </c>
      <c r="G125" s="15">
        <f>(Processed_Ratios!G125 / Processed_Ratios!$B$131) * 10</f>
        <v>1.249267622</v>
      </c>
      <c r="H125" s="15">
        <f>(Processed_Ratios!H125 / Processed_Ratios!$B$131) * 10</f>
        <v>0.8233701189</v>
      </c>
      <c r="I125" s="15">
        <f>(Processed_Ratios!I125 / Processed_Ratios!$B$131) * 10</f>
        <v>0.8233701189</v>
      </c>
      <c r="J125" s="15">
        <f>(Processed_Ratios!J125 / Processed_Ratios!$B$131) * 10</f>
        <v>0.6197347092</v>
      </c>
      <c r="K125" s="15">
        <f>(Processed_Ratios!K125 / Processed_Ratios!$B$131) * 10</f>
        <v>0.7084359657</v>
      </c>
      <c r="L125" s="15">
        <f>(Processed_Ratios!L125 / Processed_Ratios!$B$131) * 10</f>
        <v>0.8233701189</v>
      </c>
      <c r="M125" s="15">
        <f>(Processed_Ratios!M125 / Processed_Ratios!$B$131) * 10</f>
        <v>0.8515335049</v>
      </c>
    </row>
    <row r="126">
      <c r="A126" s="6" t="s">
        <v>26</v>
      </c>
      <c r="B126" s="8">
        <f>(Processed_Ratios!B126 / Processed_Ratios!$B$131) * 10</f>
        <v>0.1053076599</v>
      </c>
      <c r="C126" s="8">
        <f>(Processed_Ratios!C126 / Processed_Ratios!$B$131) * 10</f>
        <v>0.207591712</v>
      </c>
      <c r="D126" s="8">
        <f>(Processed_Ratios!D126 / Processed_Ratios!$B$131) * 10</f>
        <v>0.207591712</v>
      </c>
      <c r="E126" s="15">
        <f>(Processed_Ratios!E126 / Processed_Ratios!$B$131) * 10</f>
        <v>0.207591712</v>
      </c>
      <c r="F126" s="15">
        <f>(Processed_Ratios!F126 / Processed_Ratios!$B$131) * 10</f>
        <v>0.2410440682</v>
      </c>
      <c r="G126" s="15">
        <f>(Processed_Ratios!G126 / Processed_Ratios!$B$131) * 10</f>
        <v>0.3717981843</v>
      </c>
      <c r="H126" s="15">
        <f>(Processed_Ratios!H126 / Processed_Ratios!$B$131) * 10</f>
        <v>0.2410440682</v>
      </c>
      <c r="I126" s="15">
        <f>(Processed_Ratios!I126 / Processed_Ratios!$B$131) * 10</f>
        <v>0.3070209495</v>
      </c>
      <c r="J126" s="15">
        <f>(Processed_Ratios!J126 / Processed_Ratios!$B$131) * 10</f>
        <v>0.2410440682</v>
      </c>
      <c r="K126" s="15">
        <f>(Processed_Ratios!K126 / Processed_Ratios!$B$131) * 10</f>
        <v>0.2410440682</v>
      </c>
      <c r="L126" s="15">
        <f>(Processed_Ratios!L126 / Processed_Ratios!$B$131) * 10</f>
        <v>0.207591712</v>
      </c>
      <c r="M126" s="15">
        <f>(Processed_Ratios!M126 / Processed_Ratios!$B$131) * 10</f>
        <v>0.1053076599</v>
      </c>
    </row>
    <row r="127">
      <c r="A127" s="6" t="s">
        <v>27</v>
      </c>
      <c r="B127" s="8">
        <f>(Processed_Ratios!B127 / Processed_Ratios!$B$131) * 10</f>
        <v>3.348916641</v>
      </c>
      <c r="C127" s="8">
        <f>(Processed_Ratios!C127 / Processed_Ratios!$B$131) * 10</f>
        <v>3.118988493</v>
      </c>
      <c r="D127" s="8">
        <f>(Processed_Ratios!D127 / Processed_Ratios!$B$131) * 10</f>
        <v>1.740639476</v>
      </c>
      <c r="E127" s="15">
        <f>(Processed_Ratios!E127 / Processed_Ratios!$B$131) * 10</f>
        <v>0.207591712</v>
      </c>
      <c r="F127" s="15">
        <f>(Processed_Ratios!F127 / Processed_Ratios!$B$131) * 10</f>
        <v>1.629644525</v>
      </c>
      <c r="G127" s="15">
        <f>(Processed_Ratios!G127 / Processed_Ratios!$B$131) * 10</f>
        <v>1.069167556</v>
      </c>
      <c r="H127" s="15">
        <f>(Processed_Ratios!H127 / Processed_Ratios!$B$131) * 10</f>
        <v>1.173193918</v>
      </c>
      <c r="I127" s="15">
        <f>(Processed_Ratios!I127 / Processed_Ratios!$B$131) * 10</f>
        <v>1.015992692</v>
      </c>
      <c r="J127" s="15">
        <f>(Processed_Ratios!J127 / Processed_Ratios!$B$131) * 10</f>
        <v>1.299095704</v>
      </c>
      <c r="K127" s="15">
        <f>(Processed_Ratios!K127 / Processed_Ratios!$B$131) * 10</f>
        <v>0.1053076599</v>
      </c>
      <c r="L127" s="15">
        <f>(Processed_Ratios!L127 / Processed_Ratios!$B$131) * 10</f>
        <v>0.1053076599</v>
      </c>
      <c r="M127" s="15">
        <f>(Processed_Ratios!M127 / Processed_Ratios!$B$131) * 10</f>
        <v>0.9891046418</v>
      </c>
    </row>
    <row r="128">
      <c r="A128" s="6" t="s">
        <v>28</v>
      </c>
      <c r="B128" s="8">
        <f>(Processed_Ratios!B128 / Processed_Ratios!$B$131) * 10</f>
        <v>0.3070209495</v>
      </c>
      <c r="C128" s="8">
        <f>(Processed_Ratios!C128 / Processed_Ratios!$B$131) * 10</f>
        <v>0.4037504143</v>
      </c>
      <c r="D128" s="8">
        <f>(Processed_Ratios!D128 / Processed_Ratios!$B$131) * 10</f>
        <v>0.6197347092</v>
      </c>
      <c r="E128" s="15">
        <f>(Processed_Ratios!E128 / Processed_Ratios!$B$131) * 10</f>
        <v>0.6791135798</v>
      </c>
      <c r="F128" s="15">
        <f>(Processed_Ratios!F128 / Processed_Ratios!$B$131) * 10</f>
        <v>0.1053076599</v>
      </c>
      <c r="G128" s="15">
        <f>(Processed_Ratios!G128 / Processed_Ratios!$B$131) * 10</f>
        <v>0.4354186208</v>
      </c>
      <c r="H128" s="15">
        <f>(Processed_Ratios!H128 / Processed_Ratios!$B$131) * 10</f>
        <v>0.7663665066</v>
      </c>
      <c r="I128" s="15">
        <f>(Processed_Ratios!I128 / Processed_Ratios!$B$131) * 10</f>
        <v>0.7949823212</v>
      </c>
      <c r="J128" s="15">
        <f>(Processed_Ratios!J128 / Processed_Ratios!$B$131) * 10</f>
        <v>0.6197347092</v>
      </c>
      <c r="K128" s="15">
        <f>(Processed_Ratios!K128 / Processed_Ratios!$B$131) * 10</f>
        <v>0.2410440682</v>
      </c>
      <c r="L128" s="15">
        <f>(Processed_Ratios!L128 / Processed_Ratios!$B$131) * 10</f>
        <v>0.2741852353</v>
      </c>
      <c r="M128" s="15">
        <f>(Processed_Ratios!M128 / Processed_Ratios!$B$131) * 10</f>
        <v>1.015992692</v>
      </c>
    </row>
    <row r="129">
      <c r="A129" s="6" t="s">
        <v>29</v>
      </c>
      <c r="B129" s="8">
        <f>(Processed_Ratios!B129 / Processed_Ratios!$B$131) * 10</f>
        <v>1.015992692</v>
      </c>
      <c r="C129" s="8">
        <f>(Processed_Ratios!C129 / Processed_Ratios!$B$131) * 10</f>
        <v>0.5593493692</v>
      </c>
      <c r="D129" s="8">
        <f>(Processed_Ratios!D129 / Processed_Ratios!$B$131) * 10</f>
        <v>0.5896699757</v>
      </c>
      <c r="E129" s="15">
        <f>(Processed_Ratios!E129 / Processed_Ratios!$B$131) * 10</f>
        <v>0.6495478519</v>
      </c>
      <c r="F129" s="15">
        <f>(Processed_Ratios!F129 / Processed_Ratios!$B$131) * 10</f>
        <v>1.198732736</v>
      </c>
      <c r="G129" s="15">
        <f>(Processed_Ratios!G129 / Processed_Ratios!$B$131) * 10</f>
        <v>1.561348828</v>
      </c>
      <c r="H129" s="15">
        <f>(Processed_Ratios!H129 / Processed_Ratios!$B$131) * 10</f>
        <v>2.21089668</v>
      </c>
      <c r="I129" s="15">
        <f>(Processed_Ratios!I129 / Processed_Ratios!$B$131) * 10</f>
        <v>1.911337982</v>
      </c>
      <c r="J129" s="15">
        <f>(Processed_Ratios!J129 / Processed_Ratios!$B$131) * 10</f>
        <v>0.9620121176</v>
      </c>
      <c r="K129" s="15">
        <f>(Processed_Ratios!K129 / Processed_Ratios!$B$131) * 10</f>
        <v>1.042679332</v>
      </c>
      <c r="L129" s="15">
        <f>(Processed_Ratios!L129 / Processed_Ratios!$B$131) * 10</f>
        <v>1.198732736</v>
      </c>
      <c r="M129" s="15">
        <f>(Processed_Ratios!M129 / Processed_Ratios!$B$131) * 10</f>
        <v>1.22408978</v>
      </c>
    </row>
    <row r="131">
      <c r="A131" s="22"/>
      <c r="B131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7" max="7" width="14.63"/>
    <col customWidth="1" min="8" max="8" width="17.88"/>
    <col customWidth="1" min="10" max="10" width="42.0"/>
  </cols>
  <sheetData>
    <row r="1">
      <c r="A1" s="26" t="s">
        <v>0</v>
      </c>
    </row>
    <row r="2">
      <c r="A2" s="27" t="s">
        <v>59</v>
      </c>
    </row>
    <row r="3">
      <c r="A3" s="27" t="s">
        <v>60</v>
      </c>
      <c r="B3" s="27" t="s">
        <v>61</v>
      </c>
      <c r="C3" s="25">
        <f>_xlfn.PERCENTILE.INC(Fuzzy_Inputs_10!$E$2:$M$30, 0.2)</f>
        <v>0.5495121079</v>
      </c>
    </row>
    <row r="4">
      <c r="A4" s="27" t="s">
        <v>62</v>
      </c>
      <c r="B4" s="27" t="s">
        <v>63</v>
      </c>
      <c r="C4" s="25">
        <f>_xlfn.PERCENTILE.INC(Fuzzy_Inputs_10!$E$2:$M$30, 0.4)</f>
        <v>1.028067798</v>
      </c>
    </row>
    <row r="5">
      <c r="A5" s="27" t="s">
        <v>64</v>
      </c>
      <c r="B5" s="27" t="s">
        <v>65</v>
      </c>
      <c r="C5" s="25">
        <f>_xlfn.PERCENTILE.INC(Fuzzy_Inputs_10!$E$2:$M$30, 0.6)</f>
        <v>2.11748889</v>
      </c>
    </row>
    <row r="6">
      <c r="A6" s="27" t="s">
        <v>66</v>
      </c>
      <c r="B6" s="27" t="s">
        <v>67</v>
      </c>
      <c r="C6" s="25">
        <f>_xlfn.PERCENTILE.INC(Fuzzy_Inputs_10!$E$2:$M$30, 0.8)</f>
        <v>4.012505402</v>
      </c>
    </row>
    <row r="9">
      <c r="A9" s="26" t="s">
        <v>31</v>
      </c>
    </row>
    <row r="10">
      <c r="A10" s="27" t="s">
        <v>59</v>
      </c>
    </row>
    <row r="11">
      <c r="A11" s="27" t="s">
        <v>60</v>
      </c>
      <c r="B11" s="27" t="s">
        <v>61</v>
      </c>
      <c r="C11" s="25">
        <f>_xlfn.PERCENTILE.INC(Fuzzy_Inputs_10!$E$35:$M$63, 0.2)</f>
        <v>0.392130119</v>
      </c>
    </row>
    <row r="12">
      <c r="A12" s="27" t="s">
        <v>62</v>
      </c>
      <c r="B12" s="27" t="s">
        <v>63</v>
      </c>
      <c r="C12" s="25">
        <f>_xlfn.PERCENTILE.INC(Fuzzy_Inputs_10!$E$35:$M$63, 0.4)</f>
        <v>1.689001034</v>
      </c>
    </row>
    <row r="13">
      <c r="A13" s="27" t="s">
        <v>64</v>
      </c>
      <c r="B13" s="27" t="s">
        <v>65</v>
      </c>
      <c r="C13" s="25">
        <f>_xlfn.PERCENTILE.INC(Fuzzy_Inputs_10!$E$35:$M$63, 0.6)</f>
        <v>2.79605824</v>
      </c>
    </row>
    <row r="14">
      <c r="A14" s="27" t="s">
        <v>66</v>
      </c>
      <c r="B14" s="27" t="s">
        <v>67</v>
      </c>
      <c r="C14" s="25">
        <f>_xlfn.PERCENTILE.INC(Fuzzy_Inputs_10!$E$35:$M$63, 0.8)</f>
        <v>4.820358941</v>
      </c>
    </row>
    <row r="17">
      <c r="A17" s="26" t="s">
        <v>44</v>
      </c>
    </row>
    <row r="18">
      <c r="A18" s="27" t="s">
        <v>59</v>
      </c>
    </row>
    <row r="19">
      <c r="A19" s="27" t="s">
        <v>60</v>
      </c>
      <c r="B19" s="27" t="s">
        <v>61</v>
      </c>
      <c r="C19" s="25">
        <f>_xlfn.PERCENTILE.INC(Fuzzy_Inputs_10!$E$68:$M$96, 0.2)</f>
        <v>1.8282852</v>
      </c>
    </row>
    <row r="20">
      <c r="A20" s="27" t="s">
        <v>62</v>
      </c>
      <c r="B20" s="27" t="s">
        <v>63</v>
      </c>
      <c r="C20" s="25">
        <f>_xlfn.PERCENTILE.INC(Fuzzy_Inputs_10!$E$68:$M$96, 0.4)</f>
        <v>3.371683494</v>
      </c>
    </row>
    <row r="21">
      <c r="A21" s="27" t="s">
        <v>64</v>
      </c>
      <c r="B21" s="27" t="s">
        <v>65</v>
      </c>
      <c r="C21" s="25">
        <f>_xlfn.PERCENTILE.INC(Fuzzy_Inputs_10!$E$68:$M$96, 0.6)</f>
        <v>4.896298036</v>
      </c>
    </row>
    <row r="22">
      <c r="A22" s="27" t="s">
        <v>66</v>
      </c>
      <c r="B22" s="27" t="s">
        <v>67</v>
      </c>
      <c r="C22" s="25">
        <f>_xlfn.PERCENTILE.INC(Fuzzy_Inputs_10!$E$68:$M$96, 0.8)</f>
        <v>6.821632621</v>
      </c>
    </row>
    <row r="25">
      <c r="A25" s="26" t="s">
        <v>57</v>
      </c>
    </row>
    <row r="26">
      <c r="A26" s="27" t="s">
        <v>59</v>
      </c>
    </row>
    <row r="27">
      <c r="A27" s="27" t="s">
        <v>60</v>
      </c>
      <c r="B27" s="27" t="s">
        <v>61</v>
      </c>
      <c r="C27" s="25">
        <f>_xlfn.PERCENTILE.INC(Fuzzy_Inputs_10!$E$101:$M$129, 0.2)</f>
        <v>0.8233701189</v>
      </c>
    </row>
    <row r="28">
      <c r="A28" s="27" t="s">
        <v>62</v>
      </c>
      <c r="B28" s="27" t="s">
        <v>63</v>
      </c>
      <c r="C28" s="25">
        <f>_xlfn.PERCENTILE.INC(Fuzzy_Inputs_10!$E$101:$M$129, 0.4)</f>
        <v>1.740639476</v>
      </c>
    </row>
    <row r="29">
      <c r="A29" s="27" t="s">
        <v>64</v>
      </c>
      <c r="B29" s="27" t="s">
        <v>65</v>
      </c>
      <c r="C29" s="25">
        <f>_xlfn.PERCENTILE.INC(Fuzzy_Inputs_10!$E$101:$M$129, 0.6)</f>
        <v>3.163245581</v>
      </c>
    </row>
    <row r="30">
      <c r="A30" s="27" t="s">
        <v>66</v>
      </c>
      <c r="B30" s="27" t="s">
        <v>67</v>
      </c>
      <c r="C30" s="25">
        <f>_xlfn.PERCENTILE.INC(Fuzzy_Inputs_10!$E$101:$M$129, 0.8)</f>
        <v>5.748085778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1.0"/>
    <col customWidth="1" min="4" max="4" width="40.88"/>
  </cols>
  <sheetData>
    <row r="1">
      <c r="A1" s="28" t="s">
        <v>68</v>
      </c>
      <c r="B1" s="29" t="s">
        <v>69</v>
      </c>
      <c r="C1" s="29" t="s">
        <v>70</v>
      </c>
      <c r="D1" s="30"/>
    </row>
    <row r="2">
      <c r="A2" s="31" t="s">
        <v>71</v>
      </c>
      <c r="B2" s="32" t="s">
        <v>72</v>
      </c>
      <c r="C2" s="33" t="s">
        <v>73</v>
      </c>
      <c r="D2" s="34"/>
    </row>
    <row r="3">
      <c r="A3" s="35"/>
      <c r="B3" s="6" t="s">
        <v>74</v>
      </c>
      <c r="C3" s="36" t="s">
        <v>75</v>
      </c>
      <c r="D3" s="34"/>
    </row>
    <row r="4">
      <c r="A4" s="35"/>
      <c r="B4" s="6" t="s">
        <v>76</v>
      </c>
      <c r="C4" s="36" t="s">
        <v>77</v>
      </c>
      <c r="D4" s="34"/>
    </row>
    <row r="5">
      <c r="A5" s="37" t="s">
        <v>78</v>
      </c>
      <c r="B5" s="38" t="s">
        <v>72</v>
      </c>
      <c r="C5" s="39" t="s">
        <v>79</v>
      </c>
      <c r="D5" s="34"/>
    </row>
    <row r="6">
      <c r="A6" s="35"/>
      <c r="B6" s="6" t="s">
        <v>74</v>
      </c>
      <c r="C6" s="40" t="s">
        <v>80</v>
      </c>
      <c r="D6" s="34"/>
    </row>
    <row r="7">
      <c r="A7" s="35"/>
      <c r="B7" s="6" t="s">
        <v>76</v>
      </c>
      <c r="C7" s="40" t="s">
        <v>81</v>
      </c>
      <c r="D7" s="34"/>
    </row>
    <row r="8">
      <c r="A8" s="41" t="s">
        <v>82</v>
      </c>
      <c r="B8" s="42" t="s">
        <v>72</v>
      </c>
      <c r="C8" s="43" t="s">
        <v>83</v>
      </c>
      <c r="D8" s="34"/>
    </row>
    <row r="9">
      <c r="A9" s="35"/>
      <c r="B9" s="6" t="s">
        <v>74</v>
      </c>
      <c r="C9" s="44" t="s">
        <v>84</v>
      </c>
      <c r="D9" s="34"/>
    </row>
    <row r="10">
      <c r="A10" s="45"/>
      <c r="B10" s="46" t="s">
        <v>76</v>
      </c>
      <c r="C10" s="47" t="s">
        <v>85</v>
      </c>
      <c r="D10" s="34"/>
    </row>
    <row r="11">
      <c r="A11" s="35" t="s">
        <v>86</v>
      </c>
      <c r="B11" s="6" t="s">
        <v>72</v>
      </c>
      <c r="C11" s="6" t="s">
        <v>87</v>
      </c>
      <c r="D11" s="34"/>
    </row>
    <row r="12">
      <c r="A12" s="35"/>
      <c r="B12" s="6" t="s">
        <v>74</v>
      </c>
      <c r="C12" s="6" t="s">
        <v>88</v>
      </c>
      <c r="D12" s="34"/>
    </row>
    <row r="13">
      <c r="A13" s="48"/>
      <c r="B13" s="49" t="s">
        <v>76</v>
      </c>
      <c r="C13" s="49" t="s">
        <v>89</v>
      </c>
      <c r="D13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27" t="s">
        <v>90</v>
      </c>
      <c r="B1" s="27" t="s">
        <v>91</v>
      </c>
      <c r="C1" s="27" t="s">
        <v>92</v>
      </c>
      <c r="D1" s="27" t="s">
        <v>93</v>
      </c>
      <c r="E1" s="27" t="s">
        <v>94</v>
      </c>
      <c r="F1" s="27" t="s">
        <v>95</v>
      </c>
      <c r="G1" s="27" t="s">
        <v>96</v>
      </c>
      <c r="H1" s="27" t="s">
        <v>97</v>
      </c>
      <c r="I1" s="27" t="s">
        <v>98</v>
      </c>
      <c r="J1" s="27" t="s">
        <v>99</v>
      </c>
      <c r="K1" s="27" t="s">
        <v>100</v>
      </c>
      <c r="L1" s="27" t="s">
        <v>101</v>
      </c>
      <c r="M1" s="27" t="s">
        <v>102</v>
      </c>
      <c r="N1" s="27" t="s">
        <v>103</v>
      </c>
    </row>
    <row r="2">
      <c r="A2" s="6" t="s">
        <v>1</v>
      </c>
      <c r="B2" s="27">
        <v>2022.0</v>
      </c>
      <c r="C2" s="25">
        <f>MAX(MIN(1, (Fuzzy_Parameters!$C$4 - Fuzzy_Inputs_10!E2)/(Fuzzy_Parameters!$C$4 - Fuzzy_Parameters!$C$3)), 0)</f>
        <v>0</v>
      </c>
    </row>
    <row r="3">
      <c r="A3" s="6" t="s">
        <v>1</v>
      </c>
      <c r="B3" s="27">
        <v>2021.0</v>
      </c>
      <c r="C3" s="25">
        <f>MAX(MIN(1, (Fuzzy_Parameters!$C$4 - Fuzzy_Inputs_10!F2)/(Fuzzy_Parameters!$C$4 - Fuzzy_Parameters!$C$3)), 0)</f>
        <v>0</v>
      </c>
    </row>
    <row r="4">
      <c r="A4" s="6" t="s">
        <v>1</v>
      </c>
      <c r="B4" s="27">
        <v>2020.0</v>
      </c>
      <c r="C4" s="25">
        <f>MAX(MIN(1, (Fuzzy_Parameters!$C$4 - Fuzzy_Inputs_10!G2)/(Fuzzy_Parameters!$C$4 - Fuzzy_Parameters!$C$3)), 0)</f>
        <v>0.1025641026</v>
      </c>
    </row>
    <row r="5">
      <c r="A5" s="6" t="s">
        <v>1</v>
      </c>
      <c r="B5" s="27">
        <v>2019.0</v>
      </c>
      <c r="C5" s="25">
        <f>MAX(MIN(1, (Fuzzy_Parameters!$C$4 - Fuzzy_Inputs_10!H2)/(Fuzzy_Parameters!$C$4 - Fuzzy_Parameters!$C$3)), 0)</f>
        <v>0</v>
      </c>
    </row>
    <row r="6">
      <c r="A6" s="6" t="s">
        <v>1</v>
      </c>
      <c r="B6" s="27">
        <v>2018.0</v>
      </c>
      <c r="C6" s="25">
        <f>MAX(MIN(1, (Fuzzy_Parameters!$C$4 - Fuzzy_Inputs_10!I2)/(Fuzzy_Parameters!$C$4 - Fuzzy_Parameters!$C$3)), 0)</f>
        <v>0.1705685619</v>
      </c>
    </row>
    <row r="7">
      <c r="A7" s="6" t="s">
        <v>1</v>
      </c>
      <c r="B7" s="27">
        <v>2017.0</v>
      </c>
      <c r="C7" s="25">
        <f>MAX(MIN(1, (Fuzzy_Parameters!$C$4 - Fuzzy_Inputs_10!J2)/(Fuzzy_Parameters!$C$4 - Fuzzy_Parameters!$C$3)), 0)</f>
        <v>0.04236343367</v>
      </c>
    </row>
    <row r="8">
      <c r="A8" s="6" t="s">
        <v>1</v>
      </c>
      <c r="B8" s="27">
        <v>2016.0</v>
      </c>
      <c r="C8" s="25">
        <f>MAX(MIN(1, (Fuzzy_Parameters!$C$4 - Fuzzy_Inputs_10!K2)/(Fuzzy_Parameters!$C$4 - Fuzzy_Parameters!$C$3)), 0)</f>
        <v>0.5886287625</v>
      </c>
    </row>
    <row r="9">
      <c r="A9" s="6" t="s">
        <v>1</v>
      </c>
      <c r="B9" s="27">
        <v>2015.0</v>
      </c>
      <c r="C9" s="25">
        <f>MAX(MIN(1, (Fuzzy_Parameters!$C$4 - Fuzzy_Inputs_10!L2)/(Fuzzy_Parameters!$C$4 - Fuzzy_Parameters!$C$3)), 0)</f>
        <v>0.9018952062</v>
      </c>
    </row>
    <row r="10">
      <c r="A10" s="51" t="s">
        <v>1</v>
      </c>
      <c r="B10" s="52">
        <v>2014.0</v>
      </c>
      <c r="C10" s="53">
        <f>MAX(MIN(1, (Fuzzy_Parameters!$C$4 - Fuzzy_Inputs_10!M2)/(Fuzzy_Parameters!$C$4 - Fuzzy_Parameters!$C$3)), 0)</f>
        <v>1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>
      <c r="A11" s="6" t="s">
        <v>2</v>
      </c>
      <c r="B11" s="27">
        <v>2022.0</v>
      </c>
      <c r="C11" s="25">
        <f>MAX(MIN(1, (Fuzzy_Parameters!$C$4 - Fuzzy_Inputs_10!E3)/(Fuzzy_Parameters!$C$4 - Fuzzy_Parameters!$C$3)), 0)</f>
        <v>0</v>
      </c>
    </row>
    <row r="12">
      <c r="A12" s="6" t="s">
        <v>2</v>
      </c>
      <c r="B12" s="27">
        <v>2021.0</v>
      </c>
      <c r="C12" s="25">
        <f>MAX(MIN(1, (Fuzzy_Parameters!$C$4 - Fuzzy_Inputs_10!F3)/(Fuzzy_Parameters!$C$4 - Fuzzy_Parameters!$C$3)), 0)</f>
        <v>0</v>
      </c>
    </row>
    <row r="13">
      <c r="A13" s="6" t="s">
        <v>2</v>
      </c>
      <c r="B13" s="27">
        <v>2020.0</v>
      </c>
      <c r="C13" s="25">
        <f>MAX(MIN(1, (Fuzzy_Parameters!$C$4 - Fuzzy_Inputs_10!G3)/(Fuzzy_Parameters!$C$4 - Fuzzy_Parameters!$C$3)), 0)</f>
        <v>0</v>
      </c>
    </row>
    <row r="14">
      <c r="A14" s="6" t="s">
        <v>2</v>
      </c>
      <c r="B14" s="27">
        <v>2019.0</v>
      </c>
      <c r="C14" s="25">
        <f>MAX(MIN(1, (Fuzzy_Parameters!$C$4 - Fuzzy_Inputs_10!H3)/(Fuzzy_Parameters!$C$4 - Fuzzy_Parameters!$C$3)), 0)</f>
        <v>0</v>
      </c>
    </row>
    <row r="15">
      <c r="A15" s="6" t="s">
        <v>2</v>
      </c>
      <c r="B15" s="27">
        <v>2018.0</v>
      </c>
      <c r="C15" s="25">
        <f>MAX(MIN(1, (Fuzzy_Parameters!$C$4 - Fuzzy_Inputs_10!I3)/(Fuzzy_Parameters!$C$4 - Fuzzy_Parameters!$C$3)), 0)</f>
        <v>0</v>
      </c>
    </row>
    <row r="16">
      <c r="A16" s="6" t="s">
        <v>2</v>
      </c>
      <c r="B16" s="27">
        <v>2017.0</v>
      </c>
      <c r="C16" s="25">
        <f>MAX(MIN(1, (Fuzzy_Parameters!$C$4 - Fuzzy_Inputs_10!J3)/(Fuzzy_Parameters!$C$4 - Fuzzy_Parameters!$C$3)), 0)</f>
        <v>0</v>
      </c>
    </row>
    <row r="17">
      <c r="A17" s="6" t="s">
        <v>2</v>
      </c>
      <c r="B17" s="27">
        <v>2016.0</v>
      </c>
      <c r="C17" s="25">
        <f>MAX(MIN(1, (Fuzzy_Parameters!$C$4 - Fuzzy_Inputs_10!K3)/(Fuzzy_Parameters!$C$4 - Fuzzy_Parameters!$C$3)), 0)</f>
        <v>0.1204013378</v>
      </c>
    </row>
    <row r="18">
      <c r="A18" s="6" t="s">
        <v>2</v>
      </c>
      <c r="B18" s="27">
        <v>2015.0</v>
      </c>
      <c r="C18" s="25">
        <f>MAX(MIN(1, (Fuzzy_Parameters!$C$4 - Fuzzy_Inputs_10!L3)/(Fuzzy_Parameters!$C$4 - Fuzzy_Parameters!$C$3)), 0)</f>
        <v>0.5273132664</v>
      </c>
    </row>
    <row r="19">
      <c r="A19" s="51" t="s">
        <v>2</v>
      </c>
      <c r="B19" s="52">
        <v>2014.0</v>
      </c>
      <c r="C19" s="53">
        <f>MAX(MIN(1, (Fuzzy_Parameters!$C$4 - Fuzzy_Inputs_10!M3)/(Fuzzy_Parameters!$C$4 - Fuzzy_Parameters!$C$3)), 0)</f>
        <v>0.7313266444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</row>
    <row r="20">
      <c r="A20" s="6" t="s">
        <v>3</v>
      </c>
      <c r="B20" s="27">
        <v>2022.0</v>
      </c>
    </row>
    <row r="21">
      <c r="A21" s="6" t="s">
        <v>3</v>
      </c>
      <c r="B21" s="27">
        <v>2021.0</v>
      </c>
    </row>
    <row r="22">
      <c r="A22" s="6" t="s">
        <v>3</v>
      </c>
      <c r="B22" s="27">
        <v>2020.0</v>
      </c>
    </row>
    <row r="23">
      <c r="A23" s="6" t="s">
        <v>3</v>
      </c>
      <c r="B23" s="27">
        <v>2019.0</v>
      </c>
    </row>
    <row r="24">
      <c r="A24" s="6" t="s">
        <v>3</v>
      </c>
      <c r="B24" s="27">
        <v>2018.0</v>
      </c>
    </row>
    <row r="25">
      <c r="A25" s="6" t="s">
        <v>3</v>
      </c>
      <c r="B25" s="27">
        <v>2017.0</v>
      </c>
    </row>
    <row r="26">
      <c r="A26" s="6" t="s">
        <v>3</v>
      </c>
      <c r="B26" s="27">
        <v>2016.0</v>
      </c>
    </row>
    <row r="27">
      <c r="A27" s="6" t="s">
        <v>3</v>
      </c>
      <c r="B27" s="27">
        <v>2015.0</v>
      </c>
    </row>
    <row r="28">
      <c r="A28" s="51" t="s">
        <v>3</v>
      </c>
      <c r="B28" s="52">
        <v>2014.0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>
      <c r="A29" s="6" t="s">
        <v>4</v>
      </c>
      <c r="B29" s="27">
        <v>2022.0</v>
      </c>
    </row>
    <row r="30">
      <c r="A30" s="6" t="s">
        <v>4</v>
      </c>
      <c r="B30" s="27">
        <v>2021.0</v>
      </c>
    </row>
    <row r="31">
      <c r="A31" s="6" t="s">
        <v>4</v>
      </c>
      <c r="B31" s="27">
        <v>2020.0</v>
      </c>
    </row>
    <row r="32">
      <c r="A32" s="6" t="s">
        <v>4</v>
      </c>
      <c r="B32" s="27">
        <v>2019.0</v>
      </c>
    </row>
    <row r="33">
      <c r="A33" s="6" t="s">
        <v>4</v>
      </c>
      <c r="B33" s="27">
        <v>2018.0</v>
      </c>
    </row>
    <row r="34">
      <c r="A34" s="6" t="s">
        <v>4</v>
      </c>
      <c r="B34" s="27">
        <v>2017.0</v>
      </c>
    </row>
    <row r="35">
      <c r="A35" s="6" t="s">
        <v>4</v>
      </c>
      <c r="B35" s="27">
        <v>2016.0</v>
      </c>
    </row>
    <row r="36">
      <c r="A36" s="6" t="s">
        <v>4</v>
      </c>
      <c r="B36" s="27">
        <v>2015.0</v>
      </c>
    </row>
    <row r="37">
      <c r="A37" s="51" t="s">
        <v>4</v>
      </c>
      <c r="B37" s="52">
        <v>2014.0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>
      <c r="A38" s="6" t="s">
        <v>5</v>
      </c>
      <c r="B38" s="27">
        <v>2022.0</v>
      </c>
    </row>
    <row r="39">
      <c r="A39" s="6" t="s">
        <v>5</v>
      </c>
      <c r="B39" s="27">
        <v>2021.0</v>
      </c>
    </row>
    <row r="40">
      <c r="A40" s="6" t="s">
        <v>5</v>
      </c>
      <c r="B40" s="27">
        <v>2020.0</v>
      </c>
    </row>
    <row r="41">
      <c r="A41" s="6" t="s">
        <v>5</v>
      </c>
      <c r="B41" s="27">
        <v>2019.0</v>
      </c>
    </row>
    <row r="42">
      <c r="A42" s="6" t="s">
        <v>5</v>
      </c>
      <c r="B42" s="27">
        <v>2018.0</v>
      </c>
    </row>
    <row r="43">
      <c r="A43" s="6" t="s">
        <v>5</v>
      </c>
      <c r="B43" s="27">
        <v>2017.0</v>
      </c>
    </row>
    <row r="44">
      <c r="A44" s="6" t="s">
        <v>5</v>
      </c>
      <c r="B44" s="27">
        <v>2016.0</v>
      </c>
    </row>
    <row r="45">
      <c r="A45" s="6" t="s">
        <v>5</v>
      </c>
      <c r="B45" s="27">
        <v>2015.0</v>
      </c>
    </row>
    <row r="46">
      <c r="A46" s="51" t="s">
        <v>5</v>
      </c>
      <c r="B46" s="52">
        <v>2014.0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</row>
    <row r="47">
      <c r="A47" s="6" t="s">
        <v>6</v>
      </c>
      <c r="B47" s="27">
        <v>2022.0</v>
      </c>
    </row>
    <row r="48">
      <c r="A48" s="6" t="s">
        <v>6</v>
      </c>
      <c r="B48" s="27">
        <v>2021.0</v>
      </c>
    </row>
    <row r="49">
      <c r="A49" s="6" t="s">
        <v>6</v>
      </c>
      <c r="B49" s="27">
        <v>2020.0</v>
      </c>
    </row>
    <row r="50">
      <c r="A50" s="6" t="s">
        <v>6</v>
      </c>
      <c r="B50" s="27">
        <v>2019.0</v>
      </c>
    </row>
    <row r="51">
      <c r="A51" s="6" t="s">
        <v>6</v>
      </c>
      <c r="B51" s="27">
        <v>2018.0</v>
      </c>
    </row>
    <row r="52">
      <c r="A52" s="6" t="s">
        <v>6</v>
      </c>
      <c r="B52" s="27">
        <v>2017.0</v>
      </c>
    </row>
    <row r="53">
      <c r="A53" s="6" t="s">
        <v>6</v>
      </c>
      <c r="B53" s="27">
        <v>2016.0</v>
      </c>
    </row>
    <row r="54">
      <c r="A54" s="6" t="s">
        <v>6</v>
      </c>
      <c r="B54" s="27">
        <v>2015.0</v>
      </c>
    </row>
    <row r="55">
      <c r="A55" s="51" t="s">
        <v>6</v>
      </c>
      <c r="B55" s="52">
        <v>2014.0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>
      <c r="A56" s="6" t="s">
        <v>7</v>
      </c>
      <c r="B56" s="27">
        <v>2022.0</v>
      </c>
    </row>
    <row r="57">
      <c r="A57" s="6" t="s">
        <v>7</v>
      </c>
      <c r="B57" s="27">
        <v>2021.0</v>
      </c>
    </row>
    <row r="58">
      <c r="A58" s="6" t="s">
        <v>7</v>
      </c>
      <c r="B58" s="27">
        <v>2020.0</v>
      </c>
    </row>
    <row r="59">
      <c r="A59" s="6" t="s">
        <v>7</v>
      </c>
      <c r="B59" s="27">
        <v>2019.0</v>
      </c>
    </row>
    <row r="60">
      <c r="A60" s="6" t="s">
        <v>7</v>
      </c>
      <c r="B60" s="27">
        <v>2018.0</v>
      </c>
    </row>
    <row r="61">
      <c r="A61" s="6" t="s">
        <v>7</v>
      </c>
      <c r="B61" s="27">
        <v>2017.0</v>
      </c>
    </row>
    <row r="62">
      <c r="A62" s="6" t="s">
        <v>7</v>
      </c>
      <c r="B62" s="27">
        <v>2016.0</v>
      </c>
    </row>
    <row r="63">
      <c r="A63" s="6" t="s">
        <v>7</v>
      </c>
      <c r="B63" s="27">
        <v>2015.0</v>
      </c>
    </row>
    <row r="64">
      <c r="A64" s="51" t="s">
        <v>7</v>
      </c>
      <c r="B64" s="52">
        <v>2014.0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</row>
    <row r="65">
      <c r="A65" s="6" t="s">
        <v>8</v>
      </c>
      <c r="B65" s="27">
        <v>2022.0</v>
      </c>
    </row>
    <row r="66">
      <c r="A66" s="6" t="s">
        <v>8</v>
      </c>
      <c r="B66" s="27">
        <v>2021.0</v>
      </c>
    </row>
    <row r="67">
      <c r="A67" s="6" t="s">
        <v>8</v>
      </c>
      <c r="B67" s="27">
        <v>2020.0</v>
      </c>
    </row>
    <row r="68">
      <c r="A68" s="6" t="s">
        <v>8</v>
      </c>
      <c r="B68" s="27">
        <v>2019.0</v>
      </c>
    </row>
    <row r="69">
      <c r="A69" s="6" t="s">
        <v>8</v>
      </c>
      <c r="B69" s="27">
        <v>2018.0</v>
      </c>
    </row>
    <row r="70">
      <c r="A70" s="6" t="s">
        <v>8</v>
      </c>
      <c r="B70" s="27">
        <v>2017.0</v>
      </c>
    </row>
    <row r="71">
      <c r="A71" s="6" t="s">
        <v>8</v>
      </c>
      <c r="B71" s="27">
        <v>2016.0</v>
      </c>
    </row>
    <row r="72">
      <c r="A72" s="6" t="s">
        <v>8</v>
      </c>
      <c r="B72" s="27">
        <v>2015.0</v>
      </c>
    </row>
    <row r="73">
      <c r="A73" s="51" t="s">
        <v>8</v>
      </c>
      <c r="B73" s="52">
        <v>2014.0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</row>
    <row r="74">
      <c r="A74" s="6" t="s">
        <v>9</v>
      </c>
      <c r="B74" s="27">
        <v>2022.0</v>
      </c>
    </row>
    <row r="75">
      <c r="A75" s="6" t="s">
        <v>9</v>
      </c>
      <c r="B75" s="27">
        <v>2021.0</v>
      </c>
    </row>
    <row r="76">
      <c r="A76" s="6" t="s">
        <v>9</v>
      </c>
      <c r="B76" s="27">
        <v>2020.0</v>
      </c>
    </row>
    <row r="77">
      <c r="A77" s="6" t="s">
        <v>9</v>
      </c>
      <c r="B77" s="27">
        <v>2019.0</v>
      </c>
    </row>
    <row r="78">
      <c r="A78" s="6" t="s">
        <v>9</v>
      </c>
      <c r="B78" s="27">
        <v>2018.0</v>
      </c>
    </row>
    <row r="79">
      <c r="A79" s="6" t="s">
        <v>9</v>
      </c>
      <c r="B79" s="27">
        <v>2017.0</v>
      </c>
    </row>
    <row r="80">
      <c r="A80" s="6" t="s">
        <v>9</v>
      </c>
      <c r="B80" s="27">
        <v>2016.0</v>
      </c>
    </row>
    <row r="81">
      <c r="A81" s="6" t="s">
        <v>9</v>
      </c>
      <c r="B81" s="27">
        <v>2015.0</v>
      </c>
    </row>
    <row r="82">
      <c r="A82" s="51" t="s">
        <v>9</v>
      </c>
      <c r="B82" s="52">
        <v>2014.0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>
      <c r="A83" s="6" t="s">
        <v>10</v>
      </c>
      <c r="B83" s="27">
        <v>2022.0</v>
      </c>
    </row>
    <row r="84">
      <c r="A84" s="6" t="s">
        <v>10</v>
      </c>
      <c r="B84" s="27">
        <v>2021.0</v>
      </c>
    </row>
    <row r="85">
      <c r="A85" s="6" t="s">
        <v>10</v>
      </c>
      <c r="B85" s="27">
        <v>2020.0</v>
      </c>
    </row>
    <row r="86">
      <c r="A86" s="6" t="s">
        <v>10</v>
      </c>
      <c r="B86" s="27">
        <v>2019.0</v>
      </c>
    </row>
    <row r="87">
      <c r="A87" s="6" t="s">
        <v>10</v>
      </c>
      <c r="B87" s="27">
        <v>2018.0</v>
      </c>
    </row>
    <row r="88">
      <c r="A88" s="6" t="s">
        <v>10</v>
      </c>
      <c r="B88" s="27">
        <v>2017.0</v>
      </c>
    </row>
    <row r="89">
      <c r="A89" s="6" t="s">
        <v>10</v>
      </c>
      <c r="B89" s="27">
        <v>2016.0</v>
      </c>
    </row>
    <row r="90">
      <c r="A90" s="6" t="s">
        <v>10</v>
      </c>
      <c r="B90" s="27">
        <v>2015.0</v>
      </c>
    </row>
    <row r="91">
      <c r="A91" s="51" t="s">
        <v>10</v>
      </c>
      <c r="B91" s="52">
        <v>2014.0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</row>
    <row r="92">
      <c r="A92" s="6" t="s">
        <v>11</v>
      </c>
      <c r="B92" s="27">
        <v>2022.0</v>
      </c>
    </row>
    <row r="93">
      <c r="A93" s="6" t="s">
        <v>11</v>
      </c>
      <c r="B93" s="27">
        <v>2021.0</v>
      </c>
    </row>
    <row r="94">
      <c r="A94" s="6" t="s">
        <v>11</v>
      </c>
      <c r="B94" s="27">
        <v>2020.0</v>
      </c>
    </row>
    <row r="95">
      <c r="A95" s="6" t="s">
        <v>11</v>
      </c>
      <c r="B95" s="27">
        <v>2019.0</v>
      </c>
    </row>
    <row r="96">
      <c r="A96" s="6" t="s">
        <v>11</v>
      </c>
      <c r="B96" s="27">
        <v>2018.0</v>
      </c>
    </row>
    <row r="97">
      <c r="A97" s="6" t="s">
        <v>11</v>
      </c>
      <c r="B97" s="27">
        <v>2017.0</v>
      </c>
    </row>
    <row r="98">
      <c r="A98" s="6" t="s">
        <v>11</v>
      </c>
      <c r="B98" s="27">
        <v>2016.0</v>
      </c>
    </row>
    <row r="99">
      <c r="A99" s="6" t="s">
        <v>11</v>
      </c>
      <c r="B99" s="27">
        <v>2015.0</v>
      </c>
    </row>
    <row r="100">
      <c r="A100" s="51" t="s">
        <v>11</v>
      </c>
      <c r="B100" s="52">
        <v>2014.0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</row>
    <row r="101">
      <c r="A101" s="6" t="s">
        <v>12</v>
      </c>
      <c r="B101" s="27">
        <v>2022.0</v>
      </c>
    </row>
    <row r="102">
      <c r="A102" s="6" t="s">
        <v>12</v>
      </c>
      <c r="B102" s="27">
        <v>2021.0</v>
      </c>
    </row>
    <row r="103">
      <c r="A103" s="6" t="s">
        <v>12</v>
      </c>
      <c r="B103" s="27">
        <v>2020.0</v>
      </c>
    </row>
    <row r="104">
      <c r="A104" s="6" t="s">
        <v>12</v>
      </c>
      <c r="B104" s="27">
        <v>2019.0</v>
      </c>
    </row>
    <row r="105">
      <c r="A105" s="6" t="s">
        <v>12</v>
      </c>
      <c r="B105" s="27">
        <v>2018.0</v>
      </c>
    </row>
    <row r="106">
      <c r="A106" s="6" t="s">
        <v>12</v>
      </c>
      <c r="B106" s="27">
        <v>2017.0</v>
      </c>
    </row>
    <row r="107">
      <c r="A107" s="6" t="s">
        <v>12</v>
      </c>
      <c r="B107" s="27">
        <v>2016.0</v>
      </c>
    </row>
    <row r="108">
      <c r="A108" s="6" t="s">
        <v>12</v>
      </c>
      <c r="B108" s="27">
        <v>2015.0</v>
      </c>
    </row>
    <row r="109">
      <c r="A109" s="51" t="s">
        <v>12</v>
      </c>
      <c r="B109" s="52">
        <v>2014.0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</row>
    <row r="110">
      <c r="A110" s="6" t="s">
        <v>13</v>
      </c>
      <c r="B110" s="27">
        <v>2022.0</v>
      </c>
    </row>
    <row r="111">
      <c r="A111" s="6" t="s">
        <v>13</v>
      </c>
      <c r="B111" s="27">
        <v>2021.0</v>
      </c>
    </row>
    <row r="112">
      <c r="A112" s="6" t="s">
        <v>13</v>
      </c>
      <c r="B112" s="27">
        <v>2020.0</v>
      </c>
    </row>
    <row r="113">
      <c r="A113" s="6" t="s">
        <v>13</v>
      </c>
      <c r="B113" s="27">
        <v>2019.0</v>
      </c>
    </row>
    <row r="114">
      <c r="A114" s="6" t="s">
        <v>13</v>
      </c>
      <c r="B114" s="27">
        <v>2018.0</v>
      </c>
    </row>
    <row r="115">
      <c r="A115" s="6" t="s">
        <v>13</v>
      </c>
      <c r="B115" s="27">
        <v>2017.0</v>
      </c>
    </row>
    <row r="116">
      <c r="A116" s="6" t="s">
        <v>13</v>
      </c>
      <c r="B116" s="27">
        <v>2016.0</v>
      </c>
    </row>
    <row r="117">
      <c r="A117" s="6" t="s">
        <v>13</v>
      </c>
      <c r="B117" s="27">
        <v>2015.0</v>
      </c>
    </row>
    <row r="118">
      <c r="A118" s="51" t="s">
        <v>13</v>
      </c>
      <c r="B118" s="52">
        <v>2014.0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6" t="s">
        <v>14</v>
      </c>
      <c r="B119" s="27">
        <v>2022.0</v>
      </c>
    </row>
    <row r="120">
      <c r="A120" s="6" t="s">
        <v>14</v>
      </c>
      <c r="B120" s="27">
        <v>2021.0</v>
      </c>
    </row>
    <row r="121">
      <c r="A121" s="6" t="s">
        <v>14</v>
      </c>
      <c r="B121" s="27">
        <v>2020.0</v>
      </c>
    </row>
    <row r="122">
      <c r="A122" s="6" t="s">
        <v>14</v>
      </c>
      <c r="B122" s="27">
        <v>2019.0</v>
      </c>
    </row>
    <row r="123">
      <c r="A123" s="6" t="s">
        <v>14</v>
      </c>
      <c r="B123" s="27">
        <v>2018.0</v>
      </c>
    </row>
    <row r="124">
      <c r="A124" s="6" t="s">
        <v>14</v>
      </c>
      <c r="B124" s="27">
        <v>2017.0</v>
      </c>
    </row>
    <row r="125">
      <c r="A125" s="6" t="s">
        <v>14</v>
      </c>
      <c r="B125" s="27">
        <v>2016.0</v>
      </c>
    </row>
    <row r="126">
      <c r="A126" s="6" t="s">
        <v>14</v>
      </c>
      <c r="B126" s="27">
        <v>2015.0</v>
      </c>
    </row>
    <row r="127">
      <c r="A127" s="51" t="s">
        <v>14</v>
      </c>
      <c r="B127" s="52">
        <v>2014.0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</row>
    <row r="128">
      <c r="A128" s="6" t="s">
        <v>15</v>
      </c>
      <c r="B128" s="27">
        <v>2022.0</v>
      </c>
    </row>
    <row r="129">
      <c r="A129" s="6" t="s">
        <v>15</v>
      </c>
      <c r="B129" s="27">
        <v>2021.0</v>
      </c>
    </row>
    <row r="130">
      <c r="A130" s="6" t="s">
        <v>15</v>
      </c>
      <c r="B130" s="27">
        <v>2020.0</v>
      </c>
    </row>
    <row r="131">
      <c r="A131" s="6" t="s">
        <v>15</v>
      </c>
      <c r="B131" s="27">
        <v>2019.0</v>
      </c>
    </row>
    <row r="132">
      <c r="A132" s="6" t="s">
        <v>15</v>
      </c>
      <c r="B132" s="27">
        <v>2018.0</v>
      </c>
    </row>
    <row r="133">
      <c r="A133" s="6" t="s">
        <v>15</v>
      </c>
      <c r="B133" s="27">
        <v>2017.0</v>
      </c>
    </row>
    <row r="134">
      <c r="A134" s="6" t="s">
        <v>15</v>
      </c>
      <c r="B134" s="27">
        <v>2016.0</v>
      </c>
    </row>
    <row r="135">
      <c r="A135" s="6" t="s">
        <v>15</v>
      </c>
      <c r="B135" s="27">
        <v>2015.0</v>
      </c>
    </row>
    <row r="136">
      <c r="A136" s="51" t="s">
        <v>15</v>
      </c>
      <c r="B136" s="52">
        <v>2014.0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</row>
    <row r="137">
      <c r="A137" s="6" t="s">
        <v>16</v>
      </c>
      <c r="B137" s="27">
        <v>2022.0</v>
      </c>
    </row>
    <row r="138">
      <c r="A138" s="6" t="s">
        <v>16</v>
      </c>
      <c r="B138" s="27">
        <v>2021.0</v>
      </c>
    </row>
    <row r="139">
      <c r="A139" s="6" t="s">
        <v>16</v>
      </c>
      <c r="B139" s="27">
        <v>2020.0</v>
      </c>
    </row>
    <row r="140">
      <c r="A140" s="6" t="s">
        <v>16</v>
      </c>
      <c r="B140" s="27">
        <v>2019.0</v>
      </c>
    </row>
    <row r="141">
      <c r="A141" s="6" t="s">
        <v>16</v>
      </c>
      <c r="B141" s="27">
        <v>2018.0</v>
      </c>
    </row>
    <row r="142">
      <c r="A142" s="6" t="s">
        <v>16</v>
      </c>
      <c r="B142" s="27">
        <v>2017.0</v>
      </c>
    </row>
    <row r="143">
      <c r="A143" s="6" t="s">
        <v>16</v>
      </c>
      <c r="B143" s="27">
        <v>2016.0</v>
      </c>
    </row>
    <row r="144">
      <c r="A144" s="6" t="s">
        <v>16</v>
      </c>
      <c r="B144" s="27">
        <v>2015.0</v>
      </c>
    </row>
    <row r="145">
      <c r="A145" s="51" t="s">
        <v>16</v>
      </c>
      <c r="B145" s="52">
        <v>2014.0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</row>
    <row r="146">
      <c r="A146" s="6" t="s">
        <v>17</v>
      </c>
      <c r="B146" s="27">
        <v>2022.0</v>
      </c>
    </row>
    <row r="147">
      <c r="A147" s="6" t="s">
        <v>17</v>
      </c>
      <c r="B147" s="27">
        <v>2021.0</v>
      </c>
    </row>
    <row r="148">
      <c r="A148" s="6" t="s">
        <v>17</v>
      </c>
      <c r="B148" s="27">
        <v>2020.0</v>
      </c>
    </row>
    <row r="149">
      <c r="A149" s="6" t="s">
        <v>17</v>
      </c>
      <c r="B149" s="27">
        <v>2019.0</v>
      </c>
    </row>
    <row r="150">
      <c r="A150" s="6" t="s">
        <v>17</v>
      </c>
      <c r="B150" s="27">
        <v>2018.0</v>
      </c>
    </row>
    <row r="151">
      <c r="A151" s="6" t="s">
        <v>17</v>
      </c>
      <c r="B151" s="27">
        <v>2017.0</v>
      </c>
    </row>
    <row r="152">
      <c r="A152" s="6" t="s">
        <v>17</v>
      </c>
      <c r="B152" s="27">
        <v>2016.0</v>
      </c>
    </row>
    <row r="153">
      <c r="A153" s="6" t="s">
        <v>17</v>
      </c>
      <c r="B153" s="27">
        <v>2015.0</v>
      </c>
    </row>
    <row r="154">
      <c r="A154" s="51" t="s">
        <v>17</v>
      </c>
      <c r="B154" s="52">
        <v>2014.0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</row>
    <row r="155">
      <c r="A155" s="6" t="s">
        <v>18</v>
      </c>
      <c r="B155" s="27">
        <v>2022.0</v>
      </c>
    </row>
    <row r="156">
      <c r="A156" s="6" t="s">
        <v>18</v>
      </c>
      <c r="B156" s="27">
        <v>2021.0</v>
      </c>
    </row>
    <row r="157">
      <c r="A157" s="6" t="s">
        <v>18</v>
      </c>
      <c r="B157" s="27">
        <v>2020.0</v>
      </c>
    </row>
    <row r="158">
      <c r="A158" s="6" t="s">
        <v>18</v>
      </c>
      <c r="B158" s="27">
        <v>2019.0</v>
      </c>
    </row>
    <row r="159">
      <c r="A159" s="6" t="s">
        <v>18</v>
      </c>
      <c r="B159" s="27">
        <v>2018.0</v>
      </c>
    </row>
    <row r="160">
      <c r="A160" s="6" t="s">
        <v>18</v>
      </c>
      <c r="B160" s="27">
        <v>2017.0</v>
      </c>
    </row>
    <row r="161">
      <c r="A161" s="6" t="s">
        <v>18</v>
      </c>
      <c r="B161" s="27">
        <v>2016.0</v>
      </c>
    </row>
    <row r="162">
      <c r="A162" s="6" t="s">
        <v>18</v>
      </c>
      <c r="B162" s="27">
        <v>2015.0</v>
      </c>
    </row>
    <row r="163">
      <c r="A163" s="51" t="s">
        <v>18</v>
      </c>
      <c r="B163" s="52">
        <v>2014.0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>
      <c r="A164" s="6" t="s">
        <v>19</v>
      </c>
      <c r="B164" s="27">
        <v>2022.0</v>
      </c>
    </row>
    <row r="165">
      <c r="A165" s="6" t="s">
        <v>19</v>
      </c>
      <c r="B165" s="27">
        <v>2021.0</v>
      </c>
    </row>
    <row r="166">
      <c r="A166" s="6" t="s">
        <v>19</v>
      </c>
      <c r="B166" s="27">
        <v>2020.0</v>
      </c>
    </row>
    <row r="167">
      <c r="A167" s="6" t="s">
        <v>19</v>
      </c>
      <c r="B167" s="27">
        <v>2019.0</v>
      </c>
    </row>
    <row r="168">
      <c r="A168" s="6" t="s">
        <v>19</v>
      </c>
      <c r="B168" s="27">
        <v>2018.0</v>
      </c>
    </row>
    <row r="169">
      <c r="A169" s="6" t="s">
        <v>19</v>
      </c>
      <c r="B169" s="27">
        <v>2017.0</v>
      </c>
    </row>
    <row r="170">
      <c r="A170" s="6" t="s">
        <v>19</v>
      </c>
      <c r="B170" s="27">
        <v>2016.0</v>
      </c>
    </row>
    <row r="171">
      <c r="A171" s="6" t="s">
        <v>19</v>
      </c>
      <c r="B171" s="27">
        <v>2015.0</v>
      </c>
    </row>
    <row r="172">
      <c r="A172" s="51" t="s">
        <v>19</v>
      </c>
      <c r="B172" s="52">
        <v>2014.0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</row>
    <row r="173">
      <c r="A173" s="6" t="s">
        <v>20</v>
      </c>
      <c r="B173" s="27">
        <v>2022.0</v>
      </c>
    </row>
    <row r="174">
      <c r="A174" s="6" t="s">
        <v>20</v>
      </c>
      <c r="B174" s="27">
        <v>2021.0</v>
      </c>
    </row>
    <row r="175">
      <c r="A175" s="6" t="s">
        <v>20</v>
      </c>
      <c r="B175" s="27">
        <v>2020.0</v>
      </c>
    </row>
    <row r="176">
      <c r="A176" s="6" t="s">
        <v>20</v>
      </c>
      <c r="B176" s="27">
        <v>2019.0</v>
      </c>
    </row>
    <row r="177">
      <c r="A177" s="6" t="s">
        <v>20</v>
      </c>
      <c r="B177" s="27">
        <v>2018.0</v>
      </c>
    </row>
    <row r="178">
      <c r="A178" s="6" t="s">
        <v>20</v>
      </c>
      <c r="B178" s="27">
        <v>2017.0</v>
      </c>
    </row>
    <row r="179">
      <c r="A179" s="6" t="s">
        <v>20</v>
      </c>
      <c r="B179" s="27">
        <v>2016.0</v>
      </c>
    </row>
    <row r="180">
      <c r="A180" s="6" t="s">
        <v>20</v>
      </c>
      <c r="B180" s="27">
        <v>2015.0</v>
      </c>
    </row>
    <row r="181">
      <c r="A181" s="51" t="s">
        <v>20</v>
      </c>
      <c r="B181" s="52">
        <v>2014.0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</row>
    <row r="182">
      <c r="A182" s="6" t="s">
        <v>21</v>
      </c>
      <c r="B182" s="27">
        <v>2022.0</v>
      </c>
    </row>
    <row r="183">
      <c r="A183" s="6" t="s">
        <v>21</v>
      </c>
      <c r="B183" s="27">
        <v>2021.0</v>
      </c>
    </row>
    <row r="184">
      <c r="A184" s="6" t="s">
        <v>21</v>
      </c>
      <c r="B184" s="27">
        <v>2020.0</v>
      </c>
    </row>
    <row r="185">
      <c r="A185" s="6" t="s">
        <v>21</v>
      </c>
      <c r="B185" s="27">
        <v>2019.0</v>
      </c>
    </row>
    <row r="186">
      <c r="A186" s="6" t="s">
        <v>21</v>
      </c>
      <c r="B186" s="27">
        <v>2018.0</v>
      </c>
    </row>
    <row r="187">
      <c r="A187" s="6" t="s">
        <v>21</v>
      </c>
      <c r="B187" s="27">
        <v>2017.0</v>
      </c>
    </row>
    <row r="188">
      <c r="A188" s="6" t="s">
        <v>21</v>
      </c>
      <c r="B188" s="27">
        <v>2016.0</v>
      </c>
    </row>
    <row r="189">
      <c r="A189" s="6" t="s">
        <v>21</v>
      </c>
      <c r="B189" s="27">
        <v>2015.0</v>
      </c>
    </row>
    <row r="190">
      <c r="A190" s="51" t="s">
        <v>21</v>
      </c>
      <c r="B190" s="52">
        <v>2014.0</v>
      </c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</row>
    <row r="191">
      <c r="A191" s="6" t="s">
        <v>22</v>
      </c>
      <c r="B191" s="27">
        <v>2022.0</v>
      </c>
    </row>
    <row r="192">
      <c r="A192" s="6" t="s">
        <v>22</v>
      </c>
      <c r="B192" s="27">
        <v>2021.0</v>
      </c>
    </row>
    <row r="193">
      <c r="A193" s="6" t="s">
        <v>22</v>
      </c>
      <c r="B193" s="27">
        <v>2020.0</v>
      </c>
    </row>
    <row r="194">
      <c r="A194" s="6" t="s">
        <v>22</v>
      </c>
      <c r="B194" s="27">
        <v>2019.0</v>
      </c>
    </row>
    <row r="195">
      <c r="A195" s="6" t="s">
        <v>22</v>
      </c>
      <c r="B195" s="27">
        <v>2018.0</v>
      </c>
    </row>
    <row r="196">
      <c r="A196" s="6" t="s">
        <v>22</v>
      </c>
      <c r="B196" s="27">
        <v>2017.0</v>
      </c>
    </row>
    <row r="197">
      <c r="A197" s="6" t="s">
        <v>22</v>
      </c>
      <c r="B197" s="27">
        <v>2016.0</v>
      </c>
    </row>
    <row r="198">
      <c r="A198" s="6" t="s">
        <v>22</v>
      </c>
      <c r="B198" s="27">
        <v>2015.0</v>
      </c>
    </row>
    <row r="199">
      <c r="A199" s="51" t="s">
        <v>22</v>
      </c>
      <c r="B199" s="52">
        <v>2014.0</v>
      </c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</row>
    <row r="200">
      <c r="A200" s="6" t="s">
        <v>23</v>
      </c>
      <c r="B200" s="27">
        <v>2022.0</v>
      </c>
    </row>
    <row r="201">
      <c r="A201" s="6" t="s">
        <v>23</v>
      </c>
      <c r="B201" s="27">
        <v>2021.0</v>
      </c>
    </row>
    <row r="202">
      <c r="A202" s="6" t="s">
        <v>23</v>
      </c>
      <c r="B202" s="27">
        <v>2020.0</v>
      </c>
    </row>
    <row r="203">
      <c r="A203" s="6" t="s">
        <v>23</v>
      </c>
      <c r="B203" s="27">
        <v>2019.0</v>
      </c>
    </row>
    <row r="204">
      <c r="A204" s="6" t="s">
        <v>23</v>
      </c>
      <c r="B204" s="27">
        <v>2018.0</v>
      </c>
    </row>
    <row r="205">
      <c r="A205" s="6" t="s">
        <v>23</v>
      </c>
      <c r="B205" s="27">
        <v>2017.0</v>
      </c>
    </row>
    <row r="206">
      <c r="A206" s="6" t="s">
        <v>23</v>
      </c>
      <c r="B206" s="27">
        <v>2016.0</v>
      </c>
    </row>
    <row r="207">
      <c r="A207" s="6" t="s">
        <v>23</v>
      </c>
      <c r="B207" s="27">
        <v>2015.0</v>
      </c>
    </row>
    <row r="208">
      <c r="A208" s="51" t="s">
        <v>23</v>
      </c>
      <c r="B208" s="52">
        <v>2014.0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>
      <c r="A209" s="6" t="s">
        <v>24</v>
      </c>
      <c r="B209" s="27">
        <v>2022.0</v>
      </c>
    </row>
    <row r="210">
      <c r="A210" s="6" t="s">
        <v>24</v>
      </c>
      <c r="B210" s="27">
        <v>2021.0</v>
      </c>
    </row>
    <row r="211">
      <c r="A211" s="6" t="s">
        <v>24</v>
      </c>
      <c r="B211" s="27">
        <v>2020.0</v>
      </c>
    </row>
    <row r="212">
      <c r="A212" s="6" t="s">
        <v>24</v>
      </c>
      <c r="B212" s="27">
        <v>2019.0</v>
      </c>
    </row>
    <row r="213">
      <c r="A213" s="6" t="s">
        <v>24</v>
      </c>
      <c r="B213" s="27">
        <v>2018.0</v>
      </c>
    </row>
    <row r="214">
      <c r="A214" s="6" t="s">
        <v>24</v>
      </c>
      <c r="B214" s="27">
        <v>2017.0</v>
      </c>
    </row>
    <row r="215">
      <c r="A215" s="6" t="s">
        <v>24</v>
      </c>
      <c r="B215" s="27">
        <v>2016.0</v>
      </c>
    </row>
    <row r="216">
      <c r="A216" s="6" t="s">
        <v>24</v>
      </c>
      <c r="B216" s="27">
        <v>2015.0</v>
      </c>
    </row>
    <row r="217">
      <c r="A217" s="51" t="s">
        <v>24</v>
      </c>
      <c r="B217" s="52">
        <v>2014.0</v>
      </c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</row>
    <row r="218">
      <c r="A218" s="6" t="s">
        <v>25</v>
      </c>
      <c r="B218" s="27">
        <v>2022.0</v>
      </c>
    </row>
    <row r="219">
      <c r="A219" s="6" t="s">
        <v>25</v>
      </c>
      <c r="B219" s="27">
        <v>2021.0</v>
      </c>
    </row>
    <row r="220">
      <c r="A220" s="6" t="s">
        <v>25</v>
      </c>
      <c r="B220" s="27">
        <v>2020.0</v>
      </c>
    </row>
    <row r="221">
      <c r="A221" s="6" t="s">
        <v>25</v>
      </c>
      <c r="B221" s="27">
        <v>2019.0</v>
      </c>
    </row>
    <row r="222">
      <c r="A222" s="6" t="s">
        <v>25</v>
      </c>
      <c r="B222" s="27">
        <v>2018.0</v>
      </c>
    </row>
    <row r="223">
      <c r="A223" s="6" t="s">
        <v>25</v>
      </c>
      <c r="B223" s="27">
        <v>2017.0</v>
      </c>
    </row>
    <row r="224">
      <c r="A224" s="6" t="s">
        <v>25</v>
      </c>
      <c r="B224" s="27">
        <v>2016.0</v>
      </c>
    </row>
    <row r="225">
      <c r="A225" s="6" t="s">
        <v>25</v>
      </c>
      <c r="B225" s="27">
        <v>2015.0</v>
      </c>
    </row>
    <row r="226">
      <c r="A226" s="51" t="s">
        <v>25</v>
      </c>
      <c r="B226" s="52">
        <v>2014.0</v>
      </c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</row>
    <row r="227">
      <c r="A227" s="6" t="s">
        <v>26</v>
      </c>
      <c r="B227" s="27">
        <v>2022.0</v>
      </c>
    </row>
    <row r="228">
      <c r="A228" s="6" t="s">
        <v>26</v>
      </c>
      <c r="B228" s="27">
        <v>2021.0</v>
      </c>
    </row>
    <row r="229">
      <c r="A229" s="6" t="s">
        <v>26</v>
      </c>
      <c r="B229" s="27">
        <v>2020.0</v>
      </c>
    </row>
    <row r="230">
      <c r="A230" s="6" t="s">
        <v>26</v>
      </c>
      <c r="B230" s="27">
        <v>2019.0</v>
      </c>
    </row>
    <row r="231">
      <c r="A231" s="6" t="s">
        <v>26</v>
      </c>
      <c r="B231" s="27">
        <v>2018.0</v>
      </c>
    </row>
    <row r="232">
      <c r="A232" s="6" t="s">
        <v>26</v>
      </c>
      <c r="B232" s="27">
        <v>2017.0</v>
      </c>
    </row>
    <row r="233">
      <c r="A233" s="6" t="s">
        <v>26</v>
      </c>
      <c r="B233" s="27">
        <v>2016.0</v>
      </c>
    </row>
    <row r="234">
      <c r="A234" s="6" t="s">
        <v>26</v>
      </c>
      <c r="B234" s="27">
        <v>2015.0</v>
      </c>
    </row>
    <row r="235">
      <c r="A235" s="51" t="s">
        <v>26</v>
      </c>
      <c r="B235" s="52">
        <v>2014.0</v>
      </c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</row>
    <row r="236">
      <c r="A236" s="6" t="s">
        <v>27</v>
      </c>
      <c r="B236" s="27">
        <v>2022.0</v>
      </c>
    </row>
    <row r="237">
      <c r="A237" s="6" t="s">
        <v>27</v>
      </c>
      <c r="B237" s="27">
        <v>2021.0</v>
      </c>
    </row>
    <row r="238">
      <c r="A238" s="6" t="s">
        <v>27</v>
      </c>
      <c r="B238" s="27">
        <v>2020.0</v>
      </c>
    </row>
    <row r="239">
      <c r="A239" s="6" t="s">
        <v>27</v>
      </c>
      <c r="B239" s="27">
        <v>2019.0</v>
      </c>
    </row>
    <row r="240">
      <c r="A240" s="6" t="s">
        <v>27</v>
      </c>
      <c r="B240" s="27">
        <v>2018.0</v>
      </c>
    </row>
    <row r="241">
      <c r="A241" s="6" t="s">
        <v>27</v>
      </c>
      <c r="B241" s="27">
        <v>2017.0</v>
      </c>
    </row>
    <row r="242">
      <c r="A242" s="6" t="s">
        <v>27</v>
      </c>
      <c r="B242" s="27">
        <v>2016.0</v>
      </c>
    </row>
    <row r="243">
      <c r="A243" s="6" t="s">
        <v>27</v>
      </c>
      <c r="B243" s="27">
        <v>2015.0</v>
      </c>
    </row>
    <row r="244">
      <c r="A244" s="51" t="s">
        <v>27</v>
      </c>
      <c r="B244" s="52">
        <v>2014.0</v>
      </c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</row>
    <row r="245">
      <c r="A245" s="6" t="s">
        <v>28</v>
      </c>
      <c r="B245" s="27">
        <v>2022.0</v>
      </c>
    </row>
    <row r="246">
      <c r="A246" s="6" t="s">
        <v>28</v>
      </c>
      <c r="B246" s="27">
        <v>2021.0</v>
      </c>
    </row>
    <row r="247">
      <c r="A247" s="6" t="s">
        <v>28</v>
      </c>
      <c r="B247" s="27">
        <v>2020.0</v>
      </c>
    </row>
    <row r="248">
      <c r="A248" s="6" t="s">
        <v>28</v>
      </c>
      <c r="B248" s="27">
        <v>2019.0</v>
      </c>
    </row>
    <row r="249">
      <c r="A249" s="6" t="s">
        <v>28</v>
      </c>
      <c r="B249" s="27">
        <v>2018.0</v>
      </c>
    </row>
    <row r="250">
      <c r="A250" s="6" t="s">
        <v>28</v>
      </c>
      <c r="B250" s="27">
        <v>2017.0</v>
      </c>
    </row>
    <row r="251">
      <c r="A251" s="6" t="s">
        <v>28</v>
      </c>
      <c r="B251" s="27">
        <v>2016.0</v>
      </c>
    </row>
    <row r="252">
      <c r="A252" s="6" t="s">
        <v>28</v>
      </c>
      <c r="B252" s="27">
        <v>2015.0</v>
      </c>
    </row>
    <row r="253">
      <c r="A253" s="51" t="s">
        <v>28</v>
      </c>
      <c r="B253" s="52">
        <v>2014.0</v>
      </c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</row>
    <row r="254">
      <c r="A254" s="6" t="s">
        <v>29</v>
      </c>
      <c r="B254" s="27">
        <v>2022.0</v>
      </c>
    </row>
    <row r="255">
      <c r="A255" s="6" t="s">
        <v>29</v>
      </c>
      <c r="B255" s="27">
        <v>2021.0</v>
      </c>
    </row>
    <row r="256">
      <c r="A256" s="6" t="s">
        <v>29</v>
      </c>
      <c r="B256" s="27">
        <v>2020.0</v>
      </c>
    </row>
    <row r="257">
      <c r="A257" s="6" t="s">
        <v>29</v>
      </c>
      <c r="B257" s="27">
        <v>2019.0</v>
      </c>
    </row>
    <row r="258">
      <c r="A258" s="6" t="s">
        <v>29</v>
      </c>
      <c r="B258" s="27">
        <v>2018.0</v>
      </c>
    </row>
    <row r="259">
      <c r="A259" s="6" t="s">
        <v>29</v>
      </c>
      <c r="B259" s="27">
        <v>2017.0</v>
      </c>
    </row>
    <row r="260">
      <c r="A260" s="6" t="s">
        <v>29</v>
      </c>
      <c r="B260" s="27">
        <v>2016.0</v>
      </c>
    </row>
    <row r="261">
      <c r="A261" s="6" t="s">
        <v>29</v>
      </c>
      <c r="B261" s="27">
        <v>2015.0</v>
      </c>
    </row>
    <row r="262">
      <c r="A262" s="51" t="s">
        <v>29</v>
      </c>
      <c r="B262" s="52">
        <v>2014.0</v>
      </c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88"/>
    <col customWidth="1" min="5" max="5" width="27.38"/>
    <col customWidth="1" min="6" max="6" width="17.88"/>
  </cols>
  <sheetData>
    <row r="1">
      <c r="A1" s="27" t="s">
        <v>90</v>
      </c>
      <c r="B1" s="27" t="s">
        <v>91</v>
      </c>
      <c r="C1" s="1" t="s">
        <v>0</v>
      </c>
      <c r="D1" s="1" t="s">
        <v>31</v>
      </c>
      <c r="E1" s="1" t="s">
        <v>44</v>
      </c>
      <c r="F1" s="1" t="s">
        <v>57</v>
      </c>
    </row>
    <row r="2">
      <c r="A2" s="6" t="s">
        <v>1</v>
      </c>
      <c r="B2" s="27">
        <v>2022.0</v>
      </c>
    </row>
    <row r="3">
      <c r="A3" s="6" t="s">
        <v>1</v>
      </c>
      <c r="B3" s="27">
        <v>2021.0</v>
      </c>
    </row>
    <row r="4">
      <c r="A4" s="6" t="s">
        <v>1</v>
      </c>
      <c r="B4" s="27">
        <v>2020.0</v>
      </c>
    </row>
    <row r="5">
      <c r="A5" s="6" t="s">
        <v>1</v>
      </c>
      <c r="B5" s="27">
        <v>2019.0</v>
      </c>
    </row>
    <row r="6">
      <c r="A6" s="6" t="s">
        <v>1</v>
      </c>
      <c r="B6" s="27">
        <v>2018.0</v>
      </c>
    </row>
    <row r="7">
      <c r="A7" s="6" t="s">
        <v>1</v>
      </c>
      <c r="B7" s="27">
        <v>2017.0</v>
      </c>
    </row>
    <row r="8">
      <c r="A8" s="6" t="s">
        <v>1</v>
      </c>
      <c r="B8" s="27">
        <v>2016.0</v>
      </c>
    </row>
    <row r="9">
      <c r="A9" s="6" t="s">
        <v>1</v>
      </c>
      <c r="B9" s="27">
        <v>2015.0</v>
      </c>
    </row>
    <row r="10">
      <c r="A10" s="51" t="s">
        <v>1</v>
      </c>
      <c r="B10" s="52">
        <v>2014.0</v>
      </c>
    </row>
    <row r="11">
      <c r="A11" s="6" t="s">
        <v>2</v>
      </c>
      <c r="B11" s="27">
        <v>2022.0</v>
      </c>
    </row>
    <row r="12">
      <c r="A12" s="6" t="s">
        <v>2</v>
      </c>
      <c r="B12" s="27">
        <v>2021.0</v>
      </c>
    </row>
    <row r="13">
      <c r="A13" s="6" t="s">
        <v>2</v>
      </c>
      <c r="B13" s="27">
        <v>2020.0</v>
      </c>
    </row>
    <row r="14">
      <c r="A14" s="6" t="s">
        <v>2</v>
      </c>
      <c r="B14" s="27">
        <v>2019.0</v>
      </c>
    </row>
    <row r="15">
      <c r="A15" s="6" t="s">
        <v>2</v>
      </c>
      <c r="B15" s="27">
        <v>2018.0</v>
      </c>
    </row>
    <row r="16">
      <c r="A16" s="6" t="s">
        <v>2</v>
      </c>
      <c r="B16" s="27">
        <v>2017.0</v>
      </c>
    </row>
    <row r="17">
      <c r="A17" s="6" t="s">
        <v>2</v>
      </c>
      <c r="B17" s="27">
        <v>2016.0</v>
      </c>
    </row>
    <row r="18">
      <c r="A18" s="6" t="s">
        <v>2</v>
      </c>
      <c r="B18" s="27">
        <v>2015.0</v>
      </c>
    </row>
    <row r="19">
      <c r="A19" s="51" t="s">
        <v>2</v>
      </c>
      <c r="B19" s="52">
        <v>2014.0</v>
      </c>
    </row>
    <row r="20">
      <c r="A20" s="6" t="s">
        <v>3</v>
      </c>
      <c r="B20" s="27">
        <v>2022.0</v>
      </c>
    </row>
    <row r="21">
      <c r="A21" s="6" t="s">
        <v>3</v>
      </c>
      <c r="B21" s="27">
        <v>2021.0</v>
      </c>
    </row>
    <row r="22">
      <c r="A22" s="6" t="s">
        <v>3</v>
      </c>
      <c r="B22" s="27">
        <v>2020.0</v>
      </c>
    </row>
    <row r="23">
      <c r="A23" s="6" t="s">
        <v>3</v>
      </c>
      <c r="B23" s="27">
        <v>2019.0</v>
      </c>
    </row>
    <row r="24">
      <c r="A24" s="6" t="s">
        <v>3</v>
      </c>
      <c r="B24" s="27">
        <v>2018.0</v>
      </c>
    </row>
    <row r="25">
      <c r="A25" s="6" t="s">
        <v>3</v>
      </c>
      <c r="B25" s="27">
        <v>2017.0</v>
      </c>
    </row>
    <row r="26">
      <c r="A26" s="6" t="s">
        <v>3</v>
      </c>
      <c r="B26" s="27">
        <v>2016.0</v>
      </c>
    </row>
    <row r="27">
      <c r="A27" s="6" t="s">
        <v>3</v>
      </c>
      <c r="B27" s="27">
        <v>2015.0</v>
      </c>
    </row>
    <row r="28">
      <c r="A28" s="51" t="s">
        <v>3</v>
      </c>
      <c r="B28" s="52">
        <v>2014.0</v>
      </c>
    </row>
    <row r="29">
      <c r="A29" s="6" t="s">
        <v>4</v>
      </c>
      <c r="B29" s="27">
        <v>2022.0</v>
      </c>
    </row>
    <row r="30">
      <c r="A30" s="6" t="s">
        <v>4</v>
      </c>
      <c r="B30" s="27">
        <v>2021.0</v>
      </c>
    </row>
    <row r="31">
      <c r="A31" s="6" t="s">
        <v>4</v>
      </c>
      <c r="B31" s="27">
        <v>2020.0</v>
      </c>
    </row>
    <row r="32">
      <c r="A32" s="6" t="s">
        <v>4</v>
      </c>
      <c r="B32" s="27">
        <v>2019.0</v>
      </c>
    </row>
    <row r="33">
      <c r="A33" s="6" t="s">
        <v>4</v>
      </c>
      <c r="B33" s="27">
        <v>2018.0</v>
      </c>
    </row>
    <row r="34">
      <c r="A34" s="6" t="s">
        <v>4</v>
      </c>
      <c r="B34" s="27">
        <v>2017.0</v>
      </c>
    </row>
    <row r="35">
      <c r="A35" s="6" t="s">
        <v>4</v>
      </c>
      <c r="B35" s="27">
        <v>2016.0</v>
      </c>
    </row>
    <row r="36">
      <c r="A36" s="6" t="s">
        <v>4</v>
      </c>
      <c r="B36" s="27">
        <v>2015.0</v>
      </c>
    </row>
    <row r="37">
      <c r="A37" s="51" t="s">
        <v>4</v>
      </c>
      <c r="B37" s="52">
        <v>2014.0</v>
      </c>
    </row>
    <row r="38">
      <c r="A38" s="6" t="s">
        <v>5</v>
      </c>
      <c r="B38" s="27">
        <v>2022.0</v>
      </c>
    </row>
    <row r="39">
      <c r="A39" s="6" t="s">
        <v>5</v>
      </c>
      <c r="B39" s="27">
        <v>2021.0</v>
      </c>
    </row>
    <row r="40">
      <c r="A40" s="6" t="s">
        <v>5</v>
      </c>
      <c r="B40" s="27">
        <v>2020.0</v>
      </c>
    </row>
    <row r="41">
      <c r="A41" s="6" t="s">
        <v>5</v>
      </c>
      <c r="B41" s="27">
        <v>2019.0</v>
      </c>
    </row>
    <row r="42">
      <c r="A42" s="6" t="s">
        <v>5</v>
      </c>
      <c r="B42" s="27">
        <v>2018.0</v>
      </c>
    </row>
    <row r="43">
      <c r="A43" s="6" t="s">
        <v>5</v>
      </c>
      <c r="B43" s="27">
        <v>2017.0</v>
      </c>
    </row>
    <row r="44">
      <c r="A44" s="6" t="s">
        <v>5</v>
      </c>
      <c r="B44" s="27">
        <v>2016.0</v>
      </c>
    </row>
    <row r="45">
      <c r="A45" s="6" t="s">
        <v>5</v>
      </c>
      <c r="B45" s="27">
        <v>2015.0</v>
      </c>
    </row>
    <row r="46">
      <c r="A46" s="51" t="s">
        <v>5</v>
      </c>
      <c r="B46" s="52">
        <v>2014.0</v>
      </c>
    </row>
    <row r="47">
      <c r="A47" s="6" t="s">
        <v>6</v>
      </c>
      <c r="B47" s="27">
        <v>2022.0</v>
      </c>
    </row>
    <row r="48">
      <c r="A48" s="6" t="s">
        <v>6</v>
      </c>
      <c r="B48" s="27">
        <v>2021.0</v>
      </c>
    </row>
    <row r="49">
      <c r="A49" s="6" t="s">
        <v>6</v>
      </c>
      <c r="B49" s="27">
        <v>2020.0</v>
      </c>
    </row>
    <row r="50">
      <c r="A50" s="6" t="s">
        <v>6</v>
      </c>
      <c r="B50" s="27">
        <v>2019.0</v>
      </c>
    </row>
    <row r="51">
      <c r="A51" s="6" t="s">
        <v>6</v>
      </c>
      <c r="B51" s="27">
        <v>2018.0</v>
      </c>
    </row>
    <row r="52">
      <c r="A52" s="6" t="s">
        <v>6</v>
      </c>
      <c r="B52" s="27">
        <v>2017.0</v>
      </c>
    </row>
    <row r="53">
      <c r="A53" s="6" t="s">
        <v>6</v>
      </c>
      <c r="B53" s="27">
        <v>2016.0</v>
      </c>
    </row>
    <row r="54">
      <c r="A54" s="6" t="s">
        <v>6</v>
      </c>
      <c r="B54" s="27">
        <v>2015.0</v>
      </c>
    </row>
    <row r="55">
      <c r="A55" s="51" t="s">
        <v>6</v>
      </c>
      <c r="B55" s="52">
        <v>2014.0</v>
      </c>
    </row>
    <row r="56">
      <c r="A56" s="6" t="s">
        <v>7</v>
      </c>
      <c r="B56" s="27">
        <v>2022.0</v>
      </c>
    </row>
    <row r="57">
      <c r="A57" s="6" t="s">
        <v>7</v>
      </c>
      <c r="B57" s="27">
        <v>2021.0</v>
      </c>
    </row>
    <row r="58">
      <c r="A58" s="6" t="s">
        <v>7</v>
      </c>
      <c r="B58" s="27">
        <v>2020.0</v>
      </c>
    </row>
    <row r="59">
      <c r="A59" s="6" t="s">
        <v>7</v>
      </c>
      <c r="B59" s="27">
        <v>2019.0</v>
      </c>
    </row>
    <row r="60">
      <c r="A60" s="6" t="s">
        <v>7</v>
      </c>
      <c r="B60" s="27">
        <v>2018.0</v>
      </c>
    </row>
    <row r="61">
      <c r="A61" s="6" t="s">
        <v>7</v>
      </c>
      <c r="B61" s="27">
        <v>2017.0</v>
      </c>
    </row>
    <row r="62">
      <c r="A62" s="6" t="s">
        <v>7</v>
      </c>
      <c r="B62" s="27">
        <v>2016.0</v>
      </c>
    </row>
    <row r="63">
      <c r="A63" s="6" t="s">
        <v>7</v>
      </c>
      <c r="B63" s="27">
        <v>2015.0</v>
      </c>
    </row>
    <row r="64">
      <c r="A64" s="51" t="s">
        <v>7</v>
      </c>
      <c r="B64" s="52">
        <v>2014.0</v>
      </c>
    </row>
    <row r="65">
      <c r="A65" s="6" t="s">
        <v>8</v>
      </c>
      <c r="B65" s="27">
        <v>2022.0</v>
      </c>
    </row>
    <row r="66">
      <c r="A66" s="6" t="s">
        <v>8</v>
      </c>
      <c r="B66" s="27">
        <v>2021.0</v>
      </c>
    </row>
    <row r="67">
      <c r="A67" s="6" t="s">
        <v>8</v>
      </c>
      <c r="B67" s="27">
        <v>2020.0</v>
      </c>
    </row>
    <row r="68">
      <c r="A68" s="6" t="s">
        <v>8</v>
      </c>
      <c r="B68" s="27">
        <v>2019.0</v>
      </c>
    </row>
    <row r="69">
      <c r="A69" s="6" t="s">
        <v>8</v>
      </c>
      <c r="B69" s="27">
        <v>2018.0</v>
      </c>
    </row>
    <row r="70">
      <c r="A70" s="6" t="s">
        <v>8</v>
      </c>
      <c r="B70" s="27">
        <v>2017.0</v>
      </c>
    </row>
    <row r="71">
      <c r="A71" s="6" t="s">
        <v>8</v>
      </c>
      <c r="B71" s="27">
        <v>2016.0</v>
      </c>
    </row>
    <row r="72">
      <c r="A72" s="6" t="s">
        <v>8</v>
      </c>
      <c r="B72" s="27">
        <v>2015.0</v>
      </c>
    </row>
    <row r="73">
      <c r="A73" s="51" t="s">
        <v>8</v>
      </c>
      <c r="B73" s="52">
        <v>2014.0</v>
      </c>
    </row>
    <row r="74">
      <c r="A74" s="6" t="s">
        <v>9</v>
      </c>
      <c r="B74" s="27">
        <v>2022.0</v>
      </c>
    </row>
    <row r="75">
      <c r="A75" s="6" t="s">
        <v>9</v>
      </c>
      <c r="B75" s="27">
        <v>2021.0</v>
      </c>
    </row>
    <row r="76">
      <c r="A76" s="6" t="s">
        <v>9</v>
      </c>
      <c r="B76" s="27">
        <v>2020.0</v>
      </c>
    </row>
    <row r="77">
      <c r="A77" s="6" t="s">
        <v>9</v>
      </c>
      <c r="B77" s="27">
        <v>2019.0</v>
      </c>
    </row>
    <row r="78">
      <c r="A78" s="6" t="s">
        <v>9</v>
      </c>
      <c r="B78" s="27">
        <v>2018.0</v>
      </c>
    </row>
    <row r="79">
      <c r="A79" s="6" t="s">
        <v>9</v>
      </c>
      <c r="B79" s="27">
        <v>2017.0</v>
      </c>
    </row>
    <row r="80">
      <c r="A80" s="6" t="s">
        <v>9</v>
      </c>
      <c r="B80" s="27">
        <v>2016.0</v>
      </c>
    </row>
    <row r="81">
      <c r="A81" s="6" t="s">
        <v>9</v>
      </c>
      <c r="B81" s="27">
        <v>2015.0</v>
      </c>
    </row>
    <row r="82">
      <c r="A82" s="51" t="s">
        <v>9</v>
      </c>
      <c r="B82" s="52">
        <v>2014.0</v>
      </c>
    </row>
    <row r="83">
      <c r="A83" s="6" t="s">
        <v>10</v>
      </c>
      <c r="B83" s="27">
        <v>2022.0</v>
      </c>
    </row>
    <row r="84">
      <c r="A84" s="6" t="s">
        <v>10</v>
      </c>
      <c r="B84" s="27">
        <v>2021.0</v>
      </c>
    </row>
    <row r="85">
      <c r="A85" s="6" t="s">
        <v>10</v>
      </c>
      <c r="B85" s="27">
        <v>2020.0</v>
      </c>
    </row>
    <row r="86">
      <c r="A86" s="6" t="s">
        <v>10</v>
      </c>
      <c r="B86" s="27">
        <v>2019.0</v>
      </c>
    </row>
    <row r="87">
      <c r="A87" s="6" t="s">
        <v>10</v>
      </c>
      <c r="B87" s="27">
        <v>2018.0</v>
      </c>
    </row>
    <row r="88">
      <c r="A88" s="6" t="s">
        <v>10</v>
      </c>
      <c r="B88" s="27">
        <v>2017.0</v>
      </c>
    </row>
    <row r="89">
      <c r="A89" s="6" t="s">
        <v>10</v>
      </c>
      <c r="B89" s="27">
        <v>2016.0</v>
      </c>
    </row>
    <row r="90">
      <c r="A90" s="6" t="s">
        <v>10</v>
      </c>
      <c r="B90" s="27">
        <v>2015.0</v>
      </c>
    </row>
    <row r="91">
      <c r="A91" s="51" t="s">
        <v>10</v>
      </c>
      <c r="B91" s="52">
        <v>2014.0</v>
      </c>
    </row>
    <row r="92">
      <c r="A92" s="6" t="s">
        <v>11</v>
      </c>
      <c r="B92" s="27">
        <v>2022.0</v>
      </c>
    </row>
    <row r="93">
      <c r="A93" s="6" t="s">
        <v>11</v>
      </c>
      <c r="B93" s="27">
        <v>2021.0</v>
      </c>
    </row>
    <row r="94">
      <c r="A94" s="6" t="s">
        <v>11</v>
      </c>
      <c r="B94" s="27">
        <v>2020.0</v>
      </c>
    </row>
    <row r="95">
      <c r="A95" s="6" t="s">
        <v>11</v>
      </c>
      <c r="B95" s="27">
        <v>2019.0</v>
      </c>
    </row>
    <row r="96">
      <c r="A96" s="6" t="s">
        <v>11</v>
      </c>
      <c r="B96" s="27">
        <v>2018.0</v>
      </c>
    </row>
    <row r="97">
      <c r="A97" s="6" t="s">
        <v>11</v>
      </c>
      <c r="B97" s="27">
        <v>2017.0</v>
      </c>
    </row>
    <row r="98">
      <c r="A98" s="6" t="s">
        <v>11</v>
      </c>
      <c r="B98" s="27">
        <v>2016.0</v>
      </c>
    </row>
    <row r="99">
      <c r="A99" s="6" t="s">
        <v>11</v>
      </c>
      <c r="B99" s="27">
        <v>2015.0</v>
      </c>
    </row>
    <row r="100">
      <c r="A100" s="51" t="s">
        <v>11</v>
      </c>
      <c r="B100" s="52">
        <v>2014.0</v>
      </c>
    </row>
    <row r="101">
      <c r="A101" s="6" t="s">
        <v>12</v>
      </c>
      <c r="B101" s="27">
        <v>2022.0</v>
      </c>
    </row>
    <row r="102">
      <c r="A102" s="6" t="s">
        <v>12</v>
      </c>
      <c r="B102" s="27">
        <v>2021.0</v>
      </c>
    </row>
    <row r="103">
      <c r="A103" s="6" t="s">
        <v>12</v>
      </c>
      <c r="B103" s="27">
        <v>2020.0</v>
      </c>
    </row>
    <row r="104">
      <c r="A104" s="6" t="s">
        <v>12</v>
      </c>
      <c r="B104" s="27">
        <v>2019.0</v>
      </c>
    </row>
    <row r="105">
      <c r="A105" s="6" t="s">
        <v>12</v>
      </c>
      <c r="B105" s="27">
        <v>2018.0</v>
      </c>
    </row>
    <row r="106">
      <c r="A106" s="6" t="s">
        <v>12</v>
      </c>
      <c r="B106" s="27">
        <v>2017.0</v>
      </c>
    </row>
    <row r="107">
      <c r="A107" s="6" t="s">
        <v>12</v>
      </c>
      <c r="B107" s="27">
        <v>2016.0</v>
      </c>
    </row>
    <row r="108">
      <c r="A108" s="6" t="s">
        <v>12</v>
      </c>
      <c r="B108" s="27">
        <v>2015.0</v>
      </c>
    </row>
    <row r="109">
      <c r="A109" s="51" t="s">
        <v>12</v>
      </c>
      <c r="B109" s="52">
        <v>2014.0</v>
      </c>
    </row>
    <row r="110">
      <c r="A110" s="6" t="s">
        <v>13</v>
      </c>
      <c r="B110" s="27">
        <v>2022.0</v>
      </c>
    </row>
    <row r="111">
      <c r="A111" s="6" t="s">
        <v>13</v>
      </c>
      <c r="B111" s="27">
        <v>2021.0</v>
      </c>
    </row>
    <row r="112">
      <c r="A112" s="6" t="s">
        <v>13</v>
      </c>
      <c r="B112" s="27">
        <v>2020.0</v>
      </c>
    </row>
    <row r="113">
      <c r="A113" s="6" t="s">
        <v>13</v>
      </c>
      <c r="B113" s="27">
        <v>2019.0</v>
      </c>
    </row>
    <row r="114">
      <c r="A114" s="6" t="s">
        <v>13</v>
      </c>
      <c r="B114" s="27">
        <v>2018.0</v>
      </c>
    </row>
    <row r="115">
      <c r="A115" s="6" t="s">
        <v>13</v>
      </c>
      <c r="B115" s="27">
        <v>2017.0</v>
      </c>
    </row>
    <row r="116">
      <c r="A116" s="6" t="s">
        <v>13</v>
      </c>
      <c r="B116" s="27">
        <v>2016.0</v>
      </c>
    </row>
    <row r="117">
      <c r="A117" s="6" t="s">
        <v>13</v>
      </c>
      <c r="B117" s="27">
        <v>2015.0</v>
      </c>
    </row>
    <row r="118">
      <c r="A118" s="51" t="s">
        <v>13</v>
      </c>
      <c r="B118" s="52">
        <v>2014.0</v>
      </c>
    </row>
    <row r="119">
      <c r="A119" s="6" t="s">
        <v>14</v>
      </c>
      <c r="B119" s="27">
        <v>2022.0</v>
      </c>
    </row>
    <row r="120">
      <c r="A120" s="6" t="s">
        <v>14</v>
      </c>
      <c r="B120" s="27">
        <v>2021.0</v>
      </c>
    </row>
    <row r="121">
      <c r="A121" s="6" t="s">
        <v>14</v>
      </c>
      <c r="B121" s="27">
        <v>2020.0</v>
      </c>
    </row>
    <row r="122">
      <c r="A122" s="6" t="s">
        <v>14</v>
      </c>
      <c r="B122" s="27">
        <v>2019.0</v>
      </c>
    </row>
    <row r="123">
      <c r="A123" s="6" t="s">
        <v>14</v>
      </c>
      <c r="B123" s="27">
        <v>2018.0</v>
      </c>
    </row>
    <row r="124">
      <c r="A124" s="6" t="s">
        <v>14</v>
      </c>
      <c r="B124" s="27">
        <v>2017.0</v>
      </c>
    </row>
    <row r="125">
      <c r="A125" s="6" t="s">
        <v>14</v>
      </c>
      <c r="B125" s="27">
        <v>2016.0</v>
      </c>
    </row>
    <row r="126">
      <c r="A126" s="6" t="s">
        <v>14</v>
      </c>
      <c r="B126" s="27">
        <v>2015.0</v>
      </c>
    </row>
    <row r="127">
      <c r="A127" s="51" t="s">
        <v>14</v>
      </c>
      <c r="B127" s="52">
        <v>2014.0</v>
      </c>
    </row>
    <row r="128">
      <c r="A128" s="6" t="s">
        <v>15</v>
      </c>
      <c r="B128" s="27">
        <v>2022.0</v>
      </c>
    </row>
    <row r="129">
      <c r="A129" s="6" t="s">
        <v>15</v>
      </c>
      <c r="B129" s="27">
        <v>2021.0</v>
      </c>
    </row>
    <row r="130">
      <c r="A130" s="6" t="s">
        <v>15</v>
      </c>
      <c r="B130" s="27">
        <v>2020.0</v>
      </c>
    </row>
    <row r="131">
      <c r="A131" s="6" t="s">
        <v>15</v>
      </c>
      <c r="B131" s="27">
        <v>2019.0</v>
      </c>
    </row>
    <row r="132">
      <c r="A132" s="6" t="s">
        <v>15</v>
      </c>
      <c r="B132" s="27">
        <v>2018.0</v>
      </c>
    </row>
    <row r="133">
      <c r="A133" s="6" t="s">
        <v>15</v>
      </c>
      <c r="B133" s="27">
        <v>2017.0</v>
      </c>
    </row>
    <row r="134">
      <c r="A134" s="6" t="s">
        <v>15</v>
      </c>
      <c r="B134" s="27">
        <v>2016.0</v>
      </c>
    </row>
    <row r="135">
      <c r="A135" s="6" t="s">
        <v>15</v>
      </c>
      <c r="B135" s="27">
        <v>2015.0</v>
      </c>
    </row>
    <row r="136">
      <c r="A136" s="51" t="s">
        <v>15</v>
      </c>
      <c r="B136" s="52">
        <v>2014.0</v>
      </c>
    </row>
    <row r="137">
      <c r="A137" s="6" t="s">
        <v>16</v>
      </c>
      <c r="B137" s="27">
        <v>2022.0</v>
      </c>
    </row>
    <row r="138">
      <c r="A138" s="6" t="s">
        <v>16</v>
      </c>
      <c r="B138" s="27">
        <v>2021.0</v>
      </c>
    </row>
    <row r="139">
      <c r="A139" s="6" t="s">
        <v>16</v>
      </c>
      <c r="B139" s="27">
        <v>2020.0</v>
      </c>
    </row>
    <row r="140">
      <c r="A140" s="6" t="s">
        <v>16</v>
      </c>
      <c r="B140" s="27">
        <v>2019.0</v>
      </c>
    </row>
    <row r="141">
      <c r="A141" s="6" t="s">
        <v>16</v>
      </c>
      <c r="B141" s="27">
        <v>2018.0</v>
      </c>
    </row>
    <row r="142">
      <c r="A142" s="6" t="s">
        <v>16</v>
      </c>
      <c r="B142" s="27">
        <v>2017.0</v>
      </c>
    </row>
    <row r="143">
      <c r="A143" s="6" t="s">
        <v>16</v>
      </c>
      <c r="B143" s="27">
        <v>2016.0</v>
      </c>
    </row>
    <row r="144">
      <c r="A144" s="6" t="s">
        <v>16</v>
      </c>
      <c r="B144" s="27">
        <v>2015.0</v>
      </c>
    </row>
    <row r="145">
      <c r="A145" s="51" t="s">
        <v>16</v>
      </c>
      <c r="B145" s="52">
        <v>2014.0</v>
      </c>
    </row>
    <row r="146">
      <c r="A146" s="6" t="s">
        <v>17</v>
      </c>
      <c r="B146" s="27">
        <v>2022.0</v>
      </c>
    </row>
    <row r="147">
      <c r="A147" s="6" t="s">
        <v>17</v>
      </c>
      <c r="B147" s="27">
        <v>2021.0</v>
      </c>
    </row>
    <row r="148">
      <c r="A148" s="6" t="s">
        <v>17</v>
      </c>
      <c r="B148" s="27">
        <v>2020.0</v>
      </c>
    </row>
    <row r="149">
      <c r="A149" s="6" t="s">
        <v>17</v>
      </c>
      <c r="B149" s="27">
        <v>2019.0</v>
      </c>
    </row>
    <row r="150">
      <c r="A150" s="6" t="s">
        <v>17</v>
      </c>
      <c r="B150" s="27">
        <v>2018.0</v>
      </c>
    </row>
    <row r="151">
      <c r="A151" s="6" t="s">
        <v>17</v>
      </c>
      <c r="B151" s="27">
        <v>2017.0</v>
      </c>
    </row>
    <row r="152">
      <c r="A152" s="6" t="s">
        <v>17</v>
      </c>
      <c r="B152" s="27">
        <v>2016.0</v>
      </c>
    </row>
    <row r="153">
      <c r="A153" s="6" t="s">
        <v>17</v>
      </c>
      <c r="B153" s="27">
        <v>2015.0</v>
      </c>
    </row>
    <row r="154">
      <c r="A154" s="51" t="s">
        <v>17</v>
      </c>
      <c r="B154" s="52">
        <v>2014.0</v>
      </c>
    </row>
    <row r="155">
      <c r="A155" s="6" t="s">
        <v>18</v>
      </c>
      <c r="B155" s="27">
        <v>2022.0</v>
      </c>
    </row>
    <row r="156">
      <c r="A156" s="6" t="s">
        <v>18</v>
      </c>
      <c r="B156" s="27">
        <v>2021.0</v>
      </c>
    </row>
    <row r="157">
      <c r="A157" s="6" t="s">
        <v>18</v>
      </c>
      <c r="B157" s="27">
        <v>2020.0</v>
      </c>
    </row>
    <row r="158">
      <c r="A158" s="6" t="s">
        <v>18</v>
      </c>
      <c r="B158" s="27">
        <v>2019.0</v>
      </c>
    </row>
    <row r="159">
      <c r="A159" s="6" t="s">
        <v>18</v>
      </c>
      <c r="B159" s="27">
        <v>2018.0</v>
      </c>
    </row>
    <row r="160">
      <c r="A160" s="6" t="s">
        <v>18</v>
      </c>
      <c r="B160" s="27">
        <v>2017.0</v>
      </c>
    </row>
    <row r="161">
      <c r="A161" s="6" t="s">
        <v>18</v>
      </c>
      <c r="B161" s="27">
        <v>2016.0</v>
      </c>
    </row>
    <row r="162">
      <c r="A162" s="6" t="s">
        <v>18</v>
      </c>
      <c r="B162" s="27">
        <v>2015.0</v>
      </c>
    </row>
    <row r="163">
      <c r="A163" s="51" t="s">
        <v>18</v>
      </c>
      <c r="B163" s="52">
        <v>2014.0</v>
      </c>
    </row>
    <row r="164">
      <c r="A164" s="6" t="s">
        <v>19</v>
      </c>
      <c r="B164" s="27">
        <v>2022.0</v>
      </c>
    </row>
    <row r="165">
      <c r="A165" s="6" t="s">
        <v>19</v>
      </c>
      <c r="B165" s="27">
        <v>2021.0</v>
      </c>
    </row>
    <row r="166">
      <c r="A166" s="6" t="s">
        <v>19</v>
      </c>
      <c r="B166" s="27">
        <v>2020.0</v>
      </c>
    </row>
    <row r="167">
      <c r="A167" s="6" t="s">
        <v>19</v>
      </c>
      <c r="B167" s="27">
        <v>2019.0</v>
      </c>
    </row>
    <row r="168">
      <c r="A168" s="6" t="s">
        <v>19</v>
      </c>
      <c r="B168" s="27">
        <v>2018.0</v>
      </c>
    </row>
    <row r="169">
      <c r="A169" s="6" t="s">
        <v>19</v>
      </c>
      <c r="B169" s="27">
        <v>2017.0</v>
      </c>
    </row>
    <row r="170">
      <c r="A170" s="6" t="s">
        <v>19</v>
      </c>
      <c r="B170" s="27">
        <v>2016.0</v>
      </c>
    </row>
    <row r="171">
      <c r="A171" s="6" t="s">
        <v>19</v>
      </c>
      <c r="B171" s="27">
        <v>2015.0</v>
      </c>
    </row>
    <row r="172">
      <c r="A172" s="51" t="s">
        <v>19</v>
      </c>
      <c r="B172" s="52">
        <v>2014.0</v>
      </c>
    </row>
    <row r="173">
      <c r="A173" s="6" t="s">
        <v>20</v>
      </c>
      <c r="B173" s="27">
        <v>2022.0</v>
      </c>
    </row>
    <row r="174">
      <c r="A174" s="6" t="s">
        <v>20</v>
      </c>
      <c r="B174" s="27">
        <v>2021.0</v>
      </c>
    </row>
    <row r="175">
      <c r="A175" s="6" t="s">
        <v>20</v>
      </c>
      <c r="B175" s="27">
        <v>2020.0</v>
      </c>
    </row>
    <row r="176">
      <c r="A176" s="6" t="s">
        <v>20</v>
      </c>
      <c r="B176" s="27">
        <v>2019.0</v>
      </c>
    </row>
    <row r="177">
      <c r="A177" s="6" t="s">
        <v>20</v>
      </c>
      <c r="B177" s="27">
        <v>2018.0</v>
      </c>
    </row>
    <row r="178">
      <c r="A178" s="6" t="s">
        <v>20</v>
      </c>
      <c r="B178" s="27">
        <v>2017.0</v>
      </c>
    </row>
    <row r="179">
      <c r="A179" s="6" t="s">
        <v>20</v>
      </c>
      <c r="B179" s="27">
        <v>2016.0</v>
      </c>
    </row>
    <row r="180">
      <c r="A180" s="6" t="s">
        <v>20</v>
      </c>
      <c r="B180" s="27">
        <v>2015.0</v>
      </c>
    </row>
    <row r="181">
      <c r="A181" s="51" t="s">
        <v>20</v>
      </c>
      <c r="B181" s="52">
        <v>2014.0</v>
      </c>
    </row>
    <row r="182">
      <c r="A182" s="6" t="s">
        <v>21</v>
      </c>
      <c r="B182" s="27">
        <v>2022.0</v>
      </c>
    </row>
    <row r="183">
      <c r="A183" s="6" t="s">
        <v>21</v>
      </c>
      <c r="B183" s="27">
        <v>2021.0</v>
      </c>
    </row>
    <row r="184">
      <c r="A184" s="6" t="s">
        <v>21</v>
      </c>
      <c r="B184" s="27">
        <v>2020.0</v>
      </c>
    </row>
    <row r="185">
      <c r="A185" s="6" t="s">
        <v>21</v>
      </c>
      <c r="B185" s="27">
        <v>2019.0</v>
      </c>
    </row>
    <row r="186">
      <c r="A186" s="6" t="s">
        <v>21</v>
      </c>
      <c r="B186" s="27">
        <v>2018.0</v>
      </c>
    </row>
    <row r="187">
      <c r="A187" s="6" t="s">
        <v>21</v>
      </c>
      <c r="B187" s="27">
        <v>2017.0</v>
      </c>
    </row>
    <row r="188">
      <c r="A188" s="6" t="s">
        <v>21</v>
      </c>
      <c r="B188" s="27">
        <v>2016.0</v>
      </c>
    </row>
    <row r="189">
      <c r="A189" s="6" t="s">
        <v>21</v>
      </c>
      <c r="B189" s="27">
        <v>2015.0</v>
      </c>
    </row>
    <row r="190">
      <c r="A190" s="51" t="s">
        <v>21</v>
      </c>
      <c r="B190" s="52">
        <v>2014.0</v>
      </c>
    </row>
    <row r="191">
      <c r="A191" s="6" t="s">
        <v>22</v>
      </c>
      <c r="B191" s="27">
        <v>2022.0</v>
      </c>
    </row>
    <row r="192">
      <c r="A192" s="6" t="s">
        <v>22</v>
      </c>
      <c r="B192" s="27">
        <v>2021.0</v>
      </c>
    </row>
    <row r="193">
      <c r="A193" s="6" t="s">
        <v>22</v>
      </c>
      <c r="B193" s="27">
        <v>2020.0</v>
      </c>
    </row>
    <row r="194">
      <c r="A194" s="6" t="s">
        <v>22</v>
      </c>
      <c r="B194" s="27">
        <v>2019.0</v>
      </c>
    </row>
    <row r="195">
      <c r="A195" s="6" t="s">
        <v>22</v>
      </c>
      <c r="B195" s="27">
        <v>2018.0</v>
      </c>
    </row>
    <row r="196">
      <c r="A196" s="6" t="s">
        <v>22</v>
      </c>
      <c r="B196" s="27">
        <v>2017.0</v>
      </c>
    </row>
    <row r="197">
      <c r="A197" s="6" t="s">
        <v>22</v>
      </c>
      <c r="B197" s="27">
        <v>2016.0</v>
      </c>
    </row>
    <row r="198">
      <c r="A198" s="6" t="s">
        <v>22</v>
      </c>
      <c r="B198" s="27">
        <v>2015.0</v>
      </c>
    </row>
    <row r="199">
      <c r="A199" s="51" t="s">
        <v>22</v>
      </c>
      <c r="B199" s="52">
        <v>2014.0</v>
      </c>
    </row>
    <row r="200">
      <c r="A200" s="6" t="s">
        <v>23</v>
      </c>
      <c r="B200" s="27">
        <v>2022.0</v>
      </c>
    </row>
    <row r="201">
      <c r="A201" s="6" t="s">
        <v>23</v>
      </c>
      <c r="B201" s="27">
        <v>2021.0</v>
      </c>
    </row>
    <row r="202">
      <c r="A202" s="6" t="s">
        <v>23</v>
      </c>
      <c r="B202" s="27">
        <v>2020.0</v>
      </c>
    </row>
    <row r="203">
      <c r="A203" s="6" t="s">
        <v>23</v>
      </c>
      <c r="B203" s="27">
        <v>2019.0</v>
      </c>
    </row>
    <row r="204">
      <c r="A204" s="6" t="s">
        <v>23</v>
      </c>
      <c r="B204" s="27">
        <v>2018.0</v>
      </c>
    </row>
    <row r="205">
      <c r="A205" s="6" t="s">
        <v>23</v>
      </c>
      <c r="B205" s="27">
        <v>2017.0</v>
      </c>
    </row>
    <row r="206">
      <c r="A206" s="6" t="s">
        <v>23</v>
      </c>
      <c r="B206" s="27">
        <v>2016.0</v>
      </c>
    </row>
    <row r="207">
      <c r="A207" s="6" t="s">
        <v>23</v>
      </c>
      <c r="B207" s="27">
        <v>2015.0</v>
      </c>
    </row>
    <row r="208">
      <c r="A208" s="51" t="s">
        <v>23</v>
      </c>
      <c r="B208" s="52">
        <v>2014.0</v>
      </c>
    </row>
    <row r="209">
      <c r="A209" s="6" t="s">
        <v>24</v>
      </c>
      <c r="B209" s="27">
        <v>2022.0</v>
      </c>
    </row>
    <row r="210">
      <c r="A210" s="6" t="s">
        <v>24</v>
      </c>
      <c r="B210" s="27">
        <v>2021.0</v>
      </c>
    </row>
    <row r="211">
      <c r="A211" s="6" t="s">
        <v>24</v>
      </c>
      <c r="B211" s="27">
        <v>2020.0</v>
      </c>
    </row>
    <row r="212">
      <c r="A212" s="6" t="s">
        <v>24</v>
      </c>
      <c r="B212" s="27">
        <v>2019.0</v>
      </c>
    </row>
    <row r="213">
      <c r="A213" s="6" t="s">
        <v>24</v>
      </c>
      <c r="B213" s="27">
        <v>2018.0</v>
      </c>
    </row>
    <row r="214">
      <c r="A214" s="6" t="s">
        <v>24</v>
      </c>
      <c r="B214" s="27">
        <v>2017.0</v>
      </c>
    </row>
    <row r="215">
      <c r="A215" s="6" t="s">
        <v>24</v>
      </c>
      <c r="B215" s="27">
        <v>2016.0</v>
      </c>
    </row>
    <row r="216">
      <c r="A216" s="6" t="s">
        <v>24</v>
      </c>
      <c r="B216" s="27">
        <v>2015.0</v>
      </c>
    </row>
    <row r="217">
      <c r="A217" s="51" t="s">
        <v>24</v>
      </c>
      <c r="B217" s="52">
        <v>2014.0</v>
      </c>
    </row>
    <row r="218">
      <c r="A218" s="6" t="s">
        <v>25</v>
      </c>
      <c r="B218" s="27">
        <v>2022.0</v>
      </c>
    </row>
    <row r="219">
      <c r="A219" s="6" t="s">
        <v>25</v>
      </c>
      <c r="B219" s="27">
        <v>2021.0</v>
      </c>
    </row>
    <row r="220">
      <c r="A220" s="6" t="s">
        <v>25</v>
      </c>
      <c r="B220" s="27">
        <v>2020.0</v>
      </c>
    </row>
    <row r="221">
      <c r="A221" s="6" t="s">
        <v>25</v>
      </c>
      <c r="B221" s="27">
        <v>2019.0</v>
      </c>
    </row>
    <row r="222">
      <c r="A222" s="6" t="s">
        <v>25</v>
      </c>
      <c r="B222" s="27">
        <v>2018.0</v>
      </c>
    </row>
    <row r="223">
      <c r="A223" s="6" t="s">
        <v>25</v>
      </c>
      <c r="B223" s="27">
        <v>2017.0</v>
      </c>
    </row>
    <row r="224">
      <c r="A224" s="6" t="s">
        <v>25</v>
      </c>
      <c r="B224" s="27">
        <v>2016.0</v>
      </c>
    </row>
    <row r="225">
      <c r="A225" s="6" t="s">
        <v>25</v>
      </c>
      <c r="B225" s="27">
        <v>2015.0</v>
      </c>
    </row>
    <row r="226">
      <c r="A226" s="51" t="s">
        <v>25</v>
      </c>
      <c r="B226" s="52">
        <v>2014.0</v>
      </c>
    </row>
    <row r="227">
      <c r="A227" s="6" t="s">
        <v>26</v>
      </c>
      <c r="B227" s="27">
        <v>2022.0</v>
      </c>
    </row>
    <row r="228">
      <c r="A228" s="6" t="s">
        <v>26</v>
      </c>
      <c r="B228" s="27">
        <v>2021.0</v>
      </c>
    </row>
    <row r="229">
      <c r="A229" s="6" t="s">
        <v>26</v>
      </c>
      <c r="B229" s="27">
        <v>2020.0</v>
      </c>
    </row>
    <row r="230">
      <c r="A230" s="6" t="s">
        <v>26</v>
      </c>
      <c r="B230" s="27">
        <v>2019.0</v>
      </c>
    </row>
    <row r="231">
      <c r="A231" s="6" t="s">
        <v>26</v>
      </c>
      <c r="B231" s="27">
        <v>2018.0</v>
      </c>
    </row>
    <row r="232">
      <c r="A232" s="6" t="s">
        <v>26</v>
      </c>
      <c r="B232" s="27">
        <v>2017.0</v>
      </c>
    </row>
    <row r="233">
      <c r="A233" s="6" t="s">
        <v>26</v>
      </c>
      <c r="B233" s="27">
        <v>2016.0</v>
      </c>
    </row>
    <row r="234">
      <c r="A234" s="6" t="s">
        <v>26</v>
      </c>
      <c r="B234" s="27">
        <v>2015.0</v>
      </c>
    </row>
    <row r="235">
      <c r="A235" s="51" t="s">
        <v>26</v>
      </c>
      <c r="B235" s="52">
        <v>2014.0</v>
      </c>
    </row>
    <row r="236">
      <c r="A236" s="6" t="s">
        <v>27</v>
      </c>
      <c r="B236" s="27">
        <v>2022.0</v>
      </c>
    </row>
    <row r="237">
      <c r="A237" s="6" t="s">
        <v>27</v>
      </c>
      <c r="B237" s="27">
        <v>2021.0</v>
      </c>
    </row>
    <row r="238">
      <c r="A238" s="6" t="s">
        <v>27</v>
      </c>
      <c r="B238" s="27">
        <v>2020.0</v>
      </c>
    </row>
    <row r="239">
      <c r="A239" s="6" t="s">
        <v>27</v>
      </c>
      <c r="B239" s="27">
        <v>2019.0</v>
      </c>
    </row>
    <row r="240">
      <c r="A240" s="6" t="s">
        <v>27</v>
      </c>
      <c r="B240" s="27">
        <v>2018.0</v>
      </c>
    </row>
    <row r="241">
      <c r="A241" s="6" t="s">
        <v>27</v>
      </c>
      <c r="B241" s="27">
        <v>2017.0</v>
      </c>
    </row>
    <row r="242">
      <c r="A242" s="6" t="s">
        <v>27</v>
      </c>
      <c r="B242" s="27">
        <v>2016.0</v>
      </c>
    </row>
    <row r="243">
      <c r="A243" s="6" t="s">
        <v>27</v>
      </c>
      <c r="B243" s="27">
        <v>2015.0</v>
      </c>
    </row>
    <row r="244">
      <c r="A244" s="51" t="s">
        <v>27</v>
      </c>
      <c r="B244" s="52">
        <v>2014.0</v>
      </c>
    </row>
    <row r="245">
      <c r="A245" s="6" t="s">
        <v>28</v>
      </c>
      <c r="B245" s="27">
        <v>2022.0</v>
      </c>
    </row>
    <row r="246">
      <c r="A246" s="6" t="s">
        <v>28</v>
      </c>
      <c r="B246" s="27">
        <v>2021.0</v>
      </c>
    </row>
    <row r="247">
      <c r="A247" s="6" t="s">
        <v>28</v>
      </c>
      <c r="B247" s="27">
        <v>2020.0</v>
      </c>
    </row>
    <row r="248">
      <c r="A248" s="6" t="s">
        <v>28</v>
      </c>
      <c r="B248" s="27">
        <v>2019.0</v>
      </c>
    </row>
    <row r="249">
      <c r="A249" s="6" t="s">
        <v>28</v>
      </c>
      <c r="B249" s="27">
        <v>2018.0</v>
      </c>
    </row>
    <row r="250">
      <c r="A250" s="6" t="s">
        <v>28</v>
      </c>
      <c r="B250" s="27">
        <v>2017.0</v>
      </c>
    </row>
    <row r="251">
      <c r="A251" s="6" t="s">
        <v>28</v>
      </c>
      <c r="B251" s="27">
        <v>2016.0</v>
      </c>
    </row>
    <row r="252">
      <c r="A252" s="6" t="s">
        <v>28</v>
      </c>
      <c r="B252" s="27">
        <v>2015.0</v>
      </c>
    </row>
    <row r="253">
      <c r="A253" s="51" t="s">
        <v>28</v>
      </c>
      <c r="B253" s="52">
        <v>2014.0</v>
      </c>
    </row>
    <row r="254">
      <c r="A254" s="6" t="s">
        <v>29</v>
      </c>
      <c r="B254" s="27">
        <v>2022.0</v>
      </c>
    </row>
    <row r="255">
      <c r="A255" s="6" t="s">
        <v>29</v>
      </c>
      <c r="B255" s="27">
        <v>2021.0</v>
      </c>
    </row>
    <row r="256">
      <c r="A256" s="6" t="s">
        <v>29</v>
      </c>
      <c r="B256" s="27">
        <v>2020.0</v>
      </c>
    </row>
    <row r="257">
      <c r="A257" s="6" t="s">
        <v>29</v>
      </c>
      <c r="B257" s="27">
        <v>2019.0</v>
      </c>
    </row>
    <row r="258">
      <c r="A258" s="6" t="s">
        <v>29</v>
      </c>
      <c r="B258" s="27">
        <v>2018.0</v>
      </c>
    </row>
    <row r="259">
      <c r="A259" s="6" t="s">
        <v>29</v>
      </c>
      <c r="B259" s="27">
        <v>2017.0</v>
      </c>
    </row>
    <row r="260">
      <c r="A260" s="6" t="s">
        <v>29</v>
      </c>
      <c r="B260" s="27">
        <v>2016.0</v>
      </c>
    </row>
    <row r="261">
      <c r="A261" s="6" t="s">
        <v>29</v>
      </c>
      <c r="B261" s="27">
        <v>2015.0</v>
      </c>
    </row>
    <row r="262">
      <c r="A262" s="51" t="s">
        <v>29</v>
      </c>
      <c r="B262" s="52">
        <v>2014.0</v>
      </c>
    </row>
  </sheetData>
  <drawing r:id="rId1"/>
</worksheet>
</file>