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urns" sheetId="1" r:id="rId5"/>
    <sheet state="visible" name="SR_Calculations" sheetId="2" r:id="rId6"/>
    <sheet state="visible" name="Impact_Observations" sheetId="3" r:id="rId7"/>
    <sheet state="visible" name="Correlation_Matrix" sheetId="4" r:id="rId8"/>
    <sheet state="visible" name="Ratio_EPS" sheetId="5" r:id="rId9"/>
    <sheet state="visible" name="Ratio_Payout" sheetId="6" r:id="rId10"/>
    <sheet state="visible" name="Ratio_PM" sheetId="7" r:id="rId11"/>
    <sheet state="visible" name="Ratio_PB" sheetId="8" r:id="rId12"/>
    <sheet state="visible" name="Ratio_PE" sheetId="9" r:id="rId13"/>
    <sheet state="visible" name="Ratio_PS" sheetId="10" r:id="rId14"/>
    <sheet state="visible" name="Ratio_CR" sheetId="11" r:id="rId15"/>
    <sheet state="visible" name="Ratio_DE" sheetId="12" r:id="rId16"/>
  </sheets>
  <definedNames/>
  <calcPr/>
</workbook>
</file>

<file path=xl/sharedStrings.xml><?xml version="1.0" encoding="utf-8"?>
<sst xmlns="http://schemas.openxmlformats.org/spreadsheetml/2006/main" count="412" uniqueCount="55">
  <si>
    <t>ANNUAL RETURN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</si>
  <si>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</si>
  <si>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</si>
  <si>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</si>
  <si>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</si>
  <si>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</si>
  <si>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</si>
  <si>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</si>
  <si>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</si>
  <si>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</si>
  <si>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</si>
  <si>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</si>
  <si>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</si>
  <si>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</si>
  <si>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</si>
  <si>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</si>
  <si>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</si>
  <si>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</si>
  <si>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</si>
  <si>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</si>
  <si>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</si>
  <si>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</si>
  <si>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</si>
  <si>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</si>
  <si>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</si>
  <si>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</si>
  <si>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</si>
  <si>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</si>
  <si>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</si>
  <si>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</si>
  <si>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Stock Name</t>
  </si>
  <si>
    <t>mean return</t>
  </si>
  <si>
    <t>semivariance</t>
  </si>
  <si>
    <t>S/R ratio</t>
  </si>
  <si>
    <t>Year</t>
  </si>
  <si>
    <t>EPS Impact</t>
  </si>
  <si>
    <t>Payout Impact</t>
  </si>
  <si>
    <t>PM Impact</t>
  </si>
  <si>
    <t>P/B Impact</t>
  </si>
  <si>
    <t>P/E Impact</t>
  </si>
  <si>
    <t>P/S Impact</t>
  </si>
  <si>
    <t>CR Impact</t>
  </si>
  <si>
    <t>D/E Impact</t>
  </si>
  <si>
    <t>EPS</t>
  </si>
  <si>
    <t>Payout</t>
  </si>
  <si>
    <t xml:space="preserve">PM </t>
  </si>
  <si>
    <t xml:space="preserve">P/B </t>
  </si>
  <si>
    <t xml:space="preserve">P/E </t>
  </si>
  <si>
    <t xml:space="preserve">P/S </t>
  </si>
  <si>
    <t xml:space="preserve">CR </t>
  </si>
  <si>
    <t xml:space="preserve">D/E </t>
  </si>
  <si>
    <t>Payout Ratio (Rank 1)</t>
  </si>
  <si>
    <t>Diluted EPS (Rank 2)</t>
  </si>
  <si>
    <t>Debt to Equity (Rank 3)</t>
  </si>
  <si>
    <t>Profit Margin (Rank 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</si>
</sst>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2.0"/>
      <color rgb="FF00B050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color rgb="FF181A1B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horizontal="right" shrinkToFit="0" vertical="bottom" wrapText="1"/>
    </xf>
    <xf borderId="0" fillId="0" fontId="5" numFmtId="0" xfId="0" applyAlignment="1" applyFont="1">
      <alignment horizontal="right" vertical="top"/>
    </xf>
    <xf borderId="0" fillId="0" fontId="2" numFmtId="0" xfId="0" applyAlignment="1" applyFont="1">
      <alignment readingOrder="0" shrinkToFit="0" vertical="bottom" wrapText="1"/>
    </xf>
    <xf borderId="0" fillId="0" fontId="1" numFmtId="4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Correlation_Matrix!$B$1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Correlation_Matrix!$B$2:$B$9</c:f>
              <c:numCache/>
            </c:numRef>
          </c:val>
        </c:ser>
        <c:ser>
          <c:idx val="1"/>
          <c:order val="1"/>
          <c:tx>
            <c:strRef>
              <c:f>Correlation_Matrix!$C$1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Correlation_Matrix!$C$2:$C$9</c:f>
              <c:numCache/>
            </c:numRef>
          </c:val>
        </c:ser>
        <c:ser>
          <c:idx val="2"/>
          <c:order val="2"/>
          <c:tx>
            <c:strRef>
              <c:f>Correlation_Matrix!$D$1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Correlation_Matrix!$D$2:$D$9</c:f>
              <c:numCache/>
            </c:numRef>
          </c:val>
        </c:ser>
        <c:ser>
          <c:idx val="3"/>
          <c:order val="3"/>
          <c:tx>
            <c:strRef>
              <c:f>Correlation_Matrix!$E$1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Correlation_Matrix!$E$2:$E$9</c:f>
              <c:numCache/>
            </c:numRef>
          </c:val>
        </c:ser>
        <c:ser>
          <c:idx val="4"/>
          <c:order val="4"/>
          <c:tx>
            <c:strRef>
              <c:f>Correlation_Matrix!$F$1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Correlation_Matrix!$F$2:$F$9</c:f>
              <c:numCache/>
            </c:numRef>
          </c:val>
        </c:ser>
        <c:ser>
          <c:idx val="5"/>
          <c:order val="5"/>
          <c:tx>
            <c:strRef>
              <c:f>Correlation_Matrix!$G$1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Correlation_Matrix!$G$2:$G$9</c:f>
              <c:numCache/>
            </c:numRef>
          </c:val>
        </c:ser>
        <c:ser>
          <c:idx val="6"/>
          <c:order val="6"/>
          <c:tx>
            <c:strRef>
              <c:f>Correlation_Matrix!$H$1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Correlation_Matrix!$H$2:$H$9</c:f>
              <c:numCache/>
            </c:numRef>
          </c:val>
        </c:ser>
        <c:ser>
          <c:idx val="7"/>
          <c:order val="7"/>
          <c:tx>
            <c:strRef>
              <c:f>Correlation_Matrix!$I$1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Correlation_Matrix!$I$2:$I$9</c:f>
              <c:numCache/>
            </c:numRef>
          </c:val>
        </c:ser>
        <c:axId val="481860321"/>
        <c:axId val="990468552"/>
      </c:barChart>
      <c:catAx>
        <c:axId val="481860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468552"/>
      </c:catAx>
      <c:valAx>
        <c:axId val="990468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8603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10</xdr:row>
      <xdr:rowOff>190500</xdr:rowOff>
    </xdr:from>
    <xdr:ext cx="11620500" cy="7181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619125</xdr:colOff>
      <xdr:row>65</xdr:row>
      <xdr:rowOff>180975</xdr:rowOff>
    </xdr:from>
    <xdr:ext cx="10963275" cy="48768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</cols>
  <sheetData>
    <row r="1">
      <c r="A1" s="1" t="s">
        <v>0</v>
      </c>
      <c r="B1" s="2">
        <v>2014.0</v>
      </c>
      <c r="C1" s="2">
        <v>2015.0</v>
      </c>
      <c r="D1" s="2">
        <v>2016.0</v>
      </c>
      <c r="E1" s="2">
        <v>2017.0</v>
      </c>
      <c r="F1" s="2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>
        <v>2023.0</v>
      </c>
      <c r="L1" s="2">
        <v>2024.0</v>
      </c>
      <c r="M1" s="2">
        <v>2025.0</v>
      </c>
    </row>
    <row r="2">
      <c r="A2" s="3" t="s">
        <v>1</v>
      </c>
      <c r="B2" s="4">
        <v>0.35135135</v>
      </c>
      <c r="C2" s="4">
        <v>0.642933</v>
      </c>
      <c r="D2" s="4">
        <v>-0.19591</v>
      </c>
      <c r="E2" s="4">
        <v>0.371821</v>
      </c>
      <c r="F2" s="4">
        <v>0.043702</v>
      </c>
      <c r="G2" s="4">
        <v>0.06584</v>
      </c>
      <c r="H2" s="4">
        <v>-0.33519</v>
      </c>
      <c r="I2" s="4">
        <v>1.796458</v>
      </c>
      <c r="J2" s="4">
        <v>0.10153</v>
      </c>
      <c r="K2" s="4">
        <v>-0.18383</v>
      </c>
      <c r="L2" s="4">
        <v>1.123615</v>
      </c>
      <c r="M2" s="4">
        <v>-0.118990833</v>
      </c>
    </row>
    <row r="3">
      <c r="A3" s="3" t="s">
        <v>2</v>
      </c>
      <c r="B3" s="4">
        <v>-0.88879619</v>
      </c>
      <c r="C3" s="4">
        <v>0.479872</v>
      </c>
      <c r="D3" s="4">
        <v>0.074127</v>
      </c>
      <c r="E3" s="4">
        <v>0.233107</v>
      </c>
      <c r="F3" s="4">
        <v>0.04621</v>
      </c>
      <c r="G3" s="4">
        <v>0.331222</v>
      </c>
      <c r="H3" s="4">
        <v>0.117166</v>
      </c>
      <c r="I3" s="4">
        <v>0.52202</v>
      </c>
      <c r="J3" s="4">
        <v>0.214842</v>
      </c>
      <c r="K3" s="4">
        <v>-0.10387</v>
      </c>
      <c r="L3" s="4">
        <v>0.030543</v>
      </c>
      <c r="M3" s="4">
        <v>-0.52997189</v>
      </c>
    </row>
    <row r="4">
      <c r="A4" s="3" t="s">
        <v>3</v>
      </c>
      <c r="B4" s="4">
        <v>0.1223439</v>
      </c>
      <c r="C4" s="4">
        <v>-0.61628</v>
      </c>
      <c r="D4" s="4">
        <v>-0.20673</v>
      </c>
      <c r="E4" s="4">
        <v>0.104038</v>
      </c>
      <c r="F4" s="4">
        <v>0.037897</v>
      </c>
      <c r="G4" s="4">
        <v>0.523557</v>
      </c>
      <c r="H4" s="4">
        <v>-0.51127</v>
      </c>
      <c r="I4" s="4">
        <v>0.838914</v>
      </c>
      <c r="J4" s="4">
        <v>0.090538</v>
      </c>
      <c r="K4" s="4">
        <v>0.128574</v>
      </c>
      <c r="L4" s="4">
        <v>0.221154</v>
      </c>
      <c r="M4" s="4">
        <v>0.051130402</v>
      </c>
    </row>
    <row r="5">
      <c r="A5" s="3" t="s">
        <v>4</v>
      </c>
      <c r="B5" s="4">
        <v>0.55069953</v>
      </c>
      <c r="C5" s="4">
        <v>1.288344</v>
      </c>
      <c r="D5" s="4">
        <v>0.691596</v>
      </c>
      <c r="E5" s="4">
        <v>-0.83056</v>
      </c>
      <c r="F5" s="4">
        <v>0.507325</v>
      </c>
      <c r="G5" s="4">
        <v>0.709196</v>
      </c>
      <c r="H5" s="4">
        <v>-0.26739</v>
      </c>
      <c r="I5" s="4">
        <v>1.323458</v>
      </c>
      <c r="J5" s="4">
        <v>0.409835</v>
      </c>
      <c r="K5" s="4">
        <v>-0.22643</v>
      </c>
      <c r="L5" s="4">
        <v>0.289374</v>
      </c>
      <c r="M5" s="4">
        <v>0.235955444</v>
      </c>
    </row>
    <row r="6">
      <c r="A6" s="3" t="s">
        <v>5</v>
      </c>
      <c r="B6" s="4">
        <v>0.02730109</v>
      </c>
      <c r="C6" s="4">
        <v>0.758352</v>
      </c>
      <c r="D6" s="4">
        <v>0.226205</v>
      </c>
      <c r="E6" s="4">
        <v>1.399296</v>
      </c>
      <c r="F6" s="4">
        <v>0.266831</v>
      </c>
      <c r="G6" s="4">
        <v>0.358575</v>
      </c>
      <c r="H6" s="4">
        <v>-0.34763</v>
      </c>
      <c r="I6" s="4">
        <v>1.106389</v>
      </c>
      <c r="J6" s="4">
        <v>0.763809</v>
      </c>
      <c r="K6" s="4">
        <v>-0.92574</v>
      </c>
      <c r="L6" s="4">
        <v>0.297943</v>
      </c>
      <c r="M6" s="4">
        <v>0.220424056</v>
      </c>
    </row>
    <row r="7">
      <c r="A7" s="3" t="s">
        <v>6</v>
      </c>
      <c r="B7" s="4">
        <v>-0.00391594</v>
      </c>
      <c r="C7" s="4">
        <v>1.924256</v>
      </c>
      <c r="D7" s="4">
        <v>-0.63567</v>
      </c>
      <c r="E7" s="4">
        <v>-0.87179</v>
      </c>
      <c r="F7" s="4">
        <v>-0.09146</v>
      </c>
      <c r="G7" s="4">
        <v>-0.34319</v>
      </c>
      <c r="H7" s="4">
        <v>-0.20311</v>
      </c>
      <c r="I7" s="4">
        <v>0.682582</v>
      </c>
      <c r="J7" s="4">
        <v>0.685452</v>
      </c>
      <c r="K7" s="4">
        <v>-0.53735</v>
      </c>
      <c r="L7" s="4">
        <v>1.065095</v>
      </c>
      <c r="M7" s="4">
        <v>0.495160089</v>
      </c>
    </row>
    <row r="8">
      <c r="A8" s="3" t="s">
        <v>7</v>
      </c>
      <c r="B8" s="4">
        <v>0.09287183</v>
      </c>
      <c r="C8" s="4">
        <v>0.235183</v>
      </c>
      <c r="D8" s="4">
        <v>-0.10916</v>
      </c>
      <c r="E8" s="4">
        <v>-0.00271</v>
      </c>
      <c r="F8" s="4">
        <v>0.139877</v>
      </c>
      <c r="G8" s="4">
        <v>-0.16546</v>
      </c>
      <c r="H8" s="4">
        <v>0.323521</v>
      </c>
      <c r="I8" s="4">
        <v>0.174081</v>
      </c>
      <c r="J8" s="4">
        <v>0.460275</v>
      </c>
      <c r="K8" s="4">
        <v>-0.00847</v>
      </c>
      <c r="L8" s="4">
        <v>0.640921</v>
      </c>
      <c r="M8" s="4">
        <v>0.408364184</v>
      </c>
    </row>
    <row r="9">
      <c r="A9" s="3" t="s">
        <v>8</v>
      </c>
      <c r="B9" s="4">
        <v>0.74696903</v>
      </c>
      <c r="C9" s="4">
        <v>-0.29547</v>
      </c>
      <c r="D9" s="4">
        <v>-0.16894</v>
      </c>
      <c r="E9" s="4">
        <v>0.072345</v>
      </c>
      <c r="F9" s="4">
        <v>0.110475</v>
      </c>
      <c r="G9" s="4">
        <v>0.122228</v>
      </c>
      <c r="H9" s="4">
        <v>-0.59858</v>
      </c>
      <c r="I9" s="4">
        <v>1.251746</v>
      </c>
      <c r="J9" s="4">
        <v>0.182927</v>
      </c>
      <c r="K9" s="4">
        <v>-0.06632</v>
      </c>
      <c r="L9" s="4">
        <v>0.420825</v>
      </c>
      <c r="M9" s="4">
        <v>0.030875397</v>
      </c>
    </row>
    <row r="10">
      <c r="A10" s="3" t="s">
        <v>9</v>
      </c>
      <c r="B10" s="4">
        <v>0.19988784</v>
      </c>
      <c r="C10" s="4">
        <v>0.365894</v>
      </c>
      <c r="D10" s="4">
        <v>0.04727</v>
      </c>
      <c r="E10" s="4">
        <v>0.346434</v>
      </c>
      <c r="F10" s="4">
        <v>0.311412</v>
      </c>
      <c r="G10" s="4">
        <v>0.224722</v>
      </c>
      <c r="H10" s="4">
        <v>-0.62789</v>
      </c>
      <c r="I10" s="4">
        <v>0.732657</v>
      </c>
      <c r="J10" s="4">
        <v>-0.0158</v>
      </c>
      <c r="K10" s="4">
        <v>0.095105</v>
      </c>
      <c r="L10" s="4">
        <v>-0.10036</v>
      </c>
      <c r="M10" s="4">
        <v>0.262601851</v>
      </c>
    </row>
    <row r="11">
      <c r="A11" s="3" t="s">
        <v>10</v>
      </c>
      <c r="B11" s="4">
        <v>0.29510835</v>
      </c>
      <c r="C11" s="4">
        <v>0.446037</v>
      </c>
      <c r="D11" s="4">
        <v>-0.0039</v>
      </c>
      <c r="E11" s="4">
        <v>0.046291</v>
      </c>
      <c r="F11" s="4">
        <v>0.468425</v>
      </c>
      <c r="G11" s="4">
        <v>0.278389</v>
      </c>
      <c r="H11" s="4">
        <v>0.345679</v>
      </c>
      <c r="I11" s="4">
        <v>0.05772</v>
      </c>
      <c r="J11" s="4">
        <v>-0.15713</v>
      </c>
      <c r="K11" s="4">
        <v>0.248871</v>
      </c>
      <c r="L11" s="4">
        <v>-0.11353</v>
      </c>
      <c r="M11" s="4">
        <v>-0.00392373</v>
      </c>
    </row>
    <row r="12">
      <c r="A12" s="3" t="s">
        <v>11</v>
      </c>
      <c r="B12" s="4">
        <v>0.19141914</v>
      </c>
      <c r="C12" s="4">
        <v>-0.74684</v>
      </c>
      <c r="D12" s="4">
        <v>-0.24976</v>
      </c>
      <c r="E12" s="4">
        <v>0.171423</v>
      </c>
      <c r="F12" s="4">
        <v>0.004691</v>
      </c>
      <c r="G12" s="4">
        <v>0.432651</v>
      </c>
      <c r="H12" s="4">
        <v>-0.18641</v>
      </c>
      <c r="I12" s="4">
        <v>0.791217</v>
      </c>
      <c r="J12" s="4">
        <v>0.256344</v>
      </c>
      <c r="K12" s="4">
        <v>0.201232</v>
      </c>
      <c r="L12" s="4">
        <v>0.249259</v>
      </c>
      <c r="M12" s="4">
        <v>0.230460373</v>
      </c>
    </row>
    <row r="13">
      <c r="A13" s="3" t="s">
        <v>12</v>
      </c>
      <c r="B13" s="4">
        <v>0.13458943</v>
      </c>
      <c r="C13" s="4">
        <v>-0.32397</v>
      </c>
      <c r="D13" s="4">
        <v>-0.45053</v>
      </c>
      <c r="E13" s="4">
        <v>-0.16187</v>
      </c>
      <c r="F13" s="4">
        <v>0.111285</v>
      </c>
      <c r="G13" s="4">
        <v>-0.34565</v>
      </c>
      <c r="H13" s="4">
        <v>-0.13741</v>
      </c>
      <c r="I13" s="4">
        <v>1.136108</v>
      </c>
      <c r="J13" s="4">
        <v>0.394407</v>
      </c>
      <c r="K13" s="4">
        <v>-0.27779</v>
      </c>
      <c r="L13" s="4">
        <v>0.088137</v>
      </c>
      <c r="M13" s="4">
        <v>0.047771551</v>
      </c>
    </row>
    <row r="14">
      <c r="A14" s="3" t="s">
        <v>13</v>
      </c>
      <c r="B14" s="4">
        <v>0.14186347</v>
      </c>
      <c r="C14" s="4">
        <v>-0.07791</v>
      </c>
      <c r="D14" s="4">
        <v>0.007989</v>
      </c>
      <c r="E14" s="4">
        <v>-0.1451</v>
      </c>
      <c r="F14" s="4">
        <v>-0.08754</v>
      </c>
      <c r="G14" s="4">
        <v>0.159437</v>
      </c>
      <c r="H14" s="4">
        <v>-0.42029</v>
      </c>
      <c r="I14" s="4">
        <v>0.270349</v>
      </c>
      <c r="J14" s="4">
        <v>0.147826</v>
      </c>
      <c r="K14" s="4">
        <v>0.528907</v>
      </c>
      <c r="L14" s="4">
        <v>0.117616</v>
      </c>
      <c r="M14" s="4">
        <v>-0.043752188</v>
      </c>
    </row>
    <row r="15">
      <c r="A15" s="3" t="s">
        <v>14</v>
      </c>
      <c r="B15" s="4">
        <v>0.19435063</v>
      </c>
      <c r="C15" s="4">
        <v>0.687853</v>
      </c>
      <c r="D15" s="4">
        <v>-0.4814</v>
      </c>
      <c r="E15" s="4">
        <v>0.280617</v>
      </c>
      <c r="F15" s="4">
        <v>0.202385</v>
      </c>
      <c r="G15" s="4">
        <v>0.273841</v>
      </c>
      <c r="H15" s="4">
        <v>-0.0295</v>
      </c>
      <c r="I15" s="4">
        <v>0.35303</v>
      </c>
      <c r="J15" s="4">
        <v>3.99E-4</v>
      </c>
      <c r="K15" s="4">
        <v>-0.01208</v>
      </c>
      <c r="L15" s="4">
        <v>0.03017</v>
      </c>
      <c r="M15" s="4">
        <v>0.215869638</v>
      </c>
    </row>
    <row r="16">
      <c r="A16" s="3" t="s">
        <v>15</v>
      </c>
      <c r="B16" s="4">
        <v>-0.06758737</v>
      </c>
      <c r="C16" s="4">
        <v>0.350725</v>
      </c>
      <c r="D16" s="4">
        <v>-0.2925</v>
      </c>
      <c r="E16" s="4">
        <v>0.297155</v>
      </c>
      <c r="F16" s="4">
        <v>-0.16842</v>
      </c>
      <c r="G16" s="4">
        <v>0.054997</v>
      </c>
      <c r="H16" s="4">
        <v>-0.41704</v>
      </c>
      <c r="I16" s="4">
        <v>0.757886</v>
      </c>
      <c r="J16" s="4">
        <v>0.246131</v>
      </c>
      <c r="K16" s="4">
        <v>0.224787</v>
      </c>
      <c r="L16" s="4">
        <v>0.743435</v>
      </c>
      <c r="M16" s="4">
        <v>-0.075011261</v>
      </c>
    </row>
    <row r="17">
      <c r="A17" s="3" t="s">
        <v>16</v>
      </c>
      <c r="B17" s="4">
        <v>0.13876793</v>
      </c>
      <c r="C17" s="4">
        <v>0.210575</v>
      </c>
      <c r="D17" s="4">
        <v>0.018953</v>
      </c>
      <c r="E17" s="4">
        <v>0.062043</v>
      </c>
      <c r="F17" s="4">
        <v>-0.42383</v>
      </c>
      <c r="G17" s="4">
        <v>-0.09241</v>
      </c>
      <c r="H17" s="4">
        <v>-0.57577</v>
      </c>
      <c r="I17" s="4">
        <v>1.789825</v>
      </c>
      <c r="J17" s="4">
        <v>0.013457</v>
      </c>
      <c r="K17" s="4">
        <v>0.437764</v>
      </c>
      <c r="L17" s="4">
        <v>0.658409</v>
      </c>
      <c r="M17" s="4">
        <v>0.387748198</v>
      </c>
    </row>
    <row r="18">
      <c r="A18" s="3" t="s">
        <v>17</v>
      </c>
      <c r="B18" s="4">
        <v>0.54051731</v>
      </c>
      <c r="C18" s="4">
        <v>0.876458</v>
      </c>
      <c r="D18" s="4">
        <v>0.005366</v>
      </c>
      <c r="E18" s="4">
        <v>0.619827</v>
      </c>
      <c r="F18" s="4">
        <v>0.471233</v>
      </c>
      <c r="G18" s="4">
        <v>-0.24725</v>
      </c>
      <c r="H18" s="4">
        <v>-0.35732</v>
      </c>
      <c r="I18" s="4">
        <v>0.599848</v>
      </c>
      <c r="J18" s="4">
        <v>0.102066</v>
      </c>
      <c r="K18" s="4">
        <v>0.096926</v>
      </c>
      <c r="L18" s="4">
        <v>0.520998</v>
      </c>
      <c r="M18" s="4">
        <v>-0.086548906</v>
      </c>
    </row>
    <row r="19">
      <c r="A19" s="3" t="s">
        <v>18</v>
      </c>
      <c r="B19" s="4">
        <v>-0.15528169</v>
      </c>
      <c r="C19" s="4">
        <v>0.228429</v>
      </c>
      <c r="D19" s="4">
        <v>-0.12589</v>
      </c>
      <c r="E19" s="4">
        <v>0.288432</v>
      </c>
      <c r="F19" s="4">
        <v>0.022597</v>
      </c>
      <c r="G19" s="4">
        <v>-0.20242</v>
      </c>
      <c r="H19" s="4">
        <v>-0.37791</v>
      </c>
      <c r="I19" s="4">
        <v>0.264252</v>
      </c>
      <c r="J19" s="4">
        <v>0.267731</v>
      </c>
      <c r="K19" s="4">
        <v>0.298629</v>
      </c>
      <c r="L19" s="4">
        <v>0.916976</v>
      </c>
      <c r="M19" s="4">
        <v>0.064592945</v>
      </c>
    </row>
    <row r="20">
      <c r="A20" s="3" t="s">
        <v>19</v>
      </c>
      <c r="B20" s="4">
        <v>-0.00849457</v>
      </c>
      <c r="C20" s="4">
        <v>0.382199</v>
      </c>
      <c r="D20" s="4">
        <v>-0.04201</v>
      </c>
      <c r="E20" s="4">
        <v>0.417685</v>
      </c>
      <c r="F20" s="4">
        <v>-0.01699</v>
      </c>
      <c r="G20" s="4">
        <v>0.021924</v>
      </c>
      <c r="H20" s="4">
        <v>-0.19738</v>
      </c>
      <c r="I20" s="4">
        <v>0.356289</v>
      </c>
      <c r="J20" s="4">
        <v>0.005565</v>
      </c>
      <c r="K20" s="4">
        <v>0.040812</v>
      </c>
      <c r="L20" s="4">
        <v>0.227514</v>
      </c>
      <c r="M20" s="4">
        <v>0.048366721</v>
      </c>
    </row>
    <row r="21">
      <c r="A21" s="3" t="s">
        <v>20</v>
      </c>
      <c r="B21" s="4">
        <v>0.20137004</v>
      </c>
      <c r="C21" s="4">
        <v>-0.11275</v>
      </c>
      <c r="D21" s="4">
        <v>0.267431</v>
      </c>
      <c r="E21" s="4">
        <v>0.26209</v>
      </c>
      <c r="F21" s="4">
        <v>-0.33081</v>
      </c>
      <c r="G21" s="4">
        <v>0.544008</v>
      </c>
      <c r="H21" s="4">
        <v>-0.18385</v>
      </c>
      <c r="I21" s="4">
        <v>0.80071</v>
      </c>
      <c r="J21" s="4">
        <v>0.314871</v>
      </c>
      <c r="K21" s="4">
        <v>-0.115</v>
      </c>
      <c r="L21" s="4">
        <v>0.277021</v>
      </c>
      <c r="M21" s="4">
        <v>-0.571687718</v>
      </c>
    </row>
    <row r="22">
      <c r="A22" s="3" t="s">
        <v>21</v>
      </c>
      <c r="B22" s="4">
        <v>6.67013195</v>
      </c>
      <c r="C22" s="4">
        <v>-0.86081</v>
      </c>
      <c r="D22" s="4">
        <v>-0.27228</v>
      </c>
      <c r="E22" s="4">
        <v>0.505919</v>
      </c>
      <c r="F22" s="4">
        <v>-0.14525</v>
      </c>
      <c r="G22" s="4">
        <v>0.282687</v>
      </c>
      <c r="H22" s="4">
        <v>-0.38607</v>
      </c>
      <c r="I22" s="4">
        <v>0.849962</v>
      </c>
      <c r="J22" s="4">
        <v>0.354192</v>
      </c>
      <c r="K22" s="4">
        <v>0.061411</v>
      </c>
      <c r="L22" s="4">
        <v>0.437082</v>
      </c>
      <c r="M22" s="4">
        <v>0.025245815</v>
      </c>
    </row>
    <row r="23">
      <c r="A23" s="3" t="s">
        <v>22</v>
      </c>
      <c r="B23" s="4">
        <v>-0.2993829</v>
      </c>
      <c r="C23" s="4">
        <v>0.0</v>
      </c>
      <c r="D23" s="4">
        <v>0.429232</v>
      </c>
      <c r="E23" s="4">
        <v>-0.16078</v>
      </c>
      <c r="F23" s="4">
        <v>-0.27963</v>
      </c>
      <c r="G23" s="4">
        <v>-0.0326</v>
      </c>
      <c r="H23" s="4">
        <v>-0.2651</v>
      </c>
      <c r="I23" s="4">
        <v>0.696763</v>
      </c>
      <c r="J23" s="4">
        <v>0.53079</v>
      </c>
      <c r="K23" s="4">
        <v>0.074661</v>
      </c>
      <c r="L23" s="4">
        <v>0.648357</v>
      </c>
      <c r="M23" s="4">
        <v>0.070934897</v>
      </c>
    </row>
    <row r="24">
      <c r="A24" s="3" t="s">
        <v>23</v>
      </c>
      <c r="B24" s="4">
        <v>0.47920535</v>
      </c>
      <c r="C24" s="4">
        <v>0.38057</v>
      </c>
      <c r="D24" s="4">
        <v>-0.29757</v>
      </c>
      <c r="E24" s="4">
        <v>0.206187</v>
      </c>
      <c r="F24" s="4">
        <v>-0.29724</v>
      </c>
      <c r="G24" s="4">
        <v>-0.4677</v>
      </c>
      <c r="H24" s="4">
        <v>-0.59237</v>
      </c>
      <c r="I24" s="4">
        <v>3.248417</v>
      </c>
      <c r="J24" s="4">
        <v>0.436144</v>
      </c>
      <c r="K24" s="4">
        <v>-0.02976</v>
      </c>
      <c r="L24" s="4">
        <v>1.360913</v>
      </c>
      <c r="M24" s="4">
        <v>-0.321198389</v>
      </c>
    </row>
    <row r="25">
      <c r="A25" s="3" t="s">
        <v>24</v>
      </c>
      <c r="B25" s="4">
        <v>0.26112712</v>
      </c>
      <c r="C25" s="4">
        <v>-0.19551</v>
      </c>
      <c r="D25" s="4">
        <v>0.008364</v>
      </c>
      <c r="E25" s="4">
        <v>0.510642</v>
      </c>
      <c r="F25" s="4">
        <v>0.182845</v>
      </c>
      <c r="G25" s="4">
        <v>-0.08767</v>
      </c>
      <c r="H25" s="4">
        <v>-0.4821</v>
      </c>
      <c r="I25" s="4">
        <v>2.010009</v>
      </c>
      <c r="J25" s="4">
        <v>0.609767</v>
      </c>
      <c r="K25" s="4">
        <v>-0.92005</v>
      </c>
      <c r="L25" s="4">
        <v>0.491866</v>
      </c>
      <c r="M25" s="4">
        <v>-0.010583708</v>
      </c>
    </row>
    <row r="26">
      <c r="A26" s="3" t="s">
        <v>25</v>
      </c>
      <c r="B26" s="4">
        <v>0.35402087</v>
      </c>
      <c r="C26" s="4">
        <v>0.196781</v>
      </c>
      <c r="D26" s="4">
        <v>-0.01217</v>
      </c>
      <c r="E26" s="4">
        <v>-0.03376</v>
      </c>
      <c r="F26" s="4">
        <v>0.172021</v>
      </c>
      <c r="G26" s="4">
        <v>-0.29793</v>
      </c>
      <c r="H26" s="4">
        <v>-0.08866</v>
      </c>
      <c r="I26" s="4">
        <v>0.743013</v>
      </c>
      <c r="J26" s="4">
        <v>0.176611</v>
      </c>
      <c r="K26" s="4">
        <v>-0.14256</v>
      </c>
      <c r="L26" s="4">
        <v>0.211414</v>
      </c>
      <c r="M26" s="4">
        <v>-0.071867235</v>
      </c>
    </row>
    <row r="27">
      <c r="A27" s="3" t="s">
        <v>26</v>
      </c>
      <c r="B27" s="4">
        <v>0.69433036</v>
      </c>
      <c r="C27" s="4">
        <v>-0.64924</v>
      </c>
      <c r="D27" s="4">
        <v>-0.24466</v>
      </c>
      <c r="E27" s="4">
        <v>-0.03334</v>
      </c>
      <c r="F27" s="4">
        <v>0.388816</v>
      </c>
      <c r="G27" s="4">
        <v>0.216043</v>
      </c>
      <c r="H27" s="4">
        <v>-0.27216</v>
      </c>
      <c r="I27" s="4">
        <v>0.75458</v>
      </c>
      <c r="J27" s="4">
        <v>0.512535</v>
      </c>
      <c r="K27" s="4">
        <v>-0.26509</v>
      </c>
      <c r="L27" s="4">
        <v>0.134819</v>
      </c>
      <c r="M27" s="4">
        <v>0.134037108</v>
      </c>
    </row>
    <row r="28">
      <c r="A28" s="3" t="s">
        <v>27</v>
      </c>
      <c r="B28" s="4">
        <v>0.02319688</v>
      </c>
      <c r="C28" s="4">
        <v>0.493618</v>
      </c>
      <c r="D28" s="4">
        <v>-0.13571</v>
      </c>
      <c r="E28" s="4">
        <v>0.36157</v>
      </c>
      <c r="F28" s="4">
        <v>1.040321</v>
      </c>
      <c r="G28" s="4">
        <v>0.208564</v>
      </c>
      <c r="H28" s="4">
        <v>-0.17934</v>
      </c>
      <c r="I28" s="4">
        <v>0.668345</v>
      </c>
      <c r="J28" s="4">
        <v>0.628451</v>
      </c>
      <c r="K28" s="4">
        <v>-0.0083</v>
      </c>
      <c r="L28" s="4">
        <v>0.512763</v>
      </c>
      <c r="M28" s="4">
        <v>-0.194743413</v>
      </c>
    </row>
    <row r="29">
      <c r="A29" s="3" t="s">
        <v>28</v>
      </c>
      <c r="B29" s="4">
        <v>0.02991303</v>
      </c>
      <c r="C29" s="4">
        <v>0.433516</v>
      </c>
      <c r="D29" s="4">
        <v>0.080158</v>
      </c>
      <c r="E29" s="4">
        <v>-0.83251</v>
      </c>
      <c r="F29" s="4">
        <v>0.30303</v>
      </c>
      <c r="G29" s="4">
        <v>0.039578</v>
      </c>
      <c r="H29" s="4">
        <v>0.331666</v>
      </c>
      <c r="I29" s="4">
        <v>0.568239</v>
      </c>
      <c r="J29" s="4">
        <v>0.69847</v>
      </c>
      <c r="K29" s="4">
        <v>0.077327</v>
      </c>
      <c r="L29" s="4">
        <v>1.871391</v>
      </c>
      <c r="M29" s="4">
        <v>0.345097443</v>
      </c>
    </row>
    <row r="30">
      <c r="A30" s="3" t="s">
        <v>29</v>
      </c>
      <c r="B30" s="4">
        <v>0.17178801</v>
      </c>
      <c r="C30" s="4">
        <v>0.313445</v>
      </c>
      <c r="D30" s="4">
        <v>0.122435</v>
      </c>
      <c r="E30" s="4">
        <v>0.236427</v>
      </c>
      <c r="F30" s="4">
        <v>-0.01055</v>
      </c>
      <c r="G30" s="4">
        <v>0.012969</v>
      </c>
      <c r="H30" s="4">
        <v>-0.18624</v>
      </c>
      <c r="I30" s="4">
        <v>1.070308</v>
      </c>
      <c r="J30" s="4">
        <v>-0.02006</v>
      </c>
      <c r="K30" s="4">
        <v>0.154169</v>
      </c>
      <c r="L30" s="4">
        <v>0.278878</v>
      </c>
      <c r="M30" s="4">
        <v>0.180548073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5" t="s">
        <v>30</v>
      </c>
      <c r="B1" s="6" t="s">
        <v>31</v>
      </c>
      <c r="C1" s="6" t="s">
        <v>32</v>
      </c>
      <c r="D1" s="6" t="s">
        <v>33</v>
      </c>
    </row>
    <row r="2">
      <c r="A2" s="3" t="s">
        <v>1</v>
      </c>
      <c r="B2" s="7">
        <f>AVERAGE(Returns!B2:M2)</f>
        <v>0.3052774598</v>
      </c>
      <c r="C2" s="7">
        <f t="array" ref="C2">AVERAGE(IF(Returns!B2:M2 &lt; B2, ( Returns!B2:M2 - B2 )^2, 0))</f>
        <v>0.1039901812</v>
      </c>
      <c r="D2" s="7">
        <f t="shared" ref="D2:D30" si="1">C2 / B2</f>
        <v>0.3406415306</v>
      </c>
    </row>
    <row r="3">
      <c r="A3" s="3" t="s">
        <v>2</v>
      </c>
      <c r="B3" s="7">
        <f>AVERAGE(Returns!B3:M3)</f>
        <v>0.04387257667</v>
      </c>
      <c r="C3" s="7">
        <f t="array" ref="C3">AVERAGE(IF(Returns!B3:M3 &lt; B3, ( Returns!B3:M3 - B3 )^2, 0))</f>
        <v>0.1017645039</v>
      </c>
      <c r="D3" s="7">
        <f t="shared" si="1"/>
        <v>2.319547007</v>
      </c>
    </row>
    <row r="4">
      <c r="A4" s="3" t="s">
        <v>3</v>
      </c>
      <c r="B4" s="7">
        <f>AVERAGE(Returns!B4:M4)</f>
        <v>0.06532219183</v>
      </c>
      <c r="C4" s="7">
        <f t="array" ref="C4">AVERAGE(IF(Returns!B4:M4 &lt; B4, ( Returns!B4:M4 - B4 )^2, 0))</f>
        <v>0.07266717056</v>
      </c>
      <c r="D4" s="7">
        <f t="shared" si="1"/>
        <v>1.112442319</v>
      </c>
    </row>
    <row r="5">
      <c r="A5" s="3" t="s">
        <v>4</v>
      </c>
      <c r="B5" s="7">
        <f>AVERAGE(Returns!B5:M5)</f>
        <v>0.3901169145</v>
      </c>
      <c r="C5" s="7">
        <f t="array" ref="C5">AVERAGE(IF(Returns!B5:M5 &lt; B5, ( Returns!B5:M5 - B5 )^2, 0))</f>
        <v>0.1947010386</v>
      </c>
      <c r="D5" s="7">
        <f t="shared" si="1"/>
        <v>0.4990838167</v>
      </c>
    </row>
    <row r="6">
      <c r="A6" s="3" t="s">
        <v>5</v>
      </c>
      <c r="B6" s="7">
        <f>AVERAGE(Returns!B6:M6)</f>
        <v>0.3459795955</v>
      </c>
      <c r="C6" s="7">
        <f t="array" ref="C6">AVERAGE(IF(Returns!B6:M6 &lt; B6, ( Returns!B6:M6 - B6 )^2, 0))</f>
        <v>0.1865502627</v>
      </c>
      <c r="D6" s="7">
        <f t="shared" si="1"/>
        <v>0.5391944066</v>
      </c>
    </row>
    <row r="7">
      <c r="A7" s="3" t="s">
        <v>6</v>
      </c>
      <c r="B7" s="7">
        <f>AVERAGE(Returns!B7:M7)</f>
        <v>0.1805049291</v>
      </c>
      <c r="C7" s="7">
        <f t="array" ref="C7">AVERAGE(IF(Returns!B7:M7 &lt; B7, ( Returns!B7:M7 - B7 )^2, 0))</f>
        <v>0.2348478837</v>
      </c>
      <c r="D7" s="7">
        <f t="shared" si="1"/>
        <v>1.301060779</v>
      </c>
    </row>
    <row r="8">
      <c r="A8" s="3" t="s">
        <v>7</v>
      </c>
      <c r="B8" s="7">
        <f>AVERAGE(Returns!B8:M8)</f>
        <v>0.1824411678</v>
      </c>
      <c r="C8" s="7">
        <f t="array" ref="C8">AVERAGE(IF(Returns!B8:M8 &lt; B8, ( Returns!B8:M8 - B8 )^2, 0))</f>
        <v>0.02389156331</v>
      </c>
      <c r="D8" s="7">
        <f t="shared" si="1"/>
        <v>0.1309548913</v>
      </c>
    </row>
    <row r="9">
      <c r="A9" s="3" t="s">
        <v>8</v>
      </c>
      <c r="B9" s="7">
        <f>AVERAGE(Returns!B9:M9)</f>
        <v>0.1507567023</v>
      </c>
      <c r="C9" s="7">
        <f t="array" ref="C9">AVERAGE(IF(Returns!B9:M9 &lt; B9, ( Returns!B9:M9 - B9 )^2, 0))</f>
        <v>0.077742372</v>
      </c>
      <c r="D9" s="7">
        <f t="shared" si="1"/>
        <v>0.5156810334</v>
      </c>
    </row>
    <row r="10">
      <c r="A10" s="3" t="s">
        <v>9</v>
      </c>
      <c r="B10" s="7">
        <f>AVERAGE(Returns!B10:M10)</f>
        <v>0.1534944743</v>
      </c>
      <c r="C10" s="7">
        <f t="array" ref="C10">AVERAGE(IF(Returns!B10:M10 &lt; B10, ( Returns!B10:M10 - B10 )^2, 0))</f>
        <v>0.05986311495</v>
      </c>
      <c r="D10" s="7">
        <f t="shared" si="1"/>
        <v>0.3900017589</v>
      </c>
    </row>
    <row r="11">
      <c r="A11" s="3" t="s">
        <v>10</v>
      </c>
      <c r="B11" s="7">
        <f>AVERAGE(Returns!B11:M11)</f>
        <v>0.1590030517</v>
      </c>
      <c r="C11" s="7">
        <f t="array" ref="C11">AVERAGE(IF(Returns!B11:M11 &lt; B11, ( Returns!B11:M11 - B11 )^2, 0))</f>
        <v>0.02085493118</v>
      </c>
      <c r="D11" s="7">
        <f t="shared" si="1"/>
        <v>0.1311605718</v>
      </c>
    </row>
    <row r="12">
      <c r="A12" s="3" t="s">
        <v>11</v>
      </c>
      <c r="B12" s="7">
        <f>AVERAGE(Returns!B12:M12)</f>
        <v>0.1121405428</v>
      </c>
      <c r="C12" s="7">
        <f t="array" ref="C12">AVERAGE(IF(Returns!B12:M12 &lt; B12, ( Returns!B12:M12 - B12 )^2, 0))</f>
        <v>0.08079145054</v>
      </c>
      <c r="D12" s="7">
        <f t="shared" si="1"/>
        <v>0.7204481855</v>
      </c>
    </row>
    <row r="13">
      <c r="A13" s="3" t="s">
        <v>12</v>
      </c>
      <c r="B13" s="7">
        <f>AVERAGE(Returns!B13:M13)</f>
        <v>0.01792316508</v>
      </c>
      <c r="C13" s="7">
        <f t="array" ref="C13">AVERAGE(IF(Returns!B13:M13 &lt; B13, ( Returns!B13:M13 - B13 )^2, 0))</f>
        <v>0.05103541675</v>
      </c>
      <c r="D13" s="7">
        <f t="shared" si="1"/>
        <v>2.847455598</v>
      </c>
    </row>
    <row r="14">
      <c r="A14" s="3" t="s">
        <v>13</v>
      </c>
      <c r="B14" s="7">
        <f>AVERAGE(Returns!B14:M14)</f>
        <v>0.04994960683</v>
      </c>
      <c r="C14" s="7">
        <f t="array" ref="C14">AVERAGE(IF(Returns!B14:M14 &lt; B14, ( Returns!B14:M14 - B14 )^2, 0))</f>
        <v>0.02541348557</v>
      </c>
      <c r="D14" s="7">
        <f t="shared" si="1"/>
        <v>0.5087824947</v>
      </c>
    </row>
    <row r="15">
      <c r="A15" s="3" t="s">
        <v>14</v>
      </c>
      <c r="B15" s="7">
        <f>AVERAGE(Returns!B15:M15)</f>
        <v>0.1429612723</v>
      </c>
      <c r="C15" s="7">
        <f t="array" ref="C15">AVERAGE(IF(Returns!B15:M15 &lt; B15, ( Returns!B15:M15 - B15 )^2, 0))</f>
        <v>0.0397211298</v>
      </c>
      <c r="D15" s="7">
        <f t="shared" si="1"/>
        <v>0.2778453853</v>
      </c>
    </row>
    <row r="16">
      <c r="A16" s="3" t="s">
        <v>15</v>
      </c>
      <c r="B16" s="7">
        <f>AVERAGE(Returns!B16:M16)</f>
        <v>0.1378797808</v>
      </c>
      <c r="C16" s="7">
        <f t="array" ref="C16">AVERAGE(IF(Returns!B16:M16 &lt; B16, ( Returns!B16:M16 - B16 )^2, 0))</f>
        <v>0.05678259796</v>
      </c>
      <c r="D16" s="7">
        <f t="shared" si="1"/>
        <v>0.4118268657</v>
      </c>
    </row>
    <row r="17">
      <c r="A17" s="3" t="s">
        <v>16</v>
      </c>
      <c r="B17" s="7">
        <f>AVERAGE(Returns!B17:M17)</f>
        <v>0.218794344</v>
      </c>
      <c r="C17" s="7">
        <f t="array" ref="C17">AVERAGE(IF(Returns!B17:M17 &lt; B17, ( Returns!B17:M17 - B17 )^2, 0))</f>
        <v>0.1045241203</v>
      </c>
      <c r="D17" s="7">
        <f t="shared" si="1"/>
        <v>0.4777277073</v>
      </c>
    </row>
    <row r="18">
      <c r="A18" s="3" t="s">
        <v>17</v>
      </c>
      <c r="B18" s="7">
        <f>AVERAGE(Returns!B18:M18)</f>
        <v>0.261843367</v>
      </c>
      <c r="C18" s="7">
        <f t="array" ref="C18">AVERAGE(IF(Returns!B18:M18 &lt; B18, ( Returns!B18:M18 - B18 )^2, 0))</f>
        <v>0.07353530766</v>
      </c>
      <c r="D18" s="7">
        <f t="shared" si="1"/>
        <v>0.2808370077</v>
      </c>
    </row>
    <row r="19">
      <c r="A19" s="3" t="s">
        <v>18</v>
      </c>
      <c r="B19" s="7">
        <f>AVERAGE(Returns!B19:M19)</f>
        <v>0.1241781046</v>
      </c>
      <c r="C19" s="7">
        <f t="array" ref="C19">AVERAGE(IF(Returns!B19:M19 &lt; B19, ( Returns!B19:M19 - B19 )^2, 0))</f>
        <v>0.04277164437</v>
      </c>
      <c r="D19" s="7">
        <f t="shared" si="1"/>
        <v>0.3444378904</v>
      </c>
    </row>
    <row r="20">
      <c r="A20" s="3" t="s">
        <v>19</v>
      </c>
      <c r="B20" s="7">
        <f>AVERAGE(Returns!B20:M20)</f>
        <v>0.1029566793</v>
      </c>
      <c r="C20" s="7">
        <f t="array" ref="C20">AVERAGE(IF(Returns!B20:M20 &lt; B20, ( Returns!B20:M20 - B20 )^2, 0))</f>
        <v>0.01340995873</v>
      </c>
      <c r="D20" s="7">
        <f t="shared" si="1"/>
        <v>0.1302485553</v>
      </c>
    </row>
    <row r="21">
      <c r="A21" s="3" t="s">
        <v>20</v>
      </c>
      <c r="B21" s="7">
        <f>AVERAGE(Returns!B21:M21)</f>
        <v>0.1127836102</v>
      </c>
      <c r="C21" s="7">
        <f t="array" ref="C21">AVERAGE(IF(Returns!B21:M21 &lt; B21, ( Returns!B21:M21 - B21 )^2, 0))</f>
        <v>0.07133488093</v>
      </c>
      <c r="D21" s="7">
        <f t="shared" si="1"/>
        <v>0.6324933279</v>
      </c>
    </row>
    <row r="22">
      <c r="A22" s="3" t="s">
        <v>21</v>
      </c>
      <c r="B22" s="7">
        <f>AVERAGE(Returns!B22:M22)</f>
        <v>0.6268517304</v>
      </c>
      <c r="C22" s="7">
        <f t="array" ref="C22">AVERAGE(IF(Returns!B22:M22 &lt; B22, ( Returns!B22:M22 - B22 )^2, 0))</f>
        <v>0.4640674725</v>
      </c>
      <c r="D22" s="7">
        <f t="shared" si="1"/>
        <v>0.7403145752</v>
      </c>
    </row>
    <row r="23">
      <c r="A23" s="3" t="s">
        <v>22</v>
      </c>
      <c r="B23" s="7">
        <f>AVERAGE(Returns!B23:M23)</f>
        <v>0.1177704164</v>
      </c>
      <c r="C23" s="7">
        <f t="array" ref="C23">AVERAGE(IF(Returns!B23:M23 &lt; B23, ( Returns!B23:M23 - B23 )^2, 0))</f>
        <v>0.04972143262</v>
      </c>
      <c r="D23" s="7">
        <f t="shared" si="1"/>
        <v>0.4221894949</v>
      </c>
    </row>
    <row r="24">
      <c r="A24" s="3" t="s">
        <v>23</v>
      </c>
      <c r="B24" s="7">
        <f>AVERAGE(Returns!B24:M24)</f>
        <v>0.3421331634</v>
      </c>
      <c r="C24" s="7">
        <f t="array" ref="C24">AVERAGE(IF(Returns!B24:M24 &lt; B24, ( Returns!B24:M24 - B24 )^2, 0))</f>
        <v>0.2453282273</v>
      </c>
      <c r="D24" s="7">
        <f t="shared" si="1"/>
        <v>0.7170548006</v>
      </c>
    </row>
    <row r="25">
      <c r="A25" s="3" t="s">
        <v>24</v>
      </c>
      <c r="B25" s="7">
        <f>AVERAGE(Returns!B25:M25)</f>
        <v>0.1982255343</v>
      </c>
      <c r="C25" s="7">
        <f t="array" ref="C25">AVERAGE(IF(Returns!B25:M25 &lt; B25, ( Returns!B25:M25 - B25 )^2, 0))</f>
        <v>0.1691693495</v>
      </c>
      <c r="D25" s="7">
        <f t="shared" si="1"/>
        <v>0.853418557</v>
      </c>
    </row>
    <row r="26">
      <c r="A26" s="3" t="s">
        <v>25</v>
      </c>
      <c r="B26" s="7">
        <f>AVERAGE(Returns!B26:M26)</f>
        <v>0.1005761363</v>
      </c>
      <c r="C26" s="7">
        <f t="array" ref="C26">AVERAGE(IF(Returns!B26:M26 &lt; B26, ( Returns!B26:M26 - B26 )^2, 0))</f>
        <v>0.02618560347</v>
      </c>
      <c r="D26" s="7">
        <f t="shared" si="1"/>
        <v>0.2603560293</v>
      </c>
    </row>
    <row r="27">
      <c r="A27" s="3" t="s">
        <v>26</v>
      </c>
      <c r="B27" s="7">
        <f>AVERAGE(Returns!B27:M27)</f>
        <v>0.114222539</v>
      </c>
      <c r="C27" s="7">
        <f t="array" ref="C27">AVERAGE(IF(Returns!B27:M27 &lt; B27, ( Returns!B27:M27 - B27 )^2, 0))</f>
        <v>0.08555132474</v>
      </c>
      <c r="D27" s="7">
        <f t="shared" si="1"/>
        <v>0.7489881199</v>
      </c>
    </row>
    <row r="28">
      <c r="A28" s="3" t="s">
        <v>27</v>
      </c>
      <c r="B28" s="7">
        <f>AVERAGE(Returns!B28:M28)</f>
        <v>0.2848946223</v>
      </c>
      <c r="C28" s="7">
        <f t="array" ref="C28">AVERAGE(IF(Returns!B28:M28 &lt; B28, ( Returns!B28:M28 - B28 )^2, 0))</f>
        <v>0.06522915303</v>
      </c>
      <c r="D28" s="7">
        <f t="shared" si="1"/>
        <v>0.2289588779</v>
      </c>
    </row>
    <row r="29">
      <c r="A29" s="3" t="s">
        <v>28</v>
      </c>
      <c r="B29" s="7">
        <f>AVERAGE(Returns!B29:M29)</f>
        <v>0.3288229561</v>
      </c>
      <c r="C29" s="7">
        <f t="array" ref="C29">AVERAGE(IF(Returns!B29:M29 &lt; B29, ( Returns!B29:M29 - B29 )^2, 0))</f>
        <v>0.1372878147</v>
      </c>
      <c r="D29" s="7">
        <f t="shared" si="1"/>
        <v>0.4175128657</v>
      </c>
    </row>
    <row r="30">
      <c r="A30" s="3" t="s">
        <v>29</v>
      </c>
      <c r="B30" s="7">
        <f>AVERAGE(Returns!B30:M30)</f>
        <v>0.1936764236</v>
      </c>
      <c r="C30" s="7">
        <f t="array" ref="C30">AVERAGE(IF(Returns!B30:M30 &lt; B30, ( Returns!B30:M30 - B30 )^2, 0))</f>
        <v>0.02263924882</v>
      </c>
      <c r="D30" s="7">
        <f t="shared" si="1"/>
        <v>0.1168921256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3" max="3" width="17.38"/>
  </cols>
  <sheetData>
    <row r="1">
      <c r="A1" s="6" t="s">
        <v>30</v>
      </c>
      <c r="B1" s="6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  <c r="J1" s="8" t="s">
        <v>42</v>
      </c>
    </row>
    <row r="2">
      <c r="A2" s="3" t="s">
        <v>1</v>
      </c>
      <c r="B2" s="6">
        <v>2025.0</v>
      </c>
      <c r="C2" s="7">
        <f>Ratio_EPS!B2/SR_Calculations!D2</f>
        <v>150.7449779</v>
      </c>
      <c r="D2" s="7">
        <f>Ratio_Payout!B2/SR_Calculations!D2</f>
        <v>34.28824424</v>
      </c>
      <c r="E2" s="7">
        <f>Ratio_PM!B2/SR_Calculations!D2</f>
        <v>103.1289401</v>
      </c>
      <c r="F2" s="7">
        <f>Ratio_PB!B2/SR_Calculations!D2</f>
        <v>12.03611313</v>
      </c>
      <c r="G2" s="7">
        <f>Ratio_PE!B2/SR_Calculations!D2</f>
        <v>67.57690396</v>
      </c>
      <c r="H2" s="7">
        <f>Ratio_PS!B2/SR_Calculations!D2</f>
        <v>24.13093901</v>
      </c>
      <c r="I2" s="7">
        <f>Ratio_CR!B2/SR_Calculations!D2</f>
        <v>2.642073614</v>
      </c>
      <c r="J2" s="7">
        <f>Ratio_DE!B2/SR_Calculations!D2</f>
        <v>2.143015265</v>
      </c>
    </row>
    <row r="3">
      <c r="A3" s="3" t="s">
        <v>2</v>
      </c>
      <c r="B3" s="6">
        <v>2025.0</v>
      </c>
      <c r="C3" s="7">
        <f>Ratio_EPS!B3/SR_Calculations!D3</f>
        <v>16.49028879</v>
      </c>
      <c r="D3" s="7">
        <f>Ratio_Payout!B3/SR_Calculations!D3</f>
        <v>36.53299534</v>
      </c>
      <c r="E3" s="7">
        <f>Ratio_PM!B3/SR_Calculations!D3</f>
        <v>4.535368314</v>
      </c>
      <c r="F3" s="7">
        <f>Ratio_PB!B3/SR_Calculations!D3</f>
        <v>4.983731722</v>
      </c>
      <c r="G3" s="7">
        <f>Ratio_PE!B3/SR_Calculations!D3</f>
        <v>15.07729737</v>
      </c>
      <c r="H3" s="7">
        <f>Ratio_PS!B3/SR_Calculations!D3</f>
        <v>2.84969435</v>
      </c>
      <c r="I3" s="7">
        <f>Ratio_CR!B3/SR_Calculations!D3</f>
        <v>0.9010380016</v>
      </c>
      <c r="J3" s="7">
        <f>Ratio_DE!B3/SR_Calculations!D3</f>
        <v>0.01724474644</v>
      </c>
    </row>
    <row r="4">
      <c r="A4" s="3" t="s">
        <v>3</v>
      </c>
      <c r="B4" s="6">
        <v>2025.0</v>
      </c>
      <c r="C4" s="7">
        <f>Ratio_EPS!B4/SR_Calculations!D4</f>
        <v>81.06487722</v>
      </c>
      <c r="D4" s="7">
        <f>Ratio_Payout!B4/SR_Calculations!D4</f>
        <v>1.069718384</v>
      </c>
      <c r="E4" s="7">
        <f>Ratio_PM!B4/SR_Calculations!D4</f>
        <v>19.83923087</v>
      </c>
      <c r="F4" s="7">
        <f>Ratio_PB!B4/SR_Calculations!D4</f>
        <v>1.636039882</v>
      </c>
      <c r="G4" s="7">
        <f>Ratio_PE!B4/SR_Calculations!D4</f>
        <v>10.91849869</v>
      </c>
      <c r="H4" s="7">
        <f>Ratio_PS!B4/SR_Calculations!D4</f>
        <v>2.409113672</v>
      </c>
      <c r="I4" s="7">
        <f>Ratio_CR!B4/SR_Calculations!D4</f>
        <v>1.010389465</v>
      </c>
      <c r="J4" s="7">
        <f>Ratio_DE!B4/SR_Calculations!D4</f>
        <v>7.083513335</v>
      </c>
    </row>
    <row r="5">
      <c r="A5" s="3" t="s">
        <v>4</v>
      </c>
      <c r="B5" s="6">
        <v>2025.0</v>
      </c>
      <c r="C5" s="7">
        <f>Ratio_EPS!B5/SR_Calculations!D5</f>
        <v>19.43561317</v>
      </c>
      <c r="D5" s="7">
        <f>Ratio_Payout!B5/SR_Calculations!D5</f>
        <v>3.586571915</v>
      </c>
      <c r="E5" s="7">
        <f>Ratio_PM!B5/SR_Calculations!D5</f>
        <v>26.24809613</v>
      </c>
      <c r="F5" s="7">
        <f>Ratio_PB!B5/SR_Calculations!D5</f>
        <v>8.856227856</v>
      </c>
      <c r="G5" s="7">
        <f>Ratio_PE!B5/SR_Calculations!D5</f>
        <v>322.4883168</v>
      </c>
      <c r="H5" s="7">
        <f>Ratio_PS!B5/SR_Calculations!D5</f>
        <v>4.788774791</v>
      </c>
      <c r="I5" s="7">
        <f>Ratio_CR!B5/SR_Calculations!D5</f>
        <v>2.484552611</v>
      </c>
      <c r="J5" s="7">
        <f>Ratio_DE!B5/SR_Calculations!D5</f>
        <v>9.797953443</v>
      </c>
    </row>
    <row r="6">
      <c r="A6" s="3" t="s">
        <v>5</v>
      </c>
      <c r="B6" s="6">
        <v>2025.0</v>
      </c>
      <c r="C6" s="7">
        <f>Ratio_EPS!B6/SR_Calculations!D6</f>
        <v>498.7811385</v>
      </c>
      <c r="D6" s="7">
        <f>Ratio_Payout!B6/SR_Calculations!D6</f>
        <v>24.81479748</v>
      </c>
      <c r="E6" s="7">
        <f>Ratio_PM!B6/SR_Calculations!D6</f>
        <v>44.60357842</v>
      </c>
      <c r="F6" s="7">
        <f>Ratio_PB!B6/SR_Calculations!D6</f>
        <v>10.66405721</v>
      </c>
      <c r="G6" s="7">
        <f>Ratio_PE!B6/SR_Calculations!D6</f>
        <v>13.83304409</v>
      </c>
      <c r="H6" s="7">
        <f>Ratio_PS!B6/SR_Calculations!D6</f>
        <v>14.7813106</v>
      </c>
      <c r="I6" s="7">
        <f>Ratio_CR!B6/SR_Calculations!D6</f>
        <v>2.336819493</v>
      </c>
      <c r="J6" s="7">
        <f>Ratio_DE!B6/SR_Calculations!D6</f>
        <v>6.936273734</v>
      </c>
    </row>
    <row r="7">
      <c r="A7" s="3" t="s">
        <v>6</v>
      </c>
      <c r="B7" s="6">
        <v>2025.0</v>
      </c>
      <c r="C7" s="7">
        <f>Ratio_EPS!B7/SR_Calculations!D7</f>
        <v>5.595434216</v>
      </c>
      <c r="D7" s="7">
        <f>Ratio_Payout!B7/SR_Calculations!D7</f>
        <v>24.28018776</v>
      </c>
      <c r="E7" s="7">
        <f>Ratio_PM!B7/SR_Calculations!D7</f>
        <v>17.09374409</v>
      </c>
      <c r="F7" s="7">
        <f>Ratio_PB!B7/SR_Calculations!D7</f>
        <v>8.470011683</v>
      </c>
      <c r="G7" s="7">
        <f>Ratio_PE!B7/SR_Calculations!D7</f>
        <v>31.79989795</v>
      </c>
      <c r="H7" s="7">
        <f>Ratio_PS!B7/SR_Calculations!D7</f>
        <v>7.117269346</v>
      </c>
      <c r="I7" s="7">
        <f>Ratio_CR!B7/SR_Calculations!D7</f>
        <v>1.352742338</v>
      </c>
      <c r="J7" s="7">
        <f>Ratio_DE!B7/SR_Calculations!D7</f>
        <v>0.9223243212</v>
      </c>
    </row>
    <row r="8">
      <c r="A8" s="3" t="s">
        <v>7</v>
      </c>
      <c r="B8" s="6">
        <v>2025.0</v>
      </c>
      <c r="C8" s="7">
        <f>Ratio_EPS!B8/SR_Calculations!D8</f>
        <v>427.9336146</v>
      </c>
      <c r="D8" s="7">
        <f>Ratio_Payout!B8/SR_Calculations!D8</f>
        <v>105.3034359</v>
      </c>
      <c r="E8" s="7">
        <f>Ratio_PM!B8/SR_Calculations!D8</f>
        <v>149.0589607</v>
      </c>
      <c r="F8" s="7">
        <f>Ratio_PB!B8/SR_Calculations!D8</f>
        <v>58.41706196</v>
      </c>
      <c r="G8" s="7">
        <f>Ratio_PE!B8/SR_Calculations!D8</f>
        <v>227.8952676</v>
      </c>
      <c r="H8" s="7">
        <f>Ratio_PS!B8/SR_Calculations!D8</f>
        <v>44.29006004</v>
      </c>
      <c r="I8" s="7">
        <f>Ratio_CR!B8/SR_Calculations!D8</f>
        <v>2.825400382</v>
      </c>
      <c r="J8" s="7">
        <f>Ratio_DE!B8/SR_Calculations!D8</f>
        <v>8.628925491</v>
      </c>
    </row>
    <row r="9">
      <c r="A9" s="3" t="s">
        <v>8</v>
      </c>
      <c r="B9" s="6">
        <v>2025.0</v>
      </c>
      <c r="C9" s="7">
        <f>Ratio_EPS!B9/SR_Calculations!D9</f>
        <v>124.2822517</v>
      </c>
      <c r="D9" s="7">
        <f>Ratio_Payout!B9/SR_Calculations!D9</f>
        <v>181.2360625</v>
      </c>
      <c r="E9" s="7">
        <f>Ratio_PM!B9/SR_Calculations!D9</f>
        <v>28.81626245</v>
      </c>
      <c r="F9" s="7">
        <f>Ratio_PB!B9/SR_Calculations!D9</f>
        <v>12.02293588</v>
      </c>
      <c r="G9" s="7">
        <f>Ratio_PE!B9/SR_Calculations!D9</f>
        <v>48.08515031</v>
      </c>
      <c r="H9" s="7">
        <f>Ratio_PS!B9/SR_Calculations!D9</f>
        <v>7.155586033</v>
      </c>
      <c r="I9" s="7">
        <f>Ratio_CR!B9/SR_Calculations!D9</f>
        <v>4.304986719</v>
      </c>
      <c r="J9" s="7">
        <f>Ratio_DE!B9/SR_Calculations!D9</f>
        <v>0.05817549621</v>
      </c>
    </row>
    <row r="10">
      <c r="A10" s="3" t="s">
        <v>9</v>
      </c>
      <c r="B10" s="6">
        <v>2025.0</v>
      </c>
      <c r="C10" s="7">
        <f>Ratio_EPS!B10/SR_Calculations!D10</f>
        <v>236.8963675</v>
      </c>
      <c r="D10" s="7">
        <f>Ratio_Payout!B10/SR_Calculations!D10</f>
        <v>64.23047954</v>
      </c>
      <c r="E10" s="7">
        <f>Ratio_PM!B10/SR_Calculations!D10</f>
        <v>57.46127931</v>
      </c>
      <c r="F10" s="7">
        <f>Ratio_PB!B10/SR_Calculations!D10</f>
        <v>7.153813889</v>
      </c>
      <c r="G10" s="7">
        <f>Ratio_PE!B10/SR_Calculations!D10</f>
        <v>53.10283742</v>
      </c>
      <c r="H10" s="7">
        <f>Ratio_PS!B10/SR_Calculations!D10</f>
        <v>11.94866406</v>
      </c>
      <c r="I10" s="7">
        <f>Ratio_CR!B10/SR_Calculations!D10</f>
        <v>2.66665464</v>
      </c>
      <c r="J10" s="7">
        <f>Ratio_DE!B10/SR_Calculations!D10</f>
        <v>16.07685057</v>
      </c>
    </row>
    <row r="11">
      <c r="A11" s="3" t="s">
        <v>10</v>
      </c>
      <c r="B11" s="6">
        <v>2025.0</v>
      </c>
      <c r="C11" s="7">
        <f>Ratio_EPS!B11/SR_Calculations!D11</f>
        <v>345.530668</v>
      </c>
      <c r="D11" s="7">
        <f>Ratio_Payout!B11/SR_Calculations!D11</f>
        <v>891.5789124</v>
      </c>
      <c r="E11" s="7">
        <f>Ratio_PM!B11/SR_Calculations!D11</f>
        <v>128.9259399</v>
      </c>
      <c r="F11" s="7">
        <f>Ratio_PB!B11/SR_Calculations!D11</f>
        <v>81.96060637</v>
      </c>
      <c r="G11" s="7">
        <f>Ratio_PE!B11/SR_Calculations!D11</f>
        <v>380.0936463</v>
      </c>
      <c r="H11" s="7">
        <f>Ratio_PS!B11/SR_Calculations!D11</f>
        <v>64.11987903</v>
      </c>
      <c r="I11" s="7">
        <f>Ratio_CR!B11/SR_Calculations!D11</f>
        <v>10.14024246</v>
      </c>
      <c r="J11" s="7">
        <f>Ratio_DE!B11/SR_Calculations!D11</f>
        <v>4.269575774</v>
      </c>
    </row>
    <row r="12">
      <c r="A12" s="3" t="s">
        <v>11</v>
      </c>
      <c r="B12" s="6">
        <v>2025.0</v>
      </c>
      <c r="C12" s="7">
        <f>Ratio_EPS!B12/SR_Calculations!D12</f>
        <v>98.74408935</v>
      </c>
      <c r="D12" s="7">
        <f>Ratio_Payout!B12/SR_Calculations!D12</f>
        <v>21.37558302</v>
      </c>
      <c r="E12" s="7">
        <f>Ratio_PM!B12/SR_Calculations!D12</f>
        <v>40.53032625</v>
      </c>
      <c r="F12" s="7">
        <f>Ratio_PB!B12/SR_Calculations!D12</f>
        <v>4.302877101</v>
      </c>
      <c r="G12" s="7">
        <f>Ratio_PE!B12/SR_Calculations!D12</f>
        <v>25.84738275</v>
      </c>
      <c r="H12" s="7">
        <f>Ratio_PS!B12/SR_Calculations!D12</f>
        <v>7.148328088</v>
      </c>
      <c r="I12" s="7">
        <f>Ratio_CR!B12/SR_Calculations!D12</f>
        <v>1.388024871</v>
      </c>
      <c r="J12" s="7">
        <f>Ratio_DE!B12/SR_Calculations!D12</f>
        <v>12.31178061</v>
      </c>
    </row>
    <row r="13">
      <c r="A13" s="3" t="s">
        <v>12</v>
      </c>
      <c r="B13" s="6">
        <v>2025.0</v>
      </c>
      <c r="C13" s="7">
        <f>Ratio_EPS!B13/SR_Calculations!D13</f>
        <v>22.59561134</v>
      </c>
      <c r="D13" s="7">
        <f>Ratio_Payout!B13/SR_Calculations!D13</f>
        <v>26.67995949</v>
      </c>
      <c r="E13" s="7">
        <f>Ratio_PM!B13/SR_Calculations!D13</f>
        <v>5.763039821</v>
      </c>
      <c r="F13" s="7">
        <f>Ratio_PB!B13/SR_Calculations!D13</f>
        <v>2.38809694</v>
      </c>
      <c r="G13" s="7">
        <f>Ratio_PE!B13/SR_Calculations!D13</f>
        <v>8.550545975</v>
      </c>
      <c r="H13" s="7">
        <f>Ratio_PS!B13/SR_Calculations!D13</f>
        <v>1.401250999</v>
      </c>
      <c r="I13" s="7">
        <f>Ratio_CR!B13/SR_Calculations!D13</f>
        <v>0.7972029491</v>
      </c>
      <c r="J13" s="7">
        <f>Ratio_DE!B13/SR_Calculations!D13</f>
        <v>0.1650596414</v>
      </c>
    </row>
    <row r="14">
      <c r="A14" s="3" t="s">
        <v>13</v>
      </c>
      <c r="B14" s="6">
        <v>2025.0</v>
      </c>
      <c r="C14" s="7">
        <f>Ratio_EPS!B14/SR_Calculations!D14</f>
        <v>54.54197086</v>
      </c>
      <c r="D14" s="7">
        <f>Ratio_Payout!B14/SR_Calculations!D14</f>
        <v>45.9921484</v>
      </c>
      <c r="E14" s="7">
        <f>Ratio_PM!B14/SR_Calculations!D14</f>
        <v>91.1587967</v>
      </c>
      <c r="F14" s="7">
        <f>Ratio_PB!B14/SR_Calculations!D14</f>
        <v>14.38728745</v>
      </c>
      <c r="G14" s="7">
        <f>Ratio_PE!B14/SR_Calculations!D14</f>
        <v>28.98350504</v>
      </c>
      <c r="H14" s="7">
        <f>Ratio_PS!B14/SR_Calculations!D14</f>
        <v>13.38489447</v>
      </c>
      <c r="I14" s="7">
        <f>Ratio_CR!B14/SR_Calculations!D14</f>
        <v>6.014357868</v>
      </c>
      <c r="J14" s="7">
        <f>Ratio_DE!B14/SR_Calculations!D14</f>
        <v>0.2555119356</v>
      </c>
    </row>
    <row r="15">
      <c r="A15" s="3" t="s">
        <v>14</v>
      </c>
      <c r="B15" s="6">
        <v>2025.0</v>
      </c>
      <c r="C15" s="7">
        <f>Ratio_EPS!B15/SR_Calculations!D15</f>
        <v>400.5465121</v>
      </c>
      <c r="D15" s="7">
        <f>Ratio_Payout!B15/SR_Calculations!D15</f>
        <v>56.29029966</v>
      </c>
      <c r="E15" s="7">
        <f>Ratio_PM!B15/SR_Calculations!D15</f>
        <v>120.2467335</v>
      </c>
      <c r="F15" s="7">
        <f>Ratio_PB!B15/SR_Calculations!D15</f>
        <v>9.861599813</v>
      </c>
      <c r="G15" s="7">
        <f>Ratio_PE!B15/SR_Calculations!D15</f>
        <v>70.21998936</v>
      </c>
      <c r="H15" s="7">
        <f>Ratio_PS!B15/SR_Calculations!D15</f>
        <v>23.64624481</v>
      </c>
      <c r="I15" s="7">
        <f>Ratio_CR!B15/SR_Calculations!D15</f>
        <v>5.243923696</v>
      </c>
      <c r="J15" s="7">
        <f>Ratio_DE!B15/SR_Calculations!D15</f>
        <v>15.87213693</v>
      </c>
    </row>
    <row r="16">
      <c r="A16" s="3" t="s">
        <v>15</v>
      </c>
      <c r="B16" s="6">
        <v>2025.0</v>
      </c>
      <c r="C16" s="7">
        <f>Ratio_EPS!B16/SR_Calculations!D16</f>
        <v>265.3542279</v>
      </c>
      <c r="D16" s="7">
        <f>Ratio_Payout!B16/SR_Calculations!D16</f>
        <v>62.16204461</v>
      </c>
      <c r="E16" s="7">
        <f>Ratio_PM!B16/SR_Calculations!D16</f>
        <v>16.77889563</v>
      </c>
      <c r="F16" s="7">
        <f>Ratio_PB!B16/SR_Calculations!D16</f>
        <v>11.94676795</v>
      </c>
      <c r="G16" s="7">
        <f>Ratio_PE!B16/SR_Calculations!D16</f>
        <v>77.5133986</v>
      </c>
      <c r="H16" s="7">
        <f>Ratio_PS!B16/SR_Calculations!D16</f>
        <v>4.565025151</v>
      </c>
      <c r="I16" s="7">
        <f>Ratio_CR!B16/SR_Calculations!D16</f>
        <v>2.93812789</v>
      </c>
      <c r="J16" s="7">
        <f>Ratio_DE!B16/SR_Calculations!D16</f>
        <v>3.229512474</v>
      </c>
    </row>
    <row r="17">
      <c r="A17" s="3" t="s">
        <v>16</v>
      </c>
      <c r="B17" s="6">
        <v>2025.0</v>
      </c>
      <c r="C17" s="7">
        <f>Ratio_EPS!B17/SR_Calculations!D17</f>
        <v>240.8484964</v>
      </c>
      <c r="D17" s="7">
        <f>Ratio_Payout!B17/SR_Calculations!D17</f>
        <v>38.07608335</v>
      </c>
      <c r="E17" s="7">
        <f>Ratio_PM!B17/SR_Calculations!D17</f>
        <v>16.51568431</v>
      </c>
      <c r="F17" s="7">
        <f>Ratio_PB!B17/SR_Calculations!D17</f>
        <v>8.079916532</v>
      </c>
      <c r="G17" s="7">
        <f>Ratio_PE!B17/SR_Calculations!D17</f>
        <v>48.15211604</v>
      </c>
      <c r="H17" s="7">
        <f>Ratio_PS!B17/SR_Calculations!D17</f>
        <v>3.914363708</v>
      </c>
      <c r="I17" s="7">
        <f>Ratio_CR!B17/SR_Calculations!D17</f>
        <v>2.930539675</v>
      </c>
      <c r="J17" s="7">
        <f>Ratio_DE!B17/SR_Calculations!D17</f>
        <v>3.286390921</v>
      </c>
    </row>
    <row r="18">
      <c r="A18" s="3" t="s">
        <v>17</v>
      </c>
      <c r="B18" s="6">
        <v>2025.0</v>
      </c>
      <c r="C18" s="7">
        <f>Ratio_EPS!B18/SR_Calculations!D18</f>
        <v>1642.233706</v>
      </c>
      <c r="D18" s="7">
        <f>Ratio_Payout!B18/SR_Calculations!D18</f>
        <v>96.49725378</v>
      </c>
      <c r="E18" s="7">
        <f>Ratio_PM!B18/SR_Calculations!D18</f>
        <v>33.18650942</v>
      </c>
      <c r="F18" s="7">
        <f>Ratio_PB!B18/SR_Calculations!D18</f>
        <v>13.38854886</v>
      </c>
      <c r="G18" s="7">
        <f>Ratio_PE!B18/SR_Calculations!D18</f>
        <v>88.9537323</v>
      </c>
      <c r="H18" s="7">
        <f>Ratio_PS!B18/SR_Calculations!D18</f>
        <v>8.439058726</v>
      </c>
      <c r="I18" s="7">
        <f>Ratio_CR!B18/SR_Calculations!D18</f>
        <v>3.453960744</v>
      </c>
      <c r="J18" s="7">
        <f>Ratio_DE!B18/SR_Calculations!D18</f>
        <v>1.068235282</v>
      </c>
    </row>
    <row r="19">
      <c r="A19" s="3" t="s">
        <v>18</v>
      </c>
      <c r="B19" s="6">
        <v>2025.0</v>
      </c>
      <c r="C19" s="7">
        <f>Ratio_EPS!B19/SR_Calculations!D19</f>
        <v>59.05273656</v>
      </c>
      <c r="D19" s="7">
        <f>Ratio_Payout!B19/SR_Calculations!D19</f>
        <v>99.14704786</v>
      </c>
      <c r="E19" s="7">
        <f>Ratio_PM!B19/SR_Calculations!D19</f>
        <v>33.53289613</v>
      </c>
      <c r="F19" s="7">
        <f>Ratio_PB!B19/SR_Calculations!D19</f>
        <v>5.458168374</v>
      </c>
      <c r="G19" s="7">
        <f>Ratio_PE!B19/SR_Calculations!D19</f>
        <v>51.05013267</v>
      </c>
      <c r="H19" s="7">
        <f>Ratio_PS!B19/SR_Calculations!D19</f>
        <v>5.342037132</v>
      </c>
      <c r="I19" s="7">
        <f>Ratio_CR!B19/SR_Calculations!D19</f>
        <v>3.106510724</v>
      </c>
      <c r="J19" s="7">
        <f>Ratio_DE!B19/SR_Calculations!D19</f>
        <v>3.338773208</v>
      </c>
    </row>
    <row r="20">
      <c r="A20" s="3" t="s">
        <v>19</v>
      </c>
      <c r="B20" s="6">
        <v>2025.0</v>
      </c>
      <c r="C20" s="7">
        <f>Ratio_EPS!B20/SR_Calculations!D20</f>
        <v>128.139617</v>
      </c>
      <c r="D20" s="7">
        <f>Ratio_Payout!B20/SR_Calculations!D20</f>
        <v>356.4722839</v>
      </c>
      <c r="E20" s="7">
        <f>Ratio_PM!B20/SR_Calculations!D20</f>
        <v>262.0374553</v>
      </c>
      <c r="F20" s="7">
        <f>Ratio_PB!B20/SR_Calculations!D20</f>
        <v>22.41867476</v>
      </c>
      <c r="G20" s="7">
        <f>Ratio_PE!B20/SR_Calculations!D20</f>
        <v>133.610695</v>
      </c>
      <c r="H20" s="7">
        <f>Ratio_PS!B20/SR_Calculations!D20</f>
        <v>45.29800722</v>
      </c>
      <c r="I20" s="7">
        <f>Ratio_CR!B20/SR_Calculations!D20</f>
        <v>7.524075776</v>
      </c>
      <c r="J20" s="7">
        <f>Ratio_DE!B20/SR_Calculations!D20</f>
        <v>10.82545596</v>
      </c>
    </row>
    <row r="21">
      <c r="A21" s="3" t="s">
        <v>20</v>
      </c>
      <c r="B21" s="6">
        <v>2025.0</v>
      </c>
      <c r="C21" s="7">
        <f>Ratio_EPS!B21/SR_Calculations!D21</f>
        <v>81.37635249</v>
      </c>
      <c r="D21" s="7">
        <f>Ratio_Payout!B21/SR_Calculations!D21</f>
        <v>15.3519406</v>
      </c>
      <c r="E21" s="7">
        <f>Ratio_PM!B21/SR_Calculations!D21</f>
        <v>13.23334118</v>
      </c>
      <c r="F21" s="7">
        <f>Ratio_PB!B21/SR_Calculations!D21</f>
        <v>3.241140909</v>
      </c>
      <c r="G21" s="7">
        <f>Ratio_PE!B21/SR_Calculations!D21</f>
        <v>39.16515623</v>
      </c>
      <c r="H21" s="7">
        <f>Ratio_PS!B21/SR_Calculations!D21</f>
        <v>2.830069379</v>
      </c>
      <c r="I21" s="7">
        <f>Ratio_CR!B21/SR_Calculations!D21</f>
        <v>1.739148781</v>
      </c>
      <c r="J21" s="7">
        <f>Ratio_DE!B21/SR_Calculations!D21</f>
        <v>0.6482281819</v>
      </c>
    </row>
    <row r="22">
      <c r="A22" s="3" t="s">
        <v>21</v>
      </c>
      <c r="B22" s="6">
        <v>2025.0</v>
      </c>
      <c r="C22" s="7">
        <f>Ratio_EPS!B22/SR_Calculations!D22</f>
        <v>117.3960407</v>
      </c>
      <c r="D22" s="7">
        <f>Ratio_Payout!B22/SR_Calculations!D22</f>
        <v>27.02905045</v>
      </c>
      <c r="E22" s="7">
        <f>Ratio_PM!B22/SR_Calculations!D22</f>
        <v>21.73400408</v>
      </c>
      <c r="F22" s="7">
        <f>Ratio_PB!B22/SR_Calculations!D22</f>
        <v>2.026165701</v>
      </c>
      <c r="G22" s="7">
        <f>Ratio_PE!B22/SR_Calculations!D22</f>
        <v>11.99233447</v>
      </c>
      <c r="H22" s="7">
        <f>Ratio_PS!B22/SR_Calculations!D22</f>
        <v>1.891087987</v>
      </c>
      <c r="I22" s="7">
        <f>Ratio_CR!B22/SR_Calculations!D22</f>
        <v>1.222453306</v>
      </c>
      <c r="J22" s="7">
        <f>Ratio_DE!B22/SR_Calculations!D22</f>
        <v>18.88386433</v>
      </c>
    </row>
    <row r="23">
      <c r="A23" s="3" t="s">
        <v>22</v>
      </c>
      <c r="B23" s="6">
        <v>2025.0</v>
      </c>
      <c r="C23" s="7">
        <f>Ratio_EPS!B23/SR_Calculations!D23</f>
        <v>108.008372</v>
      </c>
      <c r="D23" s="7">
        <f>Ratio_Payout!B23/SR_Calculations!D23</f>
        <v>78.30606967</v>
      </c>
      <c r="E23" s="7">
        <f>Ratio_PM!B23/SR_Calculations!D23</f>
        <v>49.45646506</v>
      </c>
      <c r="F23" s="7">
        <f>Ratio_PB!B23/SR_Calculations!D23</f>
        <v>13.66684882</v>
      </c>
      <c r="G23" s="7">
        <f>Ratio_PE!B23/SR_Calculations!D23</f>
        <v>90.14459257</v>
      </c>
      <c r="H23" s="7">
        <f>Ratio_PS!B23/SR_Calculations!D23</f>
        <v>18.75934881</v>
      </c>
      <c r="I23" s="7">
        <f>Ratio_CR!B23/SR_Calculations!D23</f>
        <v>6.845267434</v>
      </c>
      <c r="J23" s="7">
        <f>Ratio_DE!B23/SR_Calculations!D23</f>
        <v>0.639523255</v>
      </c>
    </row>
    <row r="24">
      <c r="A24" s="3" t="s">
        <v>23</v>
      </c>
      <c r="B24" s="6">
        <v>2025.0</v>
      </c>
      <c r="C24" s="7">
        <f>Ratio_EPS!B24/SR_Calculations!D24</f>
        <v>109.8242421</v>
      </c>
      <c r="D24" s="7">
        <f>Ratio_Payout!B24/SR_Calculations!D24</f>
        <v>11.57512647</v>
      </c>
      <c r="E24" s="7">
        <f>Ratio_PM!B24/SR_Calculations!D24</f>
        <v>8.827777173</v>
      </c>
      <c r="F24" s="7">
        <f>Ratio_PB!B24/SR_Calculations!D24</f>
        <v>2.984430197</v>
      </c>
      <c r="G24" s="7">
        <f>Ratio_PE!B24/SR_Calculations!D24</f>
        <v>11.92921377</v>
      </c>
      <c r="H24" s="7">
        <f>Ratio_PS!B24/SR_Calculations!D24</f>
        <v>0.7809723881</v>
      </c>
      <c r="I24" s="7">
        <f>Ratio_CR!B24/SR_Calculations!D24</f>
        <v>1.338809808</v>
      </c>
      <c r="J24" s="7">
        <f>Ratio_DE!B24/SR_Calculations!D24</f>
        <v>0.7530805171</v>
      </c>
    </row>
    <row r="25">
      <c r="A25" s="3" t="s">
        <v>24</v>
      </c>
      <c r="B25" s="6">
        <v>2025.0</v>
      </c>
      <c r="C25" s="7">
        <f>Ratio_EPS!B25/SR_Calculations!D25</f>
        <v>3.210616851</v>
      </c>
      <c r="D25" s="7">
        <f>Ratio_Payout!B25/SR_Calculations!D25</f>
        <v>153.8049518</v>
      </c>
      <c r="E25" s="7">
        <f>Ratio_PM!B25/SR_Calculations!D25</f>
        <v>1.593590846</v>
      </c>
      <c r="F25" s="7">
        <f>Ratio_PB!B25/SR_Calculations!D25</f>
        <v>2.472409327</v>
      </c>
      <c r="G25" s="7">
        <f>Ratio_PE!B25/SR_Calculations!D25</f>
        <v>65.96481825</v>
      </c>
      <c r="H25" s="7">
        <f>Ratio_PS!B25/SR_Calculations!D25</f>
        <v>1.031147018</v>
      </c>
      <c r="I25" s="7">
        <f>Ratio_CR!B25/SR_Calculations!D25</f>
        <v>0.9256888001</v>
      </c>
      <c r="J25" s="7">
        <f>Ratio_DE!B25/SR_Calculations!D25</f>
        <v>1.148322815</v>
      </c>
    </row>
    <row r="26">
      <c r="A26" s="3" t="s">
        <v>25</v>
      </c>
      <c r="B26" s="6">
        <v>2025.0</v>
      </c>
      <c r="C26" s="7">
        <f>Ratio_EPS!B26/SR_Calculations!D26</f>
        <v>515.4096119</v>
      </c>
      <c r="D26" s="7">
        <f>Ratio_Payout!B26/SR_Calculations!D26</f>
        <v>354.8986373</v>
      </c>
      <c r="E26" s="7">
        <f>Ratio_PM!B26/SR_Calculations!D26</f>
        <v>73.3994909</v>
      </c>
      <c r="F26" s="7">
        <f>Ratio_PB!B26/SR_Calculations!D26</f>
        <v>52.88911511</v>
      </c>
      <c r="G26" s="7">
        <f>Ratio_PE!B26/SR_Calculations!D26</f>
        <v>103.1694948</v>
      </c>
      <c r="H26" s="7">
        <f>Ratio_PS!B26/SR_Calculations!D26</f>
        <v>19.62697009</v>
      </c>
      <c r="I26" s="7">
        <f>Ratio_CR!B26/SR_Calculations!D26</f>
        <v>8.910874876</v>
      </c>
      <c r="J26" s="7">
        <f>Ratio_DE!B26/SR_Calculations!D26</f>
        <v>2.650217097</v>
      </c>
    </row>
    <row r="27">
      <c r="A27" s="3" t="s">
        <v>26</v>
      </c>
      <c r="B27" s="6">
        <v>2025.0</v>
      </c>
      <c r="C27" s="7">
        <f>Ratio_EPS!B27/SR_Calculations!D27</f>
        <v>63.96630164</v>
      </c>
      <c r="D27" s="7">
        <f>Ratio_Payout!B27/SR_Calculations!D27</f>
        <v>120.642768</v>
      </c>
      <c r="E27" s="7">
        <f>Ratio_PM!B27/SR_Calculations!D27</f>
        <v>10.69442864</v>
      </c>
      <c r="F27" s="7">
        <f>Ratio_PB!B27/SR_Calculations!D27</f>
        <v>6.128268097</v>
      </c>
      <c r="G27" s="7">
        <f>Ratio_PE!B27/SR_Calculations!D27</f>
        <v>39.44214763</v>
      </c>
      <c r="H27" s="7">
        <f>Ratio_PS!B27/SR_Calculations!D27</f>
        <v>3.164269148</v>
      </c>
      <c r="I27" s="7">
        <f>Ratio_CR!B27/SR_Calculations!D27</f>
        <v>2.496701817</v>
      </c>
      <c r="J27" s="7">
        <f>Ratio_DE!B27/SR_Calculations!D27</f>
        <v>0.02670269323</v>
      </c>
    </row>
    <row r="28">
      <c r="A28" s="3" t="s">
        <v>27</v>
      </c>
      <c r="B28" s="6">
        <v>2025.0</v>
      </c>
      <c r="C28" s="7">
        <f>Ratio_EPS!B28/SR_Calculations!D28</f>
        <v>164.2653054</v>
      </c>
      <c r="D28" s="7">
        <f>Ratio_Payout!B28/SR_Calculations!D28</f>
        <v>127.7085225</v>
      </c>
      <c r="E28" s="7">
        <f>Ratio_PM!B28/SR_Calculations!D28</f>
        <v>24.06545687</v>
      </c>
      <c r="F28" s="7">
        <f>Ratio_PB!B28/SR_Calculations!D28</f>
        <v>102.4638145</v>
      </c>
      <c r="G28" s="7">
        <f>Ratio_PE!B28/SR_Calculations!D28</f>
        <v>355.7001185</v>
      </c>
      <c r="H28" s="7">
        <f>Ratio_PS!B28/SR_Calculations!D28</f>
        <v>19.69786034</v>
      </c>
      <c r="I28" s="7">
        <f>Ratio_CR!B28/SR_Calculations!D28</f>
        <v>5.852579347</v>
      </c>
      <c r="J28" s="7">
        <f>Ratio_DE!B28/SR_Calculations!D28</f>
        <v>6.813450583</v>
      </c>
    </row>
    <row r="29">
      <c r="A29" s="3" t="s">
        <v>28</v>
      </c>
      <c r="B29" s="6">
        <v>2025.0</v>
      </c>
      <c r="C29" s="7">
        <f>Ratio_EPS!B29/SR_Calculations!D29</f>
        <v>104.2123575</v>
      </c>
      <c r="D29" s="7">
        <f>Ratio_Payout!B29/SR_Calculations!D29</f>
        <v>17.60424793</v>
      </c>
      <c r="E29" s="7">
        <f>Ratio_PM!B29/SR_Calculations!D29</f>
        <v>20.23889728</v>
      </c>
      <c r="F29" s="7">
        <f>Ratio_PB!B29/SR_Calculations!D29</f>
        <v>82.79984365</v>
      </c>
      <c r="G29" s="7">
        <f>Ratio_PE!B29/SR_Calculations!D29</f>
        <v>292.3622481</v>
      </c>
      <c r="H29" s="7">
        <f>Ratio_PS!B29/SR_Calculations!D29</f>
        <v>26.39439621</v>
      </c>
      <c r="I29" s="7">
        <f>Ratio_CR!B29/SR_Calculations!D29</f>
        <v>4.383098463</v>
      </c>
      <c r="J29" s="7">
        <f>Ratio_DE!B29/SR_Calculations!D29</f>
        <v>0.2155622195</v>
      </c>
    </row>
    <row r="30">
      <c r="A30" s="3" t="s">
        <v>29</v>
      </c>
      <c r="B30" s="6">
        <v>2025.0</v>
      </c>
      <c r="C30" s="7">
        <f>Ratio_EPS!B30/SR_Calculations!D30</f>
        <v>1754.865856</v>
      </c>
      <c r="D30" s="7">
        <f>Ratio_Payout!B30/SR_Calculations!D30</f>
        <v>285.7335329</v>
      </c>
      <c r="E30" s="7">
        <f>Ratio_PM!B30/SR_Calculations!D30</f>
        <v>68.0969737</v>
      </c>
      <c r="F30" s="7">
        <f>Ratio_PB!B30/SR_Calculations!D30</f>
        <v>40.97795277</v>
      </c>
      <c r="G30" s="7">
        <f>Ratio_PE!B30/SR_Calculations!D30</f>
        <v>479.3949954</v>
      </c>
      <c r="H30" s="7">
        <f>Ratio_PS!B30/SR_Calculations!D30</f>
        <v>38.15483702</v>
      </c>
      <c r="I30" s="7">
        <f>Ratio_CR!B30/SR_Calculations!D30</f>
        <v>6.245074221</v>
      </c>
      <c r="J30" s="7">
        <f>Ratio_DE!B30/SR_Calculations!D30</f>
        <v>2.823115744</v>
      </c>
    </row>
    <row r="32">
      <c r="A32" s="3" t="s">
        <v>1</v>
      </c>
      <c r="B32" s="6">
        <v>2024.0</v>
      </c>
      <c r="C32" s="7">
        <f>Ratio_EPS!C2/SR_Calculations!D2</f>
        <v>110.2331825</v>
      </c>
      <c r="D32" s="7">
        <f>Ratio_Payout!C2/SR_Calculations!D2</f>
        <v>39.07333312</v>
      </c>
      <c r="E32" s="7">
        <f>Ratio_PM!C2/SR_Calculations!D2</f>
        <v>90.82861959</v>
      </c>
      <c r="F32" s="7">
        <f>Ratio_PB!C2/SR_Calculations!D2</f>
        <v>16.11664905</v>
      </c>
      <c r="G32" s="7">
        <f>Ratio_PE!C2/SR_Calculations!D2</f>
        <v>104.8932581</v>
      </c>
      <c r="H32" s="7">
        <f>Ratio_PS!C2/SR_Calculations!D2</f>
        <v>31.85166524</v>
      </c>
      <c r="I32" s="7">
        <f>Ratio_CR!C2/SR_Calculations!D2</f>
        <v>3.11177559</v>
      </c>
      <c r="J32" s="7">
        <f>Ratio_DE!C2/SR_Calculations!D2</f>
        <v>2.554004494</v>
      </c>
    </row>
    <row r="33">
      <c r="A33" s="3" t="s">
        <v>2</v>
      </c>
      <c r="B33" s="6">
        <v>2024.0</v>
      </c>
      <c r="C33" s="7">
        <f>Ratio_EPS!C3/SR_Calculations!D3</f>
        <v>24.54789656</v>
      </c>
      <c r="D33" s="7">
        <f>Ratio_Payout!C3/SR_Calculations!D3</f>
        <v>19.99097231</v>
      </c>
      <c r="E33" s="7">
        <f>Ratio_PM!C3/SR_Calculations!D3</f>
        <v>6.587493141</v>
      </c>
      <c r="F33" s="7">
        <f>Ratio_PB!C3/SR_Calculations!D3</f>
        <v>6.285710078</v>
      </c>
      <c r="G33" s="7">
        <f>Ratio_PE!C3/SR_Calculations!D3</f>
        <v>21.54459463</v>
      </c>
      <c r="H33" s="7">
        <f>Ratio_PS!C3/SR_Calculations!D3</f>
        <v>3.315302504</v>
      </c>
      <c r="I33" s="7">
        <f>Ratio_CR!C3/SR_Calculations!D3</f>
        <v>0.8881044418</v>
      </c>
      <c r="J33" s="7">
        <f>Ratio_DE!C3/SR_Calculations!D3</f>
        <v>0.02586711966</v>
      </c>
    </row>
    <row r="34">
      <c r="A34" s="3" t="s">
        <v>3</v>
      </c>
      <c r="B34" s="6">
        <v>2024.0</v>
      </c>
      <c r="C34" s="7">
        <f>Ratio_EPS!C4/SR_Calculations!D4</f>
        <v>76.41744525</v>
      </c>
      <c r="D34" s="7">
        <f>Ratio_Payout!C4/SR_Calculations!D4</f>
        <v>1.123653765</v>
      </c>
      <c r="E34" s="7">
        <f>Ratio_PM!C4/SR_Calculations!D4</f>
        <v>21.06176617</v>
      </c>
      <c r="F34" s="7">
        <f>Ratio_PB!C4/SR_Calculations!D4</f>
        <v>1.851781405</v>
      </c>
      <c r="G34" s="7">
        <f>Ratio_PE!C4/SR_Calculations!D4</f>
        <v>11.00605379</v>
      </c>
      <c r="H34" s="7">
        <f>Ratio_PS!C4/SR_Calculations!D4</f>
        <v>2.579909044</v>
      </c>
      <c r="I34" s="7">
        <f>Ratio_CR!C4/SR_Calculations!D4</f>
        <v>1.000501312</v>
      </c>
      <c r="J34" s="7">
        <f>Ratio_DE!C4/SR_Calculations!D4</f>
        <v>7.811640974</v>
      </c>
    </row>
    <row r="35">
      <c r="A35" s="3" t="s">
        <v>4</v>
      </c>
      <c r="B35" s="6">
        <v>2024.0</v>
      </c>
      <c r="C35" s="7">
        <f>Ratio_EPS!C5/SR_Calculations!D5</f>
        <v>14.62680166</v>
      </c>
      <c r="D35" s="7">
        <f>Ratio_Payout!C5/SR_Calculations!D5</f>
        <v>3.125727479</v>
      </c>
      <c r="E35" s="7">
        <f>Ratio_PM!C5/SR_Calculations!D5</f>
        <v>28.29184102</v>
      </c>
      <c r="F35" s="7">
        <f>Ratio_PB!C5/SR_Calculations!D5</f>
        <v>8.695934139</v>
      </c>
      <c r="G35" s="7">
        <f>Ratio_PE!C5/SR_Calculations!D5</f>
        <v>283.3453926</v>
      </c>
      <c r="H35" s="7">
        <f>Ratio_PS!C5/SR_Calculations!D5</f>
        <v>4.748701362</v>
      </c>
      <c r="I35" s="7">
        <f>Ratio_CR!C5/SR_Calculations!D5</f>
        <v>4.207710067</v>
      </c>
      <c r="J35" s="7">
        <f>Ratio_DE!C5/SR_Calculations!D5</f>
        <v>9.557512867</v>
      </c>
    </row>
    <row r="36">
      <c r="A36" s="3" t="s">
        <v>5</v>
      </c>
      <c r="B36" s="6">
        <v>2024.0</v>
      </c>
      <c r="C36" s="7">
        <f>Ratio_EPS!C6/SR_Calculations!D6</f>
        <v>437.6529079</v>
      </c>
      <c r="D36" s="7">
        <f>Ratio_Payout!C6/SR_Calculations!D6</f>
        <v>23.29401019</v>
      </c>
      <c r="E36" s="7">
        <f>Ratio_PM!C6/SR_Calculations!D6</f>
        <v>48.72083182</v>
      </c>
      <c r="F36" s="7">
        <f>Ratio_PB!C6/SR_Calculations!D6</f>
        <v>10.8124267</v>
      </c>
      <c r="G36" s="7">
        <f>Ratio_PE!C6/SR_Calculations!D6</f>
        <v>12.86827147</v>
      </c>
      <c r="H36" s="7">
        <f>Ratio_PS!C6/SR_Calculations!D6</f>
        <v>15.09659577</v>
      </c>
      <c r="I36" s="7">
        <f>Ratio_CR!C6/SR_Calculations!D6</f>
        <v>2.29972712</v>
      </c>
      <c r="J36" s="7">
        <f>Ratio_DE!C6/SR_Calculations!D6</f>
        <v>7.084643226</v>
      </c>
    </row>
    <row r="37">
      <c r="A37" s="3" t="s">
        <v>6</v>
      </c>
      <c r="B37" s="6">
        <v>2024.0</v>
      </c>
      <c r="C37" s="7">
        <f>Ratio_EPS!C7/SR_Calculations!D7</f>
        <v>4.188889626</v>
      </c>
      <c r="D37" s="7">
        <f>Ratio_Payout!C7/SR_Calculations!D7</f>
        <v>28.20006612</v>
      </c>
      <c r="E37" s="7">
        <f>Ratio_PM!C7/SR_Calculations!D7</f>
        <v>14.94934004</v>
      </c>
      <c r="F37" s="7">
        <f>Ratio_PB!C7/SR_Calculations!D7</f>
        <v>6.932804481</v>
      </c>
      <c r="G37" s="7">
        <f>Ratio_PE!C7/SR_Calculations!D7</f>
        <v>28.41012549</v>
      </c>
      <c r="H37" s="7">
        <f>Ratio_PS!C7/SR_Calculations!D7</f>
        <v>5.58774818</v>
      </c>
      <c r="I37" s="7">
        <f>Ratio_CR!C7/SR_Calculations!D7</f>
        <v>1.191335582</v>
      </c>
      <c r="J37" s="7">
        <f>Ratio_DE!C7/SR_Calculations!D7</f>
        <v>0.8685220692</v>
      </c>
    </row>
    <row r="38">
      <c r="A38" s="3" t="s">
        <v>7</v>
      </c>
      <c r="B38" s="6">
        <v>2024.0</v>
      </c>
      <c r="C38" s="7">
        <f>Ratio_EPS!C8/SR_Calculations!D8</f>
        <v>97.74358079</v>
      </c>
      <c r="D38" s="7">
        <f>Ratio_Payout!C8/SR_Calculations!D8</f>
        <v>232.6755396</v>
      </c>
      <c r="E38" s="7">
        <f>Ratio_PM!C8/SR_Calculations!D8</f>
        <v>29.7048851</v>
      </c>
      <c r="F38" s="7">
        <f>Ratio_PB!C8/SR_Calculations!D8</f>
        <v>53.45352074</v>
      </c>
      <c r="G38" s="7">
        <f>Ratio_PE!C8/SR_Calculations!D8</f>
        <v>716.9820008</v>
      </c>
      <c r="H38" s="7">
        <f>Ratio_PS!C8/SR_Calculations!D8</f>
        <v>35.96658324</v>
      </c>
      <c r="I38" s="7">
        <f>Ratio_CR!C8/SR_Calculations!D8</f>
        <v>3.207211245</v>
      </c>
      <c r="J38" s="7">
        <f>Ratio_DE!C8/SR_Calculations!D8</f>
        <v>11.45432587</v>
      </c>
    </row>
    <row r="39">
      <c r="A39" s="3" t="s">
        <v>8</v>
      </c>
      <c r="B39" s="6">
        <v>2024.0</v>
      </c>
      <c r="C39" s="7">
        <f>Ratio_EPS!C9/SR_Calculations!D9</f>
        <v>112.2011404</v>
      </c>
      <c r="D39" s="7">
        <f>Ratio_Payout!C9/SR_Calculations!D9</f>
        <v>173.8865582</v>
      </c>
      <c r="E39" s="7">
        <f>Ratio_PM!C9/SR_Calculations!D9</f>
        <v>27.71092803</v>
      </c>
      <c r="F39" s="7">
        <f>Ratio_PB!C9/SR_Calculations!D9</f>
        <v>11.90658489</v>
      </c>
      <c r="G39" s="7">
        <f>Ratio_PE!C9/SR_Calculations!D9</f>
        <v>51.60787052</v>
      </c>
      <c r="H39" s="7">
        <f>Ratio_PS!C9/SR_Calculations!D9</f>
        <v>7.388288018</v>
      </c>
      <c r="I39" s="7">
        <f>Ratio_CR!C9/SR_Calculations!D9</f>
        <v>5.06126817</v>
      </c>
      <c r="J39" s="7">
        <f>Ratio_DE!C9/SR_Calculations!D9</f>
        <v>0.05817549621</v>
      </c>
    </row>
    <row r="40">
      <c r="A40" s="3" t="s">
        <v>9</v>
      </c>
      <c r="B40" s="6">
        <v>2024.0</v>
      </c>
      <c r="C40" s="7">
        <f>Ratio_EPS!C10/SR_Calculations!D10</f>
        <v>230.7938309</v>
      </c>
      <c r="D40" s="7">
        <f>Ratio_Payout!C10/SR_Calculations!D10</f>
        <v>62.51253857</v>
      </c>
      <c r="E40" s="7">
        <f>Ratio_PM!C10/SR_Calculations!D10</f>
        <v>60.33306123</v>
      </c>
      <c r="F40" s="7">
        <f>Ratio_PB!C10/SR_Calculations!D10</f>
        <v>6.410227499</v>
      </c>
      <c r="G40" s="7">
        <f>Ratio_PE!C10/SR_Calculations!D10</f>
        <v>43.26365103</v>
      </c>
      <c r="H40" s="7">
        <f>Ratio_PS!C10/SR_Calculations!D10</f>
        <v>10.92302766</v>
      </c>
      <c r="I40" s="7">
        <f>Ratio_CR!C10/SR_Calculations!D10</f>
        <v>2.79485919</v>
      </c>
      <c r="J40" s="7">
        <f>Ratio_DE!C10/SR_Calculations!D10</f>
        <v>18.25632792</v>
      </c>
    </row>
    <row r="41">
      <c r="A41" s="3" t="s">
        <v>10</v>
      </c>
      <c r="B41" s="6">
        <v>2024.0</v>
      </c>
      <c r="C41" s="7">
        <f>Ratio_EPS!C11/SR_Calculations!D11</f>
        <v>333.4843649</v>
      </c>
      <c r="D41" s="7">
        <f>Ratio_Payout!C11/SR_Calculations!D11</f>
        <v>697.1607299</v>
      </c>
      <c r="E41" s="7">
        <f>Ratio_PM!C11/SR_Calculations!D11</f>
        <v>126.6386671</v>
      </c>
      <c r="F41" s="7">
        <f>Ratio_PB!C11/SR_Calculations!D11</f>
        <v>79.36836393</v>
      </c>
      <c r="G41" s="7">
        <f>Ratio_PE!C11/SR_Calculations!D11</f>
        <v>395.3749154</v>
      </c>
      <c r="H41" s="7">
        <f>Ratio_PS!C11/SR_Calculations!D11</f>
        <v>65.64472752</v>
      </c>
      <c r="I41" s="7">
        <f>Ratio_CR!C11/SR_Calculations!D11</f>
        <v>12.65624247</v>
      </c>
      <c r="J41" s="7">
        <f>Ratio_DE!C11/SR_Calculations!D11</f>
        <v>4.345818198</v>
      </c>
    </row>
    <row r="42">
      <c r="A42" s="3" t="s">
        <v>11</v>
      </c>
      <c r="B42" s="6">
        <v>2024.0</v>
      </c>
      <c r="C42" s="7">
        <f>Ratio_EPS!C12/SR_Calculations!D12</f>
        <v>86.00202104</v>
      </c>
      <c r="D42" s="7">
        <f>Ratio_Payout!C12/SR_Calculations!D12</f>
        <v>22.06959546</v>
      </c>
      <c r="E42" s="7">
        <f>Ratio_PM!C12/SR_Calculations!D12</f>
        <v>39.15618162</v>
      </c>
      <c r="F42" s="7">
        <f>Ratio_PB!C12/SR_Calculations!D12</f>
        <v>4.219595609</v>
      </c>
      <c r="G42" s="7">
        <f>Ratio_PE!C12/SR_Calculations!D12</f>
        <v>24.07126612</v>
      </c>
      <c r="H42" s="7">
        <f>Ratio_PS!C12/SR_Calculations!D12</f>
        <v>6.69027988</v>
      </c>
      <c r="I42" s="7">
        <f>Ratio_CR!C12/SR_Calculations!D12</f>
        <v>1.374144623</v>
      </c>
      <c r="J42" s="7">
        <f>Ratio_DE!C12/SR_Calculations!D12</f>
        <v>12.38118185</v>
      </c>
    </row>
    <row r="43">
      <c r="A43" s="3" t="s">
        <v>12</v>
      </c>
      <c r="B43" s="6">
        <v>2024.0</v>
      </c>
      <c r="C43" s="7">
        <f>Ratio_EPS!C13/SR_Calculations!D13</f>
        <v>22.26198015</v>
      </c>
      <c r="D43" s="7">
        <f>Ratio_Payout!C13/SR_Calculations!D13</f>
        <v>19.66668068</v>
      </c>
      <c r="E43" s="7">
        <f>Ratio_PM!C13/SR_Calculations!D13</f>
        <v>5.998337608</v>
      </c>
      <c r="F43" s="7">
        <f>Ratio_PB!C13/SR_Calculations!D13</f>
        <v>2.475894622</v>
      </c>
      <c r="G43" s="7">
        <f>Ratio_PE!C13/SR_Calculations!D13</f>
        <v>8.303588656</v>
      </c>
      <c r="H43" s="7">
        <f>Ratio_PS!C13/SR_Calculations!D13</f>
        <v>1.418810535</v>
      </c>
      <c r="I43" s="7">
        <f>Ratio_CR!C13/SR_Calculations!D13</f>
        <v>0.8112505782</v>
      </c>
      <c r="J43" s="7">
        <f>Ratio_DE!C13/SR_Calculations!D13</f>
        <v>0.172083456</v>
      </c>
    </row>
    <row r="44">
      <c r="A44" s="3" t="s">
        <v>13</v>
      </c>
      <c r="B44" s="6">
        <v>2024.0</v>
      </c>
      <c r="C44" s="7">
        <f>Ratio_EPS!C14/SR_Calculations!D14</f>
        <v>32.19450388</v>
      </c>
      <c r="D44" s="7">
        <f>Ratio_Payout!C14/SR_Calculations!D14</f>
        <v>80.58453352</v>
      </c>
      <c r="E44" s="7">
        <f>Ratio_PM!C14/SR_Calculations!D14</f>
        <v>57.45087597</v>
      </c>
      <c r="F44" s="7">
        <f>Ratio_PB!C14/SR_Calculations!D14</f>
        <v>14.11212075</v>
      </c>
      <c r="G44" s="7">
        <f>Ratio_PE!C14/SR_Calculations!D14</f>
        <v>51.29755892</v>
      </c>
      <c r="H44" s="7">
        <f>Ratio_PS!C14/SR_Calculations!D14</f>
        <v>14.83934703</v>
      </c>
      <c r="I44" s="7">
        <f>Ratio_CR!C14/SR_Calculations!D14</f>
        <v>5.896429282</v>
      </c>
      <c r="J44" s="7">
        <f>Ratio_DE!C14/SR_Calculations!D14</f>
        <v>0.2751666998</v>
      </c>
    </row>
    <row r="45">
      <c r="A45" s="3" t="s">
        <v>14</v>
      </c>
      <c r="B45" s="6">
        <v>2024.0</v>
      </c>
      <c r="C45" s="7">
        <f>Ratio_EPS!C15/SR_Calculations!D15</f>
        <v>329.1398916</v>
      </c>
      <c r="D45" s="7">
        <f>Ratio_Payout!C15/SR_Calculations!D15</f>
        <v>60.71722221</v>
      </c>
      <c r="E45" s="7">
        <f>Ratio_PM!C15/SR_Calculations!D15</f>
        <v>115.0280037</v>
      </c>
      <c r="F45" s="7">
        <f>Ratio_PB!C15/SR_Calculations!D15</f>
        <v>9.825608573</v>
      </c>
      <c r="G45" s="7">
        <f>Ratio_PE!C15/SR_Calculations!D15</f>
        <v>70.2822542</v>
      </c>
      <c r="H45" s="7">
        <f>Ratio_PS!C15/SR_Calculations!D15</f>
        <v>22.71047256</v>
      </c>
      <c r="I45" s="7">
        <f>Ratio_CR!C15/SR_Calculations!D15</f>
        <v>4.873213922</v>
      </c>
      <c r="J45" s="7">
        <f>Ratio_DE!C15/SR_Calculations!D15</f>
        <v>17.67169894</v>
      </c>
    </row>
    <row r="46">
      <c r="A46" s="3" t="s">
        <v>15</v>
      </c>
      <c r="B46" s="6">
        <v>2024.0</v>
      </c>
      <c r="C46" s="7">
        <f>Ratio_EPS!C16/SR_Calculations!D16</f>
        <v>227.959873</v>
      </c>
      <c r="D46" s="7">
        <f>Ratio_Payout!C16/SR_Calculations!D16</f>
        <v>78.40673517</v>
      </c>
      <c r="E46" s="7">
        <f>Ratio_PM!C16/SR_Calculations!D16</f>
        <v>17.09456227</v>
      </c>
      <c r="F46" s="7">
        <f>Ratio_PB!C16/SR_Calculations!D16</f>
        <v>14.59351125</v>
      </c>
      <c r="G46" s="7">
        <f>Ratio_PE!C16/SR_Calculations!D16</f>
        <v>97.53394774</v>
      </c>
      <c r="H46" s="7">
        <f>Ratio_PS!C16/SR_Calculations!D16</f>
        <v>5.706281439</v>
      </c>
      <c r="I46" s="7">
        <f>Ratio_CR!C16/SR_Calculations!D16</f>
        <v>2.986691987</v>
      </c>
      <c r="J46" s="7">
        <f>Ratio_DE!C16/SR_Calculations!D16</f>
        <v>3.205230425</v>
      </c>
    </row>
    <row r="47">
      <c r="A47" s="3" t="s">
        <v>16</v>
      </c>
      <c r="B47" s="6">
        <v>2024.0</v>
      </c>
      <c r="C47" s="7">
        <f>Ratio_EPS!C17/SR_Calculations!D17</f>
        <v>210.7895323</v>
      </c>
      <c r="D47" s="7">
        <f>Ratio_Payout!C17/SR_Calculations!D17</f>
        <v>33.61747655</v>
      </c>
      <c r="E47" s="7">
        <f>Ratio_PM!C17/SR_Calculations!D17</f>
        <v>16.87153556</v>
      </c>
      <c r="F47" s="7">
        <f>Ratio_PB!C17/SR_Calculations!D17</f>
        <v>6.782106104</v>
      </c>
      <c r="G47" s="7">
        <f>Ratio_PE!C17/SR_Calculations!D17</f>
        <v>39.76512082</v>
      </c>
      <c r="H47" s="7">
        <f>Ratio_PS!C17/SR_Calculations!D17</f>
        <v>3.244526068</v>
      </c>
      <c r="I47" s="7">
        <f>Ratio_CR!C17/SR_Calculations!D17</f>
        <v>2.721215412</v>
      </c>
      <c r="J47" s="7">
        <f>Ratio_DE!C17/SR_Calculations!D17</f>
        <v>3.265458495</v>
      </c>
    </row>
    <row r="48">
      <c r="A48" s="3" t="s">
        <v>17</v>
      </c>
      <c r="B48" s="6">
        <v>2024.0</v>
      </c>
      <c r="C48" s="7">
        <f>Ratio_EPS!C18/SR_Calculations!D18</f>
        <v>1527.612061</v>
      </c>
      <c r="D48" s="7">
        <f>Ratio_Payout!C18/SR_Calculations!D18</f>
        <v>71.74980309</v>
      </c>
      <c r="E48" s="7">
        <f>Ratio_PM!C18/SR_Calculations!D18</f>
        <v>33.18650942</v>
      </c>
      <c r="F48" s="7">
        <f>Ratio_PB!C18/SR_Calculations!D18</f>
        <v>16.48643118</v>
      </c>
      <c r="G48" s="7">
        <f>Ratio_PE!C18/SR_Calculations!D18</f>
        <v>104.688838</v>
      </c>
      <c r="H48" s="7">
        <f>Ratio_PS!C18/SR_Calculations!D18</f>
        <v>9.970195963</v>
      </c>
      <c r="I48" s="7">
        <f>Ratio_CR!C18/SR_Calculations!D18</f>
        <v>3.097882317</v>
      </c>
      <c r="J48" s="7">
        <f>Ratio_DE!C18/SR_Calculations!D18</f>
        <v>1.281882338</v>
      </c>
    </row>
    <row r="49">
      <c r="A49" s="3" t="s">
        <v>18</v>
      </c>
      <c r="B49" s="6">
        <v>2024.0</v>
      </c>
      <c r="C49" s="7">
        <f>Ratio_EPS!C19/SR_Calculations!D19</f>
        <v>62.30441133</v>
      </c>
      <c r="D49" s="7">
        <f>Ratio_Payout!C19/SR_Calculations!D19</f>
        <v>101.4406399</v>
      </c>
      <c r="E49" s="7">
        <f>Ratio_PM!C19/SR_Calculations!D19</f>
        <v>32.02318998</v>
      </c>
      <c r="F49" s="7">
        <f>Ratio_PB!C19/SR_Calculations!D19</f>
        <v>5.893660532</v>
      </c>
      <c r="G49" s="7">
        <f>Ratio_PE!C19/SR_Calculations!D19</f>
        <v>45.44999385</v>
      </c>
      <c r="H49" s="7">
        <f>Ratio_PS!C19/SR_Calculations!D19</f>
        <v>5.283971511</v>
      </c>
      <c r="I49" s="7">
        <f>Ratio_CR!C19/SR_Calculations!D19</f>
        <v>2.787149808</v>
      </c>
      <c r="J49" s="7">
        <f>Ratio_DE!C19/SR_Calculations!D19</f>
        <v>3.600068502</v>
      </c>
    </row>
    <row r="50">
      <c r="A50" s="3" t="s">
        <v>19</v>
      </c>
      <c r="B50" s="6">
        <v>2024.0</v>
      </c>
      <c r="C50" s="7">
        <f>Ratio_EPS!C20/SR_Calculations!D20</f>
        <v>133.283628</v>
      </c>
      <c r="D50" s="7">
        <f>Ratio_Payout!C20/SR_Calculations!D20</f>
        <v>389.7164147</v>
      </c>
      <c r="E50" s="7">
        <f>Ratio_PM!C20/SR_Calculations!D20</f>
        <v>261.1161399</v>
      </c>
      <c r="F50" s="7">
        <f>Ratio_PB!C20/SR_Calculations!D20</f>
        <v>22.72577989</v>
      </c>
      <c r="G50" s="7">
        <f>Ratio_PE!C20/SR_Calculations!D20</f>
        <v>122.5280385</v>
      </c>
      <c r="H50" s="7">
        <f>Ratio_PS!C20/SR_Calculations!D20</f>
        <v>43.14827128</v>
      </c>
      <c r="I50" s="7">
        <f>Ratio_CR!C20/SR_Calculations!D20</f>
        <v>6.372431524</v>
      </c>
      <c r="J50" s="7">
        <f>Ratio_DE!C20/SR_Calculations!D20</f>
        <v>10.90223225</v>
      </c>
    </row>
    <row r="51">
      <c r="A51" s="3" t="s">
        <v>20</v>
      </c>
      <c r="B51" s="6">
        <v>2024.0</v>
      </c>
      <c r="C51" s="7">
        <f>Ratio_EPS!C21/SR_Calculations!D21</f>
        <v>162.6894632</v>
      </c>
      <c r="D51" s="7">
        <f>Ratio_Payout!C21/SR_Calculations!D21</f>
        <v>13.81832758</v>
      </c>
      <c r="E51" s="7">
        <f>Ratio_PM!C21/SR_Calculations!D21</f>
        <v>13.7867067</v>
      </c>
      <c r="F51" s="7">
        <f>Ratio_PB!C21/SR_Calculations!D21</f>
        <v>4.015852639</v>
      </c>
      <c r="G51" s="7">
        <f>Ratio_PE!C21/SR_Calculations!D21</f>
        <v>45.73818999</v>
      </c>
      <c r="H51" s="7">
        <f>Ratio_PS!C21/SR_Calculations!D21</f>
        <v>3.541539335</v>
      </c>
      <c r="I51" s="7">
        <f>Ratio_CR!C21/SR_Calculations!D21</f>
        <v>1.865632328</v>
      </c>
      <c r="J51" s="7">
        <f>Ratio_DE!C21/SR_Calculations!D21</f>
        <v>0.6482281819</v>
      </c>
    </row>
    <row r="52">
      <c r="A52" s="3" t="s">
        <v>21</v>
      </c>
      <c r="B52" s="6">
        <v>2024.0</v>
      </c>
      <c r="C52" s="7">
        <f>Ratio_EPS!C22/SR_Calculations!D22</f>
        <v>101.5379172</v>
      </c>
      <c r="D52" s="7">
        <f>Ratio_Payout!C22/SR_Calculations!D22</f>
        <v>27.04255822</v>
      </c>
      <c r="E52" s="7">
        <f>Ratio_PM!C22/SR_Calculations!D22</f>
        <v>20.95055335</v>
      </c>
      <c r="F52" s="7">
        <f>Ratio_PB!C22/SR_Calculations!D22</f>
        <v>2.336844442</v>
      </c>
      <c r="G52" s="7">
        <f>Ratio_PE!C22/SR_Calculations!D22</f>
        <v>13.52398066</v>
      </c>
      <c r="H52" s="7">
        <f>Ratio_PS!C22/SR_Calculations!D22</f>
        <v>2.066689015</v>
      </c>
      <c r="I52" s="7">
        <f>Ratio_CR!C22/SR_Calculations!D22</f>
        <v>1.401296199</v>
      </c>
      <c r="J52" s="7">
        <f>Ratio_DE!C22/SR_Calculations!D22</f>
        <v>20.51830466</v>
      </c>
    </row>
    <row r="53">
      <c r="A53" s="3" t="s">
        <v>22</v>
      </c>
      <c r="B53" s="6">
        <v>2024.0</v>
      </c>
      <c r="C53" s="7">
        <f>Ratio_EPS!C23/SR_Calculations!D23</f>
        <v>94.50732547</v>
      </c>
      <c r="D53" s="7">
        <f>Ratio_Payout!C23/SR_Calculations!D23</f>
        <v>71.67397666</v>
      </c>
      <c r="E53" s="7">
        <f>Ratio_PM!C23/SR_Calculations!D23</f>
        <v>47.11154646</v>
      </c>
      <c r="F53" s="7">
        <f>Ratio_PB!C23/SR_Calculations!D23</f>
        <v>14.4721744</v>
      </c>
      <c r="G53" s="7">
        <f>Ratio_PE!C23/SR_Calculations!D23</f>
        <v>96.19850919</v>
      </c>
      <c r="H53" s="7">
        <f>Ratio_PS!C23/SR_Calculations!D23</f>
        <v>18.99620928</v>
      </c>
      <c r="I53" s="7">
        <f>Ratio_CR!C23/SR_Calculations!D23</f>
        <v>6.0636279</v>
      </c>
      <c r="J53" s="7">
        <f>Ratio_DE!C23/SR_Calculations!D23</f>
        <v>0.8053255804</v>
      </c>
    </row>
    <row r="54">
      <c r="A54" s="3" t="s">
        <v>23</v>
      </c>
      <c r="B54" s="6">
        <v>2024.0</v>
      </c>
      <c r="C54" s="7">
        <f>Ratio_EPS!C24/SR_Calculations!D24</f>
        <v>114.1893199</v>
      </c>
      <c r="D54" s="7">
        <f>Ratio_Payout!C24/SR_Calculations!D24</f>
        <v>3.416754198</v>
      </c>
      <c r="E54" s="7">
        <f>Ratio_PM!C24/SR_Calculations!D24</f>
        <v>9.901614206</v>
      </c>
      <c r="F54" s="7">
        <f>Ratio_PB!C24/SR_Calculations!D24</f>
        <v>6.247779105</v>
      </c>
      <c r="G54" s="7">
        <f>Ratio_PE!C24/SR_Calculations!D24</f>
        <v>16.89842951</v>
      </c>
      <c r="H54" s="7">
        <f>Ratio_PS!C24/SR_Calculations!D24</f>
        <v>1.213296389</v>
      </c>
      <c r="I54" s="7">
        <f>Ratio_CR!C24/SR_Calculations!D24</f>
        <v>1.352755744</v>
      </c>
      <c r="J54" s="7">
        <f>Ratio_DE!C24/SR_Calculations!D24</f>
        <v>1.617728518</v>
      </c>
    </row>
    <row r="55">
      <c r="A55" s="3" t="s">
        <v>24</v>
      </c>
      <c r="B55" s="6">
        <v>2024.0</v>
      </c>
      <c r="C55" s="7">
        <f>Ratio_EPS!C25/SR_Calculations!D25</f>
        <v>-4.241763869</v>
      </c>
      <c r="D55" s="7">
        <f>Ratio_Payout!C25/SR_Calculations!D25</f>
        <v>-116.43759</v>
      </c>
      <c r="E55" s="7">
        <f>Ratio_PM!C25/SR_Calculations!D25</f>
        <v>-2.472409327</v>
      </c>
      <c r="F55" s="7">
        <f>Ratio_PB!C25/SR_Calculations!D25</f>
        <v>2.472409327</v>
      </c>
      <c r="G55" s="7">
        <f>Ratio_PE!C25/SR_Calculations!D25</f>
        <v>-50.46328047</v>
      </c>
      <c r="H55" s="7">
        <f>Ratio_PS!C25/SR_Calculations!D25</f>
        <v>0.9959942786</v>
      </c>
      <c r="I55" s="7">
        <f>Ratio_CR!C25/SR_Calculations!D25</f>
        <v>0.8436657419</v>
      </c>
      <c r="J55" s="7">
        <f>Ratio_DE!C25/SR_Calculations!D25</f>
        <v>1.042864598</v>
      </c>
    </row>
    <row r="56">
      <c r="A56" s="3" t="s">
        <v>25</v>
      </c>
      <c r="B56" s="6">
        <v>2024.0</v>
      </c>
      <c r="C56" s="7">
        <f>Ratio_EPS!C26/SR_Calculations!D26</f>
        <v>483.4917799</v>
      </c>
      <c r="D56" s="7">
        <f>Ratio_Payout!C26/SR_Calculations!D26</f>
        <v>210.2889653</v>
      </c>
      <c r="E56" s="7">
        <f>Ratio_PM!C26/SR_Calculations!D26</f>
        <v>73.47630878</v>
      </c>
      <c r="F56" s="7">
        <f>Ratio_PB!C26/SR_Calculations!D26</f>
        <v>59.68749809</v>
      </c>
      <c r="G56" s="7">
        <f>Ratio_PE!C26/SR_Calculations!D26</f>
        <v>118.4961996</v>
      </c>
      <c r="H56" s="7">
        <f>Ratio_PS!C26/SR_Calculations!D26</f>
        <v>22.43082296</v>
      </c>
      <c r="I56" s="7">
        <f>Ratio_CR!C26/SR_Calculations!D26</f>
        <v>9.410191141</v>
      </c>
      <c r="J56" s="7">
        <f>Ratio_DE!C26/SR_Calculations!D26</f>
        <v>2.57339921</v>
      </c>
    </row>
    <row r="57">
      <c r="A57" s="3" t="s">
        <v>26</v>
      </c>
      <c r="B57" s="6">
        <v>2024.0</v>
      </c>
      <c r="C57" s="7">
        <f>Ratio_EPS!C27/SR_Calculations!D27</f>
        <v>35.4878793</v>
      </c>
      <c r="D57" s="7">
        <f>Ratio_Payout!C27/SR_Calculations!D27</f>
        <v>221.79257</v>
      </c>
      <c r="E57" s="7">
        <f>Ratio_PM!C27/SR_Calculations!D27</f>
        <v>6.11491675</v>
      </c>
      <c r="F57" s="7">
        <f>Ratio_PB!C27/SR_Calculations!D27</f>
        <v>5.527457499</v>
      </c>
      <c r="G57" s="7">
        <f>Ratio_PE!C27/SR_Calculations!D27</f>
        <v>62.62008536</v>
      </c>
      <c r="H57" s="7">
        <f>Ratio_PS!C27/SR_Calculations!D27</f>
        <v>2.830485482</v>
      </c>
      <c r="I57" s="7">
        <f>Ratio_CR!C27/SR_Calculations!D27</f>
        <v>2.48335047</v>
      </c>
      <c r="J57" s="7">
        <f>Ratio_DE!C27/SR_Calculations!D27</f>
        <v>0.08010807969</v>
      </c>
    </row>
    <row r="58">
      <c r="A58" s="3" t="s">
        <v>27</v>
      </c>
      <c r="B58" s="6">
        <v>2024.0</v>
      </c>
      <c r="C58" s="7">
        <f>Ratio_EPS!C28/SR_Calculations!D28</f>
        <v>171.9959513</v>
      </c>
      <c r="D58" s="7">
        <f>Ratio_Payout!C28/SR_Calculations!D28</f>
        <v>110.9369518</v>
      </c>
      <c r="E58" s="7">
        <f>Ratio_PM!C28/SR_Calculations!D28</f>
        <v>29.87436025</v>
      </c>
      <c r="F58" s="7">
        <f>Ratio_PB!C28/SR_Calculations!D28</f>
        <v>157.4518548</v>
      </c>
      <c r="G58" s="7">
        <f>Ratio_PE!C28/SR_Calculations!D28</f>
        <v>421.7670041</v>
      </c>
      <c r="H58" s="7">
        <f>Ratio_PS!C28/SR_Calculations!D28</f>
        <v>28.95716498</v>
      </c>
      <c r="I58" s="7">
        <f>Ratio_CR!C28/SR_Calculations!D28</f>
        <v>6.769774618</v>
      </c>
      <c r="J58" s="7">
        <f>Ratio_DE!C28/SR_Calculations!D28</f>
        <v>6.114635138</v>
      </c>
    </row>
    <row r="59">
      <c r="A59" s="3" t="s">
        <v>28</v>
      </c>
      <c r="B59" s="6">
        <v>2024.0</v>
      </c>
      <c r="C59" s="7">
        <f>Ratio_EPS!C29/SR_Calculations!D29</f>
        <v>100.164578</v>
      </c>
      <c r="D59" s="7">
        <f>Ratio_Payout!C29/SR_Calculations!D29</f>
        <v>12.59841416</v>
      </c>
      <c r="E59" s="7">
        <f>Ratio_PM!C29/SR_Calculations!D29</f>
        <v>26.20278535</v>
      </c>
      <c r="F59" s="7">
        <f>Ratio_PB!C29/SR_Calculations!D29</f>
        <v>82.65613551</v>
      </c>
      <c r="G59" s="7">
        <f>Ratio_PE!C29/SR_Calculations!D29</f>
        <v>226.137702</v>
      </c>
      <c r="H59" s="7">
        <f>Ratio_PS!C29/SR_Calculations!D29</f>
        <v>27.16083966</v>
      </c>
      <c r="I59" s="7">
        <f>Ratio_CR!C29/SR_Calculations!D29</f>
        <v>4.83817426</v>
      </c>
      <c r="J59" s="7">
        <f>Ratio_DE!C29/SR_Calculations!D29</f>
        <v>0.2874162927</v>
      </c>
    </row>
    <row r="60">
      <c r="A60" s="3" t="s">
        <v>29</v>
      </c>
      <c r="B60" s="6">
        <v>2024.0</v>
      </c>
      <c r="C60" s="7">
        <f>Ratio_EPS!C30/SR_Calculations!D30</f>
        <v>2077.727638</v>
      </c>
      <c r="D60" s="7">
        <f>Ratio_Payout!C30/SR_Calculations!D30</f>
        <v>133.7130275</v>
      </c>
      <c r="E60" s="7">
        <f>Ratio_PM!C30/SR_Calculations!D30</f>
        <v>84.18017854</v>
      </c>
      <c r="F60" s="7">
        <f>Ratio_PB!C30/SR_Calculations!D30</f>
        <v>39.95136522</v>
      </c>
      <c r="G60" s="7">
        <f>Ratio_PE!C30/SR_Calculations!D30</f>
        <v>343.0068519</v>
      </c>
      <c r="H60" s="7">
        <f>Ratio_PS!C30/SR_Calculations!D30</f>
        <v>33.96293789</v>
      </c>
      <c r="I60" s="7">
        <f>Ratio_CR!C30/SR_Calculations!D30</f>
        <v>7.357210726</v>
      </c>
      <c r="J60" s="7">
        <f>Ratio_DE!C30/SR_Calculations!D30</f>
        <v>1.454332353</v>
      </c>
    </row>
    <row r="62">
      <c r="A62" s="3" t="s">
        <v>1</v>
      </c>
      <c r="B62" s="6">
        <v>2023.0</v>
      </c>
      <c r="C62" s="7">
        <f>Ratio_EPS!D2/SR_Calculations!D2</f>
        <v>72.15796604</v>
      </c>
      <c r="D62" s="7">
        <f>Ratio_Payout!D2/SR_Calculations!D2</f>
        <v>58.3604705</v>
      </c>
      <c r="E62" s="7">
        <f>Ratio_PM!D2/SR_Calculations!D2</f>
        <v>75.24038526</v>
      </c>
      <c r="F62" s="7">
        <f>Ratio_PB!D2/SR_Calculations!D2</f>
        <v>8.836268421</v>
      </c>
      <c r="G62" s="7">
        <f>Ratio_PE!D2/SR_Calculations!D2</f>
        <v>75.4570353</v>
      </c>
      <c r="H62" s="7">
        <f>Ratio_PS!D2/SR_Calculations!D2</f>
        <v>19.22842464</v>
      </c>
      <c r="I62" s="7">
        <f>Ratio_CR!D2/SR_Calculations!D2</f>
        <v>3.963110421</v>
      </c>
      <c r="J62" s="7">
        <f>Ratio_DE!D2/SR_Calculations!D2</f>
        <v>3.199844711</v>
      </c>
    </row>
    <row r="63">
      <c r="A63" s="3" t="s">
        <v>2</v>
      </c>
      <c r="B63" s="6">
        <v>2023.0</v>
      </c>
      <c r="C63" s="7">
        <f>Ratio_EPS!D3/SR_Calculations!D3</f>
        <v>18.46050107</v>
      </c>
      <c r="D63" s="7">
        <f>Ratio_Payout!D3/SR_Calculations!D3</f>
        <v>20.03839537</v>
      </c>
      <c r="E63" s="7">
        <f>Ratio_PM!D3/SR_Calculations!D3</f>
        <v>5.12600088</v>
      </c>
      <c r="F63" s="7">
        <f>Ratio_PB!D3/SR_Calculations!D3</f>
        <v>7.139325027</v>
      </c>
      <c r="G63" s="7">
        <f>Ratio_PE!D3/SR_Calculations!D3</f>
        <v>27.79822948</v>
      </c>
      <c r="H63" s="7">
        <f>Ratio_PS!D3/SR_Calculations!D3</f>
        <v>3.310991317</v>
      </c>
      <c r="I63" s="7">
        <f>Ratio_CR!D3/SR_Calculations!D3</f>
        <v>0.9010380016</v>
      </c>
      <c r="J63" s="7">
        <f>Ratio_DE!D3/SR_Calculations!D3</f>
        <v>0.02586711966</v>
      </c>
    </row>
    <row r="64">
      <c r="A64" s="3" t="s">
        <v>3</v>
      </c>
      <c r="B64" s="6">
        <v>2023.0</v>
      </c>
      <c r="C64" s="7">
        <f>Ratio_EPS!D4/SR_Calculations!D4</f>
        <v>31.49826234</v>
      </c>
      <c r="D64" s="7">
        <f>Ratio_Payout!D4/SR_Calculations!D4</f>
        <v>2.921499789</v>
      </c>
      <c r="E64" s="7">
        <f>Ratio_PM!D4/SR_Calculations!D4</f>
        <v>11.15563458</v>
      </c>
      <c r="F64" s="7">
        <f>Ratio_PB!D4/SR_Calculations!D4</f>
        <v>1.833802944</v>
      </c>
      <c r="G64" s="7">
        <f>Ratio_PE!D4/SR_Calculations!D4</f>
        <v>21.92275463</v>
      </c>
      <c r="H64" s="7">
        <f>Ratio_PS!D4/SR_Calculations!D4</f>
        <v>2.714747496</v>
      </c>
      <c r="I64" s="7">
        <f>Ratio_CR!D4/SR_Calculations!D4</f>
        <v>0.9906131592</v>
      </c>
      <c r="J64" s="7">
        <f>Ratio_DE!D4/SR_Calculations!D4</f>
        <v>8.440887083</v>
      </c>
    </row>
    <row r="65">
      <c r="A65" s="3" t="s">
        <v>4</v>
      </c>
      <c r="B65" s="6">
        <v>2023.0</v>
      </c>
      <c r="C65" s="7">
        <f>Ratio_EPS!D5/SR_Calculations!D5</f>
        <v>9.216888719</v>
      </c>
      <c r="D65" s="7">
        <f>Ratio_Payout!D5/SR_Calculations!D5</f>
        <v>1.983634746</v>
      </c>
      <c r="E65" s="7">
        <f>Ratio_PM!D5/SR_Calculations!D5</f>
        <v>29.79459462</v>
      </c>
      <c r="F65" s="7">
        <f>Ratio_PB!D5/SR_Calculations!D5</f>
        <v>8.715970854</v>
      </c>
      <c r="G65" s="7">
        <f>Ratio_PE!D5/SR_Calculations!D5</f>
        <v>279.1915813</v>
      </c>
      <c r="H65" s="7">
        <f>Ratio_PS!D5/SR_Calculations!D5</f>
        <v>4.929031793</v>
      </c>
      <c r="I65" s="7">
        <f>Ratio_CR!D5/SR_Calculations!D5</f>
        <v>4.127563209</v>
      </c>
      <c r="J65" s="7">
        <f>Ratio_DE!D5/SR_Calculations!D5</f>
        <v>9.136741861</v>
      </c>
    </row>
    <row r="66">
      <c r="A66" s="3" t="s">
        <v>5</v>
      </c>
      <c r="B66" s="6">
        <v>2023.0</v>
      </c>
      <c r="C66" s="7">
        <f>Ratio_EPS!D6/SR_Calculations!D6</f>
        <v>351.5800566</v>
      </c>
      <c r="D66" s="7">
        <f>Ratio_Payout!D6/SR_Calculations!D6</f>
        <v>19.45494959</v>
      </c>
      <c r="E66" s="7">
        <f>Ratio_PM!D6/SR_Calculations!D6</f>
        <v>51.53985216</v>
      </c>
      <c r="F66" s="7">
        <f>Ratio_PB!D6/SR_Calculations!D6</f>
        <v>11.57282035</v>
      </c>
      <c r="G66" s="7">
        <f>Ratio_PE!D6/SR_Calculations!D6</f>
        <v>12.32672283</v>
      </c>
      <c r="H66" s="7">
        <f>Ratio_PS!D6/SR_Calculations!D6</f>
        <v>15.20787289</v>
      </c>
      <c r="I66" s="7">
        <f>Ratio_CR!D6/SR_Calculations!D6</f>
        <v>2.281180934</v>
      </c>
      <c r="J66" s="7">
        <f>Ratio_DE!D6/SR_Calculations!D6</f>
        <v>7.399928395</v>
      </c>
    </row>
    <row r="67">
      <c r="A67" s="3" t="s">
        <v>6</v>
      </c>
      <c r="B67" s="6">
        <v>2023.0</v>
      </c>
      <c r="C67" s="7">
        <f>Ratio_EPS!D7/SR_Calculations!D7</f>
        <v>3.143588728</v>
      </c>
      <c r="D67" s="7">
        <f>Ratio_Payout!D7/SR_Calculations!D7</f>
        <v>31.99696791</v>
      </c>
      <c r="E67" s="7">
        <f>Ratio_PM!D7/SR_Calculations!D7</f>
        <v>12.73576167</v>
      </c>
      <c r="F67" s="7">
        <f>Ratio_PB!D7/SR_Calculations!D7</f>
        <v>3.950622509</v>
      </c>
      <c r="G67" s="7">
        <f>Ratio_PE!D7/SR_Calculations!D7</f>
        <v>18.33188763</v>
      </c>
      <c r="H67" s="7">
        <f>Ratio_PS!D7/SR_Calculations!D7</f>
        <v>3.089786476</v>
      </c>
      <c r="I67" s="7">
        <f>Ratio_CR!D7/SR_Calculations!D7</f>
        <v>1.122161258</v>
      </c>
      <c r="J67" s="7">
        <f>Ratio_DE!D7/SR_Calculations!D7</f>
        <v>0.8454639611</v>
      </c>
    </row>
    <row r="68">
      <c r="A68" s="3" t="s">
        <v>7</v>
      </c>
      <c r="B68" s="6">
        <v>2023.0</v>
      </c>
      <c r="C68" s="7">
        <f>Ratio_EPS!D8/SR_Calculations!D8</f>
        <v>111.2596853</v>
      </c>
      <c r="D68" s="7">
        <f>Ratio_Payout!D8/SR_Calculations!D8</f>
        <v>155.3206588</v>
      </c>
      <c r="E68" s="7">
        <f>Ratio_PM!D8/SR_Calculations!D8</f>
        <v>63.304241</v>
      </c>
      <c r="F68" s="7">
        <f>Ratio_PB!D8/SR_Calculations!D8</f>
        <v>35.73749673</v>
      </c>
      <c r="G68" s="7">
        <f>Ratio_PE!D8/SR_Calculations!D8</f>
        <v>386.4544462</v>
      </c>
      <c r="H68" s="7">
        <f>Ratio_PS!D8/SR_Calculations!D8</f>
        <v>23.29046261</v>
      </c>
      <c r="I68" s="7">
        <f>Ratio_CR!D8/SR_Calculations!D8</f>
        <v>3.589022107</v>
      </c>
      <c r="J68" s="7">
        <f>Ratio_DE!D8/SR_Calculations!D8</f>
        <v>13.89791539</v>
      </c>
    </row>
    <row r="69">
      <c r="A69" s="3" t="s">
        <v>8</v>
      </c>
      <c r="B69" s="6">
        <v>2023.0</v>
      </c>
      <c r="C69" s="7">
        <f>Ratio_EPS!D9/SR_Calculations!D9</f>
        <v>106.2478479</v>
      </c>
      <c r="D69" s="7">
        <f>Ratio_Payout!D9/SR_Calculations!D9</f>
        <v>169.6785306</v>
      </c>
      <c r="E69" s="7">
        <f>Ratio_PM!D9/SR_Calculations!D9</f>
        <v>28.37025032</v>
      </c>
      <c r="F69" s="7">
        <f>Ratio_PB!D9/SR_Calculations!D9</f>
        <v>8.745716263</v>
      </c>
      <c r="G69" s="7">
        <f>Ratio_PE!D9/SR_Calculations!D9</f>
        <v>38.40183896</v>
      </c>
      <c r="H69" s="7">
        <f>Ratio_PS!D9/SR_Calculations!D9</f>
        <v>5.643023132</v>
      </c>
      <c r="I69" s="7">
        <f>Ratio_CR!D9/SR_Calculations!D9</f>
        <v>4.847958017</v>
      </c>
      <c r="J69" s="7">
        <f>Ratio_DE!D9/SR_Calculations!D9</f>
        <v>0.05817549621</v>
      </c>
    </row>
    <row r="70">
      <c r="A70" s="3" t="s">
        <v>9</v>
      </c>
      <c r="B70" s="6">
        <v>2023.0</v>
      </c>
      <c r="C70" s="7">
        <f>Ratio_EPS!D10/SR_Calculations!D10</f>
        <v>210.9477666</v>
      </c>
      <c r="D70" s="7">
        <f>Ratio_Payout!D10/SR_Calculations!D10</f>
        <v>61.71767036</v>
      </c>
      <c r="E70" s="7">
        <f>Ratio_PM!D10/SR_Calculations!D10</f>
        <v>69.97404338</v>
      </c>
      <c r="F70" s="7">
        <f>Ratio_PB!D10/SR_Calculations!D10</f>
        <v>8.230732109</v>
      </c>
      <c r="G70" s="7">
        <f>Ratio_PE!D10/SR_Calculations!D10</f>
        <v>52.08258562</v>
      </c>
      <c r="H70" s="7">
        <f>Ratio_PS!D10/SR_Calculations!D10</f>
        <v>14.25634596</v>
      </c>
      <c r="I70" s="7">
        <f>Ratio_CR!D10/SR_Calculations!D10</f>
        <v>2.35896372</v>
      </c>
      <c r="J70" s="7">
        <f>Ratio_DE!D10/SR_Calculations!D10</f>
        <v>19.9999098</v>
      </c>
    </row>
    <row r="71">
      <c r="A71" s="3" t="s">
        <v>10</v>
      </c>
      <c r="B71" s="6">
        <v>2023.0</v>
      </c>
      <c r="C71" s="7">
        <f>Ratio_EPS!D11/SR_Calculations!D11</f>
        <v>328.3761224</v>
      </c>
      <c r="D71" s="7">
        <f>Ratio_Payout!D11/SR_Calculations!D11</f>
        <v>637.2341842</v>
      </c>
      <c r="E71" s="7">
        <f>Ratio_PM!D11/SR_Calculations!D11</f>
        <v>127.6298187</v>
      </c>
      <c r="F71" s="7">
        <f>Ratio_PB!D11/SR_Calculations!D11</f>
        <v>91.10969731</v>
      </c>
      <c r="G71" s="7">
        <f>Ratio_PE!D11/SR_Calculations!D11</f>
        <v>452.9493823</v>
      </c>
      <c r="H71" s="7">
        <f>Ratio_PS!D11/SR_Calculations!D11</f>
        <v>75.70872756</v>
      </c>
      <c r="I71" s="7">
        <f>Ratio_CR!D11/SR_Calculations!D11</f>
        <v>10.75018186</v>
      </c>
      <c r="J71" s="7">
        <f>Ratio_DE!D11/SR_Calculations!D11</f>
        <v>4.117090925</v>
      </c>
    </row>
    <row r="72">
      <c r="A72" s="3" t="s">
        <v>11</v>
      </c>
      <c r="B72" s="6">
        <v>2023.0</v>
      </c>
      <c r="C72" s="7">
        <f>Ratio_EPS!D12/SR_Calculations!D12</f>
        <v>66.40310985</v>
      </c>
      <c r="D72" s="7">
        <f>Ratio_Payout!D12/SR_Calculations!D12</f>
        <v>22.76360789</v>
      </c>
      <c r="E72" s="7">
        <f>Ratio_PM!D12/SR_Calculations!D12</f>
        <v>39.50318784</v>
      </c>
      <c r="F72" s="7">
        <f>Ratio_PB!D12/SR_Calculations!D12</f>
        <v>4.025272127</v>
      </c>
      <c r="G72" s="7">
        <f>Ratio_PE!D12/SR_Calculations!D12</f>
        <v>24.91962692</v>
      </c>
      <c r="H72" s="7">
        <f>Ratio_PS!D12/SR_Calculations!D12</f>
        <v>7.02340585</v>
      </c>
      <c r="I72" s="7">
        <f>Ratio_CR!D12/SR_Calculations!D12</f>
        <v>1.40190512</v>
      </c>
      <c r="J72" s="7">
        <f>Ratio_DE!D12/SR_Calculations!D12</f>
        <v>10.64615076</v>
      </c>
    </row>
    <row r="73">
      <c r="A73" s="3" t="s">
        <v>12</v>
      </c>
      <c r="B73" s="6">
        <v>2023.0</v>
      </c>
      <c r="C73" s="7">
        <f>Ratio_EPS!D13/SR_Calculations!D13</f>
        <v>20.2075144</v>
      </c>
      <c r="D73" s="7">
        <f>Ratio_Payout!D13/SR_Calculations!D13</f>
        <v>19.8668594</v>
      </c>
      <c r="E73" s="7">
        <f>Ratio_PM!D13/SR_Calculations!D13</f>
        <v>5.766551729</v>
      </c>
      <c r="F73" s="7">
        <f>Ratio_PB!D13/SR_Calculations!D13</f>
        <v>2.749823388</v>
      </c>
      <c r="G73" s="7">
        <f>Ratio_PE!D13/SR_Calculations!D13</f>
        <v>8.393704196</v>
      </c>
      <c r="H73" s="7">
        <f>Ratio_PS!D13/SR_Calculations!D13</f>
        <v>1.415298628</v>
      </c>
      <c r="I73" s="7">
        <f>Ratio_CR!D13/SR_Calculations!D13</f>
        <v>0.6356552149</v>
      </c>
      <c r="J73" s="7">
        <f>Ratio_DE!D13/SR_Calculations!D13</f>
        <v>0.2001787141</v>
      </c>
    </row>
    <row r="74">
      <c r="A74" s="3" t="s">
        <v>13</v>
      </c>
      <c r="B74" s="6">
        <v>2023.0</v>
      </c>
      <c r="C74" s="7">
        <f>Ratio_EPS!D14/SR_Calculations!D14</f>
        <v>30.38626557</v>
      </c>
      <c r="D74" s="7">
        <f>Ratio_Payout!D14/SR_Calculations!D14</f>
        <v>76.28014015</v>
      </c>
      <c r="E74" s="7">
        <f>Ratio_PM!D14/SR_Calculations!D14</f>
        <v>53.81474458</v>
      </c>
      <c r="F74" s="7">
        <f>Ratio_PB!D14/SR_Calculations!D14</f>
        <v>13.54213258</v>
      </c>
      <c r="G74" s="7">
        <f>Ratio_PE!D14/SR_Calculations!D14</f>
        <v>48.62333169</v>
      </c>
      <c r="H74" s="7">
        <f>Ratio_PS!D14/SR_Calculations!D14</f>
        <v>13.20800159</v>
      </c>
      <c r="I74" s="7">
        <f>Ratio_CR!D14/SR_Calculations!D14</f>
        <v>5.680226875</v>
      </c>
      <c r="J74" s="7">
        <f>Ratio_DE!D14/SR_Calculations!D14</f>
        <v>0.4520595783</v>
      </c>
    </row>
    <row r="75">
      <c r="A75" s="3" t="s">
        <v>14</v>
      </c>
      <c r="B75" s="6">
        <v>2023.0</v>
      </c>
      <c r="C75" s="7">
        <f>Ratio_EPS!D15/SR_Calculations!D15</f>
        <v>269.718354</v>
      </c>
      <c r="D75" s="7">
        <f>Ratio_Payout!D15/SR_Calculations!D15</f>
        <v>51.53945596</v>
      </c>
      <c r="E75" s="7">
        <f>Ratio_PM!D15/SR_Calculations!D15</f>
        <v>126.1852881</v>
      </c>
      <c r="F75" s="7">
        <f>Ratio_PB!D15/SR_Calculations!D15</f>
        <v>11.08530198</v>
      </c>
      <c r="G75" s="7">
        <f>Ratio_PE!D15/SR_Calculations!D15</f>
        <v>83.23226233</v>
      </c>
      <c r="H75" s="7">
        <f>Ratio_PS!D15/SR_Calculations!D15</f>
        <v>29.40484324</v>
      </c>
      <c r="I75" s="7">
        <f>Ratio_CR!D15/SR_Calculations!D15</f>
        <v>4.934399031</v>
      </c>
      <c r="J75" s="7">
        <f>Ratio_DE!D15/SR_Calculations!D15</f>
        <v>16.34002305</v>
      </c>
    </row>
    <row r="76">
      <c r="A76" s="3" t="s">
        <v>15</v>
      </c>
      <c r="B76" s="6">
        <v>2023.0</v>
      </c>
      <c r="C76" s="7">
        <f>Ratio_EPS!D16/SR_Calculations!D16</f>
        <v>180.7798524</v>
      </c>
      <c r="D76" s="7">
        <f>Ratio_Payout!D16/SR_Calculations!D16</f>
        <v>71.68060769</v>
      </c>
      <c r="E76" s="7">
        <f>Ratio_PM!D16/SR_Calculations!D16</f>
        <v>16.70604949</v>
      </c>
      <c r="F76" s="7">
        <f>Ratio_PB!D16/SR_Calculations!D16</f>
        <v>8.280178598</v>
      </c>
      <c r="G76" s="7">
        <f>Ratio_PE!D16/SR_Calculations!D16</f>
        <v>70.54687884</v>
      </c>
      <c r="H76" s="7">
        <f>Ratio_PS!D16/SR_Calculations!D16</f>
        <v>4.03082008</v>
      </c>
      <c r="I76" s="7">
        <f>Ratio_CR!D16/SR_Calculations!D16</f>
        <v>3.326640669</v>
      </c>
      <c r="J76" s="7">
        <f>Ratio_DE!D16/SR_Calculations!D16</f>
        <v>3.229512474</v>
      </c>
    </row>
    <row r="77">
      <c r="A77" s="3" t="s">
        <v>16</v>
      </c>
      <c r="B77" s="6">
        <v>2023.0</v>
      </c>
      <c r="C77" s="7">
        <f>Ratio_EPS!D17/SR_Calculations!D17</f>
        <v>192.4945918</v>
      </c>
      <c r="D77" s="7">
        <f>Ratio_Payout!D17/SR_Calculations!D17</f>
        <v>26.14460038</v>
      </c>
      <c r="E77" s="7">
        <f>Ratio_PM!D17/SR_Calculations!D17</f>
        <v>17.01806254</v>
      </c>
      <c r="F77" s="7">
        <f>Ratio_PB!D17/SR_Calculations!D17</f>
        <v>4.793525611</v>
      </c>
      <c r="G77" s="7">
        <f>Ratio_PE!D17/SR_Calculations!D17</f>
        <v>26.24319211</v>
      </c>
      <c r="H77" s="7">
        <f>Ratio_PS!D17/SR_Calculations!D17</f>
        <v>2.218837182</v>
      </c>
      <c r="I77" s="7">
        <f>Ratio_CR!D17/SR_Calculations!D17</f>
        <v>2.700282986</v>
      </c>
      <c r="J77" s="7">
        <f>Ratio_DE!D17/SR_Calculations!D17</f>
        <v>3.286390921</v>
      </c>
    </row>
    <row r="78">
      <c r="A78" s="3" t="s">
        <v>17</v>
      </c>
      <c r="B78" s="6">
        <v>2023.0</v>
      </c>
      <c r="C78" s="7">
        <f>Ratio_EPS!D18/SR_Calculations!D18</f>
        <v>967.8923809</v>
      </c>
      <c r="D78" s="7">
        <f>Ratio_Payout!D18/SR_Calculations!D18</f>
        <v>78.58650889</v>
      </c>
      <c r="E78" s="7">
        <f>Ratio_PM!D18/SR_Calculations!D18</f>
        <v>24.32015658</v>
      </c>
      <c r="F78" s="7">
        <f>Ratio_PB!D18/SR_Calculations!D18</f>
        <v>14.4211763</v>
      </c>
      <c r="G78" s="7">
        <f>Ratio_PE!D18/SR_Calculations!D18</f>
        <v>108.6320505</v>
      </c>
      <c r="H78" s="7">
        <f>Ratio_PS!D18/SR_Calculations!D18</f>
        <v>7.5844705</v>
      </c>
      <c r="I78" s="7">
        <f>Ratio_CR!D18/SR_Calculations!D18</f>
        <v>2.065254878</v>
      </c>
      <c r="J78" s="7">
        <f>Ratio_DE!D18/SR_Calculations!D18</f>
        <v>1.281882338</v>
      </c>
    </row>
    <row r="79">
      <c r="A79" s="3" t="s">
        <v>18</v>
      </c>
      <c r="B79" s="6">
        <v>2023.0</v>
      </c>
      <c r="C79" s="7">
        <f>Ratio_EPS!D19/SR_Calculations!D19</f>
        <v>51.88163237</v>
      </c>
      <c r="D79" s="7">
        <f>Ratio_Payout!D19/SR_Calculations!D19</f>
        <v>70.72392638</v>
      </c>
      <c r="E79" s="7">
        <f>Ratio_PM!D19/SR_Calculations!D19</f>
        <v>26.91341533</v>
      </c>
      <c r="F79" s="7">
        <f>Ratio_PB!D19/SR_Calculations!D19</f>
        <v>3.367806018</v>
      </c>
      <c r="G79" s="7">
        <f>Ratio_PE!D19/SR_Calculations!D19</f>
        <v>29.17420029</v>
      </c>
      <c r="H79" s="7">
        <f>Ratio_PS!D19/SR_Calculations!D19</f>
        <v>2.787149808</v>
      </c>
      <c r="I79" s="7">
        <f>Ratio_CR!D19/SR_Calculations!D19</f>
        <v>2.700051377</v>
      </c>
      <c r="J79" s="7">
        <f>Ratio_DE!D19/SR_Calculations!D19</f>
        <v>3.861363797</v>
      </c>
    </row>
    <row r="80">
      <c r="A80" s="3" t="s">
        <v>19</v>
      </c>
      <c r="B80" s="6">
        <v>2023.0</v>
      </c>
      <c r="C80" s="7">
        <f>Ratio_EPS!D20/SR_Calculations!D20</f>
        <v>169.6755864</v>
      </c>
      <c r="D80" s="7">
        <f>Ratio_Payout!D20/SR_Calculations!D20</f>
        <v>347.3359062</v>
      </c>
      <c r="E80" s="7">
        <f>Ratio_PM!D20/SR_Calculations!D20</f>
        <v>261.0393636</v>
      </c>
      <c r="F80" s="7">
        <f>Ratio_PB!D20/SR_Calculations!D20</f>
        <v>14.58749385</v>
      </c>
      <c r="G80" s="7">
        <f>Ratio_PE!D20/SR_Calculations!D20</f>
        <v>78.40931497</v>
      </c>
      <c r="H80" s="7">
        <f>Ratio_PS!D20/SR_Calculations!D20</f>
        <v>26.48781778</v>
      </c>
      <c r="I80" s="7">
        <f>Ratio_CR!D20/SR_Calculations!D20</f>
        <v>6.986641792</v>
      </c>
      <c r="J80" s="7">
        <f>Ratio_DE!D20/SR_Calculations!D20</f>
        <v>11.66999508</v>
      </c>
    </row>
    <row r="81">
      <c r="A81" s="3" t="s">
        <v>20</v>
      </c>
      <c r="B81" s="6">
        <v>2023.0</v>
      </c>
      <c r="C81" s="7">
        <f>Ratio_EPS!D21/SR_Calculations!D21</f>
        <v>155.8751621</v>
      </c>
      <c r="D81" s="7">
        <f>Ratio_Payout!D21/SR_Calculations!D21</f>
        <v>12.04755792</v>
      </c>
      <c r="E81" s="7">
        <f>Ratio_PM!D21/SR_Calculations!D21</f>
        <v>13.32820384</v>
      </c>
      <c r="F81" s="7">
        <f>Ratio_PB!D21/SR_Calculations!D21</f>
        <v>3.478297561</v>
      </c>
      <c r="G81" s="7">
        <f>Ratio_PE!D21/SR_Calculations!D21</f>
        <v>37.38205441</v>
      </c>
      <c r="H81" s="7">
        <f>Ratio_PS!D21/SR_Calculations!D21</f>
        <v>2.845879823</v>
      </c>
      <c r="I81" s="7">
        <f>Ratio_CR!D21/SR_Calculations!D21</f>
        <v>1.69171745</v>
      </c>
      <c r="J81" s="7">
        <f>Ratio_DE!D21/SR_Calculations!D21</f>
        <v>0.6956595123</v>
      </c>
    </row>
    <row r="82">
      <c r="A82" s="3" t="s">
        <v>21</v>
      </c>
      <c r="B82" s="6">
        <v>2023.0</v>
      </c>
      <c r="C82" s="7">
        <f>Ratio_EPS!D22/SR_Calculations!D22</f>
        <v>84.22095429</v>
      </c>
      <c r="D82" s="7">
        <f>Ratio_Payout!D22/SR_Calculations!D22</f>
        <v>27.12360485</v>
      </c>
      <c r="E82" s="7">
        <f>Ratio_PM!D22/SR_Calculations!D22</f>
        <v>21.7745274</v>
      </c>
      <c r="F82" s="7">
        <f>Ratio_PB!D22/SR_Calculations!D22</f>
        <v>1.904595759</v>
      </c>
      <c r="G82" s="7">
        <f>Ratio_PE!D22/SR_Calculations!D22</f>
        <v>11.34571746</v>
      </c>
      <c r="H82" s="7">
        <f>Ratio_PS!D22/SR_Calculations!D22</f>
        <v>1.796533588</v>
      </c>
      <c r="I82" s="7">
        <f>Ratio_CR!D22/SR_Calculations!D22</f>
        <v>1.499632774</v>
      </c>
      <c r="J82" s="7">
        <f>Ratio_DE!D22/SR_Calculations!D22</f>
        <v>21.00458443</v>
      </c>
    </row>
    <row r="83">
      <c r="A83" s="3" t="s">
        <v>22</v>
      </c>
      <c r="B83" s="6">
        <v>2023.0</v>
      </c>
      <c r="C83" s="7">
        <f>Ratio_EPS!D23/SR_Calculations!D23</f>
        <v>83.61174409</v>
      </c>
      <c r="D83" s="7">
        <f>Ratio_Payout!D23/SR_Calculations!D23</f>
        <v>70.41861619</v>
      </c>
      <c r="E83" s="7">
        <f>Ratio_PM!D23/SR_Calculations!D23</f>
        <v>46.18779064</v>
      </c>
      <c r="F83" s="7">
        <f>Ratio_PB!D23/SR_Calculations!D23</f>
        <v>9.971825569</v>
      </c>
      <c r="G83" s="7">
        <f>Ratio_PE!D23/SR_Calculations!D23</f>
        <v>65.9654026</v>
      </c>
      <c r="H83" s="7">
        <f>Ratio_PS!D23/SR_Calculations!D23</f>
        <v>12.71940696</v>
      </c>
      <c r="I83" s="7">
        <f>Ratio_CR!D23/SR_Calculations!D23</f>
        <v>4.737209297</v>
      </c>
      <c r="J83" s="7">
        <f>Ratio_DE!D23/SR_Calculations!D23</f>
        <v>0.9237558128</v>
      </c>
    </row>
    <row r="84">
      <c r="A84" s="3" t="s">
        <v>23</v>
      </c>
      <c r="B84" s="6">
        <v>2023.0</v>
      </c>
      <c r="C84" s="7">
        <f>Ratio_EPS!D24/SR_Calculations!D24</f>
        <v>8.771993431</v>
      </c>
      <c r="D84" s="7">
        <f>Ratio_Payout!D24/SR_Calculations!D24</f>
        <v>0</v>
      </c>
      <c r="E84" s="7">
        <f>Ratio_PM!D24/SR_Calculations!D24</f>
        <v>0.9483236141</v>
      </c>
      <c r="F84" s="7">
        <f>Ratio_PB!D24/SR_Calculations!D24</f>
        <v>4.950807103</v>
      </c>
      <c r="G84" s="7">
        <f>Ratio_PE!D24/SR_Calculations!D24</f>
        <v>93.25368151</v>
      </c>
      <c r="H84" s="7">
        <f>Ratio_PS!D24/SR_Calculations!D24</f>
        <v>0.6554589686</v>
      </c>
      <c r="I84" s="7">
        <f>Ratio_CR!D24/SR_Calculations!D24</f>
        <v>1.366701679</v>
      </c>
      <c r="J84" s="7">
        <f>Ratio_DE!D24/SR_Calculations!D24</f>
        <v>3.863024134</v>
      </c>
    </row>
    <row r="85">
      <c r="A85" s="3" t="s">
        <v>24</v>
      </c>
      <c r="B85" s="6">
        <v>2023.0</v>
      </c>
      <c r="C85" s="7">
        <f>Ratio_EPS!D25/SR_Calculations!D25</f>
        <v>8.401504679</v>
      </c>
      <c r="D85" s="7">
        <f>Ratio_Payout!D25/SR_Calculations!D25</f>
        <v>83.28855685</v>
      </c>
      <c r="E85" s="7">
        <f>Ratio_PM!D25/SR_Calculations!D25</f>
        <v>3.679320041</v>
      </c>
      <c r="F85" s="7">
        <f>Ratio_PB!D25/SR_Calculations!D25</f>
        <v>1.452979889</v>
      </c>
      <c r="G85" s="7">
        <f>Ratio_PE!D25/SR_Calculations!D25</f>
        <v>17.07790378</v>
      </c>
      <c r="H85" s="7">
        <f>Ratio_PS!D25/SR_Calculations!D25</f>
        <v>0.6093141469</v>
      </c>
      <c r="I85" s="7">
        <f>Ratio_CR!D25/SR_Calculations!D25</f>
        <v>1.042864598</v>
      </c>
      <c r="J85" s="7">
        <f>Ratio_DE!D25/SR_Calculations!D25</f>
        <v>0.8905360608</v>
      </c>
    </row>
    <row r="86">
      <c r="A86" s="3" t="s">
        <v>25</v>
      </c>
      <c r="B86" s="6">
        <v>2023.0</v>
      </c>
      <c r="C86" s="7">
        <f>Ratio_EPS!D26/SR_Calculations!D26</f>
        <v>442.4326194</v>
      </c>
      <c r="D86" s="7">
        <f>Ratio_Payout!D26/SR_Calculations!D26</f>
        <v>376.7917351</v>
      </c>
      <c r="E86" s="7">
        <f>Ratio_PM!D26/SR_Calculations!D26</f>
        <v>72.05517788</v>
      </c>
      <c r="F86" s="7">
        <f>Ratio_PB!D26/SR_Calculations!D26</f>
        <v>49.85480857</v>
      </c>
      <c r="G86" s="7">
        <f>Ratio_PE!D26/SR_Calculations!D26</f>
        <v>106.89401</v>
      </c>
      <c r="H86" s="7">
        <f>Ratio_PS!D26/SR_Calculations!D26</f>
        <v>19.97265058</v>
      </c>
      <c r="I86" s="7">
        <f>Ratio_CR!D26/SR_Calculations!D26</f>
        <v>9.717462688</v>
      </c>
      <c r="J86" s="7">
        <f>Ratio_DE!D26/SR_Calculations!D26</f>
        <v>2.266127662</v>
      </c>
    </row>
    <row r="87">
      <c r="A87" s="3" t="s">
        <v>26</v>
      </c>
      <c r="B87" s="6">
        <v>2023.0</v>
      </c>
      <c r="C87" s="7">
        <f>Ratio_EPS!D27/SR_Calculations!D27</f>
        <v>73.11197407</v>
      </c>
      <c r="D87" s="7">
        <f>Ratio_Payout!D27/SR_Calculations!D27</f>
        <v>117.8122825</v>
      </c>
      <c r="E87" s="7">
        <f>Ratio_PM!D27/SR_Calculations!D27</f>
        <v>12.2298335</v>
      </c>
      <c r="F87" s="7">
        <f>Ratio_PB!D27/SR_Calculations!D27</f>
        <v>4.632917276</v>
      </c>
      <c r="G87" s="7">
        <f>Ratio_PE!D27/SR_Calculations!D27</f>
        <v>26.86477858</v>
      </c>
      <c r="H87" s="7">
        <f>Ratio_PS!D27/SR_Calculations!D27</f>
        <v>2.429945084</v>
      </c>
      <c r="I87" s="7">
        <f>Ratio_CR!D27/SR_Calculations!D27</f>
        <v>2.243026231</v>
      </c>
      <c r="J87" s="7">
        <f>Ratio_DE!D27/SR_Calculations!D27</f>
        <v>0.08010807969</v>
      </c>
    </row>
    <row r="88">
      <c r="A88" s="3" t="s">
        <v>27</v>
      </c>
      <c r="B88" s="6">
        <v>2023.0</v>
      </c>
      <c r="C88" s="7">
        <f>Ratio_EPS!D28/SR_Calculations!D28</f>
        <v>159.8977089</v>
      </c>
      <c r="D88" s="7">
        <f>Ratio_Payout!D28/SR_Calculations!D28</f>
        <v>89.49205285</v>
      </c>
      <c r="E88" s="7">
        <f>Ratio_PM!D28/SR_Calculations!D28</f>
        <v>35.20282801</v>
      </c>
      <c r="F88" s="7">
        <f>Ratio_PB!D28/SR_Calculations!D28</f>
        <v>82.5038984</v>
      </c>
      <c r="G88" s="7">
        <f>Ratio_PE!D28/SR_Calculations!D28</f>
        <v>300.0530079</v>
      </c>
      <c r="H88" s="7">
        <f>Ratio_PS!D28/SR_Calculations!D28</f>
        <v>24.10913283</v>
      </c>
      <c r="I88" s="7">
        <f>Ratio_CR!D28/SR_Calculations!D28</f>
        <v>7.381238131</v>
      </c>
      <c r="J88" s="7">
        <f>Ratio_DE!D28/SR_Calculations!D28</f>
        <v>2.751585812</v>
      </c>
    </row>
    <row r="89">
      <c r="A89" s="3" t="s">
        <v>28</v>
      </c>
      <c r="B89" s="6">
        <v>2023.0</v>
      </c>
      <c r="C89" s="7">
        <f>Ratio_EPS!D29/SR_Calculations!D29</f>
        <v>29.96314851</v>
      </c>
      <c r="D89" s="7">
        <f>Ratio_Payout!D29/SR_Calculations!D29</f>
        <v>21.05324344</v>
      </c>
      <c r="E89" s="7">
        <f>Ratio_PM!D29/SR_Calculations!D29</f>
        <v>9.005710504</v>
      </c>
      <c r="F89" s="7">
        <f>Ratio_PB!D29/SR_Calculations!D29</f>
        <v>45.10040659</v>
      </c>
      <c r="G89" s="7">
        <f>Ratio_PE!D29/SR_Calculations!D29</f>
        <v>263.2733241</v>
      </c>
      <c r="H89" s="7">
        <f>Ratio_PS!D29/SR_Calculations!D29</f>
        <v>14.20315513</v>
      </c>
      <c r="I89" s="7">
        <f>Ratio_CR!D29/SR_Calculations!D29</f>
        <v>5.197444626</v>
      </c>
      <c r="J89" s="7">
        <f>Ratio_DE!D29/SR_Calculations!D29</f>
        <v>0.4550757968</v>
      </c>
    </row>
    <row r="90">
      <c r="A90" s="3" t="s">
        <v>29</v>
      </c>
      <c r="B90" s="6">
        <v>2023.0</v>
      </c>
      <c r="C90" s="7">
        <f>Ratio_EPS!D30/SR_Calculations!D30</f>
        <v>1501.726478</v>
      </c>
      <c r="D90" s="7">
        <f>Ratio_Payout!D30/SR_Calculations!D30</f>
        <v>184.5291109</v>
      </c>
      <c r="E90" s="7">
        <f>Ratio_PM!D30/SR_Calculations!D30</f>
        <v>68.52471851</v>
      </c>
      <c r="F90" s="7">
        <f>Ratio_PB!D30/SR_Calculations!D30</f>
        <v>34.64732958</v>
      </c>
      <c r="G90" s="7">
        <f>Ratio_PE!D30/SR_Calculations!D30</f>
        <v>371.1687147</v>
      </c>
      <c r="H90" s="7">
        <f>Ratio_PS!D30/SR_Calculations!D30</f>
        <v>29.77103875</v>
      </c>
      <c r="I90" s="7">
        <f>Ratio_CR!D30/SR_Calculations!D30</f>
        <v>7.613857612</v>
      </c>
      <c r="J90" s="7">
        <f>Ratio_DE!D30/SR_Calculations!D30</f>
        <v>1.539881315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B1" s="8" t="s">
        <v>43</v>
      </c>
      <c r="C1" s="8" t="s">
        <v>44</v>
      </c>
      <c r="D1" s="8" t="s">
        <v>45</v>
      </c>
      <c r="E1" s="8" t="s">
        <v>46</v>
      </c>
      <c r="F1" s="8" t="s">
        <v>47</v>
      </c>
      <c r="G1" s="8" t="s">
        <v>48</v>
      </c>
      <c r="H1" s="8" t="s">
        <v>49</v>
      </c>
      <c r="I1" s="8" t="s">
        <v>50</v>
      </c>
    </row>
    <row r="2">
      <c r="A2" s="8" t="s">
        <v>43</v>
      </c>
      <c r="B2" s="7">
        <f>CORREL(Impact_Observations!$C$2:$C$91, Impact_Observations!$C$2:$C$91)</f>
        <v>1</v>
      </c>
      <c r="C2" s="7">
        <f>CORREL(Impact_Observations!$C$2:$C$91, Impact_Observations!$D$2:$D$91)</f>
        <v>0.2027419994</v>
      </c>
      <c r="D2" s="7">
        <f>CORREL(Impact_Observations!$C$2:$C$91, Impact_Observations!$E$2:$E$91)</f>
        <v>0.1677220478</v>
      </c>
      <c r="E2" s="7">
        <f>CORREL(Impact_Observations!$C$2:$C$91, Impact_Observations!$F$2:$F$91)</f>
        <v>0.1859541702</v>
      </c>
      <c r="F2" s="7">
        <f>CORREL(Impact_Observations!$C$2:$C$91, Impact_Observations!$G$2:$G$91)</f>
        <v>0.3222231074</v>
      </c>
      <c r="G2" s="7">
        <f>CORREL(Impact_Observations!$C$2:$C$91, Impact_Observations!$H$2:$H$91)</f>
        <v>0.300270018</v>
      </c>
      <c r="H2" s="7">
        <f>CORREL(Impact_Observations!$C$2:$C$91, Impact_Observations!$I$2:$I$91)</f>
        <v>0.3119354269</v>
      </c>
      <c r="I2" s="7">
        <f>CORREL(Impact_Observations!$C$2:$C$91, Impact_Observations!$J$2:$J$91)</f>
        <v>-0.07275517326</v>
      </c>
    </row>
    <row r="3">
      <c r="A3" s="8" t="s">
        <v>44</v>
      </c>
      <c r="B3" s="7">
        <f>CORREL(Impact_Observations!$D$2:$D$91, Impact_Observations!$C$2:$C$91)</f>
        <v>0.2027419994</v>
      </c>
      <c r="C3" s="7">
        <f>CORREL(Impact_Observations!$D$2:$D$91, Impact_Observations!$D$2:$D$91)</f>
        <v>1</v>
      </c>
      <c r="D3" s="7">
        <f>CORREL(Impact_Observations!$D$2:$D$91, Impact_Observations!$E$2:$E$91)</f>
        <v>0.5726888655</v>
      </c>
      <c r="E3" s="7">
        <f>CORREL(Impact_Observations!$D$2:$D$91, Impact_Observations!$F$2:$F$91)</f>
        <v>0.5038312383</v>
      </c>
      <c r="F3" s="7">
        <f>CORREL(Impact_Observations!$D$2:$D$91, Impact_Observations!$G$2:$G$91)</f>
        <v>0.4947209849</v>
      </c>
      <c r="G3" s="7">
        <f>CORREL(Impact_Observations!$D$2:$D$91, Impact_Observations!$H$2:$H$91)</f>
        <v>0.7681521075</v>
      </c>
      <c r="H3" s="7">
        <f>CORREL(Impact_Observations!$D$2:$D$91, Impact_Observations!$I$2:$I$91)</f>
        <v>0.7584850893</v>
      </c>
      <c r="I3" s="7">
        <f>CORREL(Impact_Observations!$D$2:$D$91, Impact_Observations!$J$2:$J$91)</f>
        <v>-0.01478820153</v>
      </c>
    </row>
    <row r="4">
      <c r="A4" s="8" t="s">
        <v>45</v>
      </c>
      <c r="B4" s="7">
        <f>CORREL(Impact_Observations!$E$2:$E$91, Impact_Observations!$C$2:$C$91)</f>
        <v>0.1677220478</v>
      </c>
      <c r="C4" s="7">
        <f>CORREL(Impact_Observations!$E$2:$E$91, Impact_Observations!$D$2:$D$91)</f>
        <v>0.5726888655</v>
      </c>
      <c r="D4" s="7">
        <f>CORREL(Impact_Observations!$E$2:$E$91, Impact_Observations!$E$2:$E$91)</f>
        <v>1</v>
      </c>
      <c r="E4" s="7">
        <f>CORREL(Impact_Observations!$E$2:$E$91, Impact_Observations!$F$2:$F$91)</f>
        <v>0.2324597616</v>
      </c>
      <c r="F4" s="7">
        <f>CORREL(Impact_Observations!$E$2:$E$91, Impact_Observations!$G$2:$G$91)</f>
        <v>0.2270356401</v>
      </c>
      <c r="G4" s="7">
        <f>CORREL(Impact_Observations!$E$2:$E$91, Impact_Observations!$H$2:$H$91)</f>
        <v>0.7237113525</v>
      </c>
      <c r="H4" s="7">
        <f>CORREL(Impact_Observations!$E$2:$E$91, Impact_Observations!$I$2:$I$91)</f>
        <v>0.5870230244</v>
      </c>
      <c r="I4" s="7">
        <f>CORREL(Impact_Observations!$E$2:$E$91, Impact_Observations!$J$2:$J$91)</f>
        <v>0.3421971383</v>
      </c>
    </row>
    <row r="5">
      <c r="A5" s="8" t="s">
        <v>46</v>
      </c>
      <c r="B5" s="7">
        <f>CORREL(Impact_Observations!$F$2:$F$91, Impact_Observations!$C$2:$C$91)</f>
        <v>0.1859541702</v>
      </c>
      <c r="C5" s="7">
        <f>CORREL(Impact_Observations!$F$2:$F$91, Impact_Observations!$D$2:$D$91)</f>
        <v>0.5038312383</v>
      </c>
      <c r="D5" s="7">
        <f>CORREL(Impact_Observations!$F$2:$F$91, Impact_Observations!$E$2:$E$91)</f>
        <v>0.2324597616</v>
      </c>
      <c r="E5" s="7">
        <f>CORREL(Impact_Observations!$F$2:$F$91, Impact_Observations!$F$2:$F$91)</f>
        <v>1</v>
      </c>
      <c r="F5" s="7">
        <f>CORREL(Impact_Observations!$F$2:$F$91, Impact_Observations!$G$2:$G$91)</f>
        <v>0.7383186597</v>
      </c>
      <c r="G5" s="7">
        <f>CORREL(Impact_Observations!$F$2:$F$91, Impact_Observations!$H$2:$H$91)</f>
        <v>0.6830674534</v>
      </c>
      <c r="H5" s="7">
        <f>CORREL(Impact_Observations!$F$2:$F$91, Impact_Observations!$I$2:$I$91)</f>
        <v>0.66578266</v>
      </c>
      <c r="I5" s="7">
        <f>CORREL(Impact_Observations!$F$2:$F$91, Impact_Observations!$J$2:$J$91)</f>
        <v>-0.06754942507</v>
      </c>
    </row>
    <row r="6">
      <c r="A6" s="8" t="s">
        <v>47</v>
      </c>
      <c r="B6" s="7">
        <f>CORREL(Impact_Observations!$G$2:$G$91, Impact_Observations!$C$2:$C$91)</f>
        <v>0.3222231074</v>
      </c>
      <c r="C6" s="7">
        <f>CORREL(Impact_Observations!$G$2:$G$91, Impact_Observations!$D$2:$D$91)</f>
        <v>0.4947209849</v>
      </c>
      <c r="D6" s="7">
        <f>CORREL(Impact_Observations!$G$2:$G$91, Impact_Observations!$E$2:$E$91)</f>
        <v>0.2270356401</v>
      </c>
      <c r="E6" s="7">
        <f>CORREL(Impact_Observations!$G$2:$G$91, Impact_Observations!$F$2:$F$91)</f>
        <v>0.7383186597</v>
      </c>
      <c r="F6" s="7">
        <f>CORREL(Impact_Observations!$G$2:$G$91, Impact_Observations!$G$2:$G$91)</f>
        <v>1</v>
      </c>
      <c r="G6" s="7">
        <f>CORREL(Impact_Observations!$G$2:$G$91, Impact_Observations!$H$2:$H$91)</f>
        <v>0.6799803918</v>
      </c>
      <c r="H6" s="7">
        <f>CORREL(Impact_Observations!$G$2:$G$91, Impact_Observations!$I$2:$I$91)</f>
        <v>0.5638679184</v>
      </c>
      <c r="I6" s="7">
        <f>CORREL(Impact_Observations!$G$2:$G$91, Impact_Observations!$J$2:$J$91)</f>
        <v>0.05817715092</v>
      </c>
    </row>
    <row r="7">
      <c r="A7" s="8" t="s">
        <v>48</v>
      </c>
      <c r="B7" s="7">
        <f>CORREL(Impact_Observations!$H$2:$H$91, Impact_Observations!$C$2:$C$91)</f>
        <v>0.300270018</v>
      </c>
      <c r="C7" s="7">
        <f>CORREL(Impact_Observations!$H$2:$H$91, Impact_Observations!$D$2:$D$91)</f>
        <v>0.7681521075</v>
      </c>
      <c r="D7" s="7">
        <f>CORREL(Impact_Observations!$H$2:$H$91, Impact_Observations!$E$2:$E$91)</f>
        <v>0.7237113525</v>
      </c>
      <c r="E7" s="7">
        <f>CORREL(Impact_Observations!$H$2:$H$91, Impact_Observations!$F$2:$F$91)</f>
        <v>0.6830674534</v>
      </c>
      <c r="F7" s="7">
        <f>CORREL(Impact_Observations!$H$2:$H$91, Impact_Observations!$G$2:$G$91)</f>
        <v>0.6799803918</v>
      </c>
      <c r="G7" s="7">
        <f>CORREL(Impact_Observations!$H$2:$H$91, Impact_Observations!$H$2:$H$91)</f>
        <v>1</v>
      </c>
      <c r="H7" s="7">
        <f>CORREL(Impact_Observations!$H$2:$H$91, Impact_Observations!$I$2:$I$91)</f>
        <v>0.7812025722</v>
      </c>
      <c r="I7" s="7">
        <f>CORREL(Impact_Observations!$H$2:$H$91, Impact_Observations!$J$2:$J$91)</f>
        <v>0.1230377899</v>
      </c>
    </row>
    <row r="8">
      <c r="A8" s="8" t="s">
        <v>49</v>
      </c>
      <c r="B8" s="7">
        <f>CORREL(Impact_Observations!$I$2:$I$91, Impact_Observations!$C$2:$C$91)</f>
        <v>0.3119354269</v>
      </c>
      <c r="C8" s="7">
        <f>CORREL(Impact_Observations!$I$2:$I$91, Impact_Observations!$D$2:$D$91)</f>
        <v>0.7584850893</v>
      </c>
      <c r="D8" s="7">
        <f>CORREL(Impact_Observations!$I$2:$I$91, Impact_Observations!$E$2:$E$91)</f>
        <v>0.5870230244</v>
      </c>
      <c r="E8" s="7">
        <f>CORREL(Impact_Observations!$I$2:$I$91, Impact_Observations!$F$2:$F$91)</f>
        <v>0.66578266</v>
      </c>
      <c r="F8" s="7">
        <f>CORREL(Impact_Observations!$I$2:$I$91, Impact_Observations!$G$2:$G$91)</f>
        <v>0.5638679184</v>
      </c>
      <c r="G8" s="7">
        <f>CORREL(Impact_Observations!$I$2:$I$91, Impact_Observations!$H$2:$H$91)</f>
        <v>0.7812025722</v>
      </c>
      <c r="H8" s="7">
        <f>CORREL(Impact_Observations!$I$2:$I$91, Impact_Observations!$I$2:$I$91)</f>
        <v>1</v>
      </c>
      <c r="I8" s="7">
        <f>CORREL(Impact_Observations!$I$2:$I$91, Impact_Observations!$J$2:$J$91)</f>
        <v>-0.05603000169</v>
      </c>
    </row>
    <row r="9">
      <c r="A9" s="8" t="s">
        <v>50</v>
      </c>
      <c r="B9" s="7">
        <f>CORREL(Impact_Observations!$J$2:$J$91, Impact_Observations!$C$2:$C$91)</f>
        <v>-0.07275517326</v>
      </c>
      <c r="C9" s="7">
        <f>CORREL(Impact_Observations!$J$2:$J$91, Impact_Observations!$D$2:$D$91)</f>
        <v>-0.01478820153</v>
      </c>
      <c r="D9" s="7">
        <f>CORREL(Impact_Observations!$J$2:$J$91, Impact_Observations!$E$2:$E$91)</f>
        <v>0.3421971383</v>
      </c>
      <c r="E9" s="7">
        <f>CORREL(Impact_Observations!$J$2:$J$91, Impact_Observations!$F$2:$F$91)</f>
        <v>-0.06754942507</v>
      </c>
      <c r="F9" s="7">
        <f>CORREL(Impact_Observations!$J$2:$J$91, Impact_Observations!$G$2:$G$91)</f>
        <v>0.05817715092</v>
      </c>
      <c r="G9" s="7">
        <f>CORREL(Impact_Observations!$J$2:$J$91, Impact_Observations!$H$2:$H$91)</f>
        <v>0.1230377899</v>
      </c>
      <c r="H9" s="7">
        <f>CORREL(Impact_Observations!$J$2:$J$91, Impact_Observations!$I$2:$I$91)</f>
        <v>-0.05603000169</v>
      </c>
      <c r="I9" s="7">
        <f>CORREL(Impact_Observations!$J$2:$J$91, Impact_Observations!$J$2:$J$91)</f>
        <v>1</v>
      </c>
    </row>
    <row r="15">
      <c r="A15" s="8" t="s">
        <v>51</v>
      </c>
    </row>
    <row r="16">
      <c r="A16" s="9"/>
    </row>
    <row r="17">
      <c r="A17" s="8" t="s">
        <v>52</v>
      </c>
    </row>
    <row r="18">
      <c r="A18" s="9"/>
    </row>
    <row r="19">
      <c r="A19" s="8" t="s">
        <v>53</v>
      </c>
    </row>
    <row r="20">
      <c r="A20" s="9"/>
    </row>
    <row r="21">
      <c r="A21" s="8" t="s">
        <v>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>
        <v>2025.0</v>
      </c>
      <c r="C1" s="4">
        <v>2024.0</v>
      </c>
      <c r="D1" s="10">
        <v>2023.0</v>
      </c>
      <c r="E1" s="10">
        <v>2022.0</v>
      </c>
      <c r="F1" s="10">
        <v>2021.0</v>
      </c>
      <c r="G1" s="10">
        <v>2020.0</v>
      </c>
      <c r="H1" s="10">
        <v>2019.0</v>
      </c>
      <c r="I1" s="10">
        <v>2018.0</v>
      </c>
      <c r="J1" s="10">
        <v>2017.0</v>
      </c>
      <c r="K1" s="10">
        <v>2016.0</v>
      </c>
      <c r="L1" s="10">
        <v>2015.0</v>
      </c>
      <c r="M1" s="10">
        <v>2014.0</v>
      </c>
    </row>
    <row r="2">
      <c r="A2" s="3" t="s">
        <v>1</v>
      </c>
      <c r="B2" s="4">
        <v>51.35</v>
      </c>
      <c r="C2" s="4">
        <v>37.55</v>
      </c>
      <c r="D2" s="11">
        <v>24.58</v>
      </c>
      <c r="E2" s="11">
        <v>22.39</v>
      </c>
      <c r="F2" s="11">
        <v>24.58</v>
      </c>
      <c r="G2" s="11">
        <v>18.35</v>
      </c>
      <c r="H2" s="11">
        <v>19.27</v>
      </c>
      <c r="I2" s="11">
        <v>17.74</v>
      </c>
      <c r="J2" s="11">
        <v>18.89</v>
      </c>
      <c r="K2" s="11">
        <v>13.99</v>
      </c>
      <c r="L2" s="11">
        <v>11.18</v>
      </c>
      <c r="M2" s="11">
        <v>8.45</v>
      </c>
    </row>
    <row r="3">
      <c r="A3" s="3" t="s">
        <v>2</v>
      </c>
      <c r="B3" s="4">
        <v>38.25</v>
      </c>
      <c r="C3" s="4">
        <v>56.94</v>
      </c>
      <c r="D3" s="11">
        <v>42.82</v>
      </c>
      <c r="E3" s="11">
        <v>31.59</v>
      </c>
      <c r="F3" s="11">
        <v>32.73</v>
      </c>
      <c r="G3" s="11">
        <v>28.2</v>
      </c>
      <c r="H3" s="11">
        <v>22.48</v>
      </c>
      <c r="I3" s="11">
        <v>21.26</v>
      </c>
      <c r="J3" s="11">
        <v>20.22</v>
      </c>
      <c r="K3" s="11">
        <v>18.19</v>
      </c>
      <c r="L3" s="11">
        <v>14.54</v>
      </c>
      <c r="M3" s="11">
        <v>12.71</v>
      </c>
    </row>
    <row r="4">
      <c r="A4" s="3" t="s">
        <v>3</v>
      </c>
      <c r="B4" s="4">
        <v>90.18</v>
      </c>
      <c r="C4" s="4">
        <v>85.01</v>
      </c>
      <c r="D4" s="11">
        <v>35.04</v>
      </c>
      <c r="E4" s="11">
        <v>45.91</v>
      </c>
      <c r="F4" s="11">
        <v>24.19</v>
      </c>
      <c r="G4" s="11">
        <v>6.8</v>
      </c>
      <c r="H4" s="11">
        <v>19.49</v>
      </c>
      <c r="I4" s="11">
        <v>1.86</v>
      </c>
      <c r="J4" s="11">
        <v>16.48</v>
      </c>
      <c r="K4" s="11">
        <v>34.93</v>
      </c>
      <c r="L4" s="11">
        <v>31.23</v>
      </c>
      <c r="M4" s="11">
        <v>134.2</v>
      </c>
    </row>
    <row r="5">
      <c r="A5" s="3" t="s">
        <v>4</v>
      </c>
      <c r="B5" s="4">
        <v>9.7</v>
      </c>
      <c r="C5" s="4">
        <v>7.3</v>
      </c>
      <c r="D5" s="11">
        <v>4.6</v>
      </c>
      <c r="E5" s="11">
        <v>26.6</v>
      </c>
      <c r="F5" s="11">
        <v>11.2</v>
      </c>
      <c r="G5" s="11">
        <v>41.9</v>
      </c>
      <c r="H5" s="11">
        <v>19.3</v>
      </c>
      <c r="I5" s="11">
        <v>8.9</v>
      </c>
      <c r="J5" s="11">
        <v>4.4</v>
      </c>
      <c r="K5" s="11">
        <v>10.3</v>
      </c>
      <c r="L5" s="11">
        <v>7.9</v>
      </c>
      <c r="M5" s="11">
        <v>5.2</v>
      </c>
    </row>
    <row r="6">
      <c r="A6" s="3" t="s">
        <v>5</v>
      </c>
      <c r="B6" s="4">
        <v>268.94</v>
      </c>
      <c r="C6" s="4">
        <v>235.98</v>
      </c>
      <c r="D6" s="11">
        <v>189.57</v>
      </c>
      <c r="E6" s="11">
        <v>115.79</v>
      </c>
      <c r="F6" s="11">
        <v>73.0</v>
      </c>
      <c r="G6" s="11">
        <v>89.07</v>
      </c>
      <c r="H6" s="11">
        <v>68.75</v>
      </c>
      <c r="I6" s="11">
        <v>47.05</v>
      </c>
      <c r="J6" s="11">
        <v>33.67</v>
      </c>
      <c r="K6" s="11">
        <v>238.85</v>
      </c>
      <c r="L6" s="11">
        <v>177.7</v>
      </c>
      <c r="M6" s="11">
        <v>143.65</v>
      </c>
    </row>
    <row r="7">
      <c r="A7" s="3" t="s">
        <v>6</v>
      </c>
      <c r="B7" s="4">
        <v>7.28</v>
      </c>
      <c r="C7" s="4">
        <v>5.45</v>
      </c>
      <c r="D7" s="11">
        <v>4.09</v>
      </c>
      <c r="E7" s="11">
        <v>9.85</v>
      </c>
      <c r="F7" s="11">
        <v>8.62</v>
      </c>
      <c r="G7" s="11">
        <v>7.49</v>
      </c>
      <c r="H7" s="11">
        <v>7.74</v>
      </c>
      <c r="I7" s="11">
        <v>5.83</v>
      </c>
      <c r="J7" s="11">
        <v>5.94</v>
      </c>
      <c r="K7" s="11">
        <v>5.57</v>
      </c>
      <c r="L7" s="11">
        <v>149.65</v>
      </c>
      <c r="M7" s="11">
        <v>118.91</v>
      </c>
    </row>
    <row r="8">
      <c r="A8" s="3" t="s">
        <v>7</v>
      </c>
      <c r="B8" s="4">
        <v>56.04</v>
      </c>
      <c r="C8" s="4">
        <v>12.8</v>
      </c>
      <c r="D8" s="11">
        <v>14.57</v>
      </c>
      <c r="E8" s="11">
        <v>7.63</v>
      </c>
      <c r="F8" s="11">
        <v>-27.65</v>
      </c>
      <c r="G8" s="11">
        <v>-63.41</v>
      </c>
      <c r="H8" s="11">
        <v>0.96</v>
      </c>
      <c r="I8" s="11">
        <v>2.75</v>
      </c>
      <c r="J8" s="11">
        <v>9.51</v>
      </c>
      <c r="K8" s="11">
        <v>15.2</v>
      </c>
      <c r="L8" s="11">
        <v>11.56</v>
      </c>
      <c r="M8" s="11">
        <v>7.01</v>
      </c>
    </row>
    <row r="9">
      <c r="A9" s="3" t="s">
        <v>8</v>
      </c>
      <c r="B9" s="4">
        <v>64.09</v>
      </c>
      <c r="C9" s="4">
        <v>57.86</v>
      </c>
      <c r="D9" s="11">
        <v>54.79</v>
      </c>
      <c r="E9" s="11">
        <v>49.77</v>
      </c>
      <c r="F9" s="11">
        <v>41.07</v>
      </c>
      <c r="G9" s="11">
        <v>40.75</v>
      </c>
      <c r="H9" s="11">
        <v>73.55</v>
      </c>
      <c r="I9" s="11">
        <v>62.19</v>
      </c>
      <c r="J9" s="11">
        <v>60.27</v>
      </c>
      <c r="K9" s="11">
        <v>39.69</v>
      </c>
      <c r="L9" s="11">
        <v>51.79</v>
      </c>
      <c r="M9" s="11">
        <v>91.93</v>
      </c>
    </row>
    <row r="10">
      <c r="A10" s="3" t="s">
        <v>9</v>
      </c>
      <c r="B10" s="4">
        <v>92.39</v>
      </c>
      <c r="C10" s="4">
        <v>90.01</v>
      </c>
      <c r="D10" s="11">
        <v>82.27</v>
      </c>
      <c r="E10" s="11">
        <v>68.31</v>
      </c>
      <c r="F10" s="11">
        <v>57.61</v>
      </c>
      <c r="G10" s="11">
        <v>49.46</v>
      </c>
      <c r="H10" s="11">
        <v>82.51</v>
      </c>
      <c r="I10" s="11">
        <v>70.76</v>
      </c>
      <c r="J10" s="11">
        <v>59.16</v>
      </c>
      <c r="K10" s="11">
        <v>50.24</v>
      </c>
      <c r="L10" s="11">
        <v>43.6</v>
      </c>
      <c r="M10" s="11">
        <v>36.31</v>
      </c>
    </row>
    <row r="11">
      <c r="A11" s="3" t="s">
        <v>10</v>
      </c>
      <c r="B11" s="4">
        <v>45.32</v>
      </c>
      <c r="C11" s="4">
        <v>43.74</v>
      </c>
      <c r="D11" s="11">
        <v>43.07</v>
      </c>
      <c r="E11" s="11">
        <v>37.79</v>
      </c>
      <c r="F11" s="11">
        <v>34.03</v>
      </c>
      <c r="G11" s="11">
        <v>31.17</v>
      </c>
      <c r="H11" s="11">
        <v>27.96</v>
      </c>
      <c r="I11" s="11">
        <v>24.08</v>
      </c>
      <c r="J11" s="11">
        <v>20.67</v>
      </c>
      <c r="K11" s="11">
        <v>19.09</v>
      </c>
      <c r="L11" s="11">
        <v>20.16</v>
      </c>
      <c r="M11" s="11">
        <v>18.23</v>
      </c>
    </row>
    <row r="12">
      <c r="A12" s="3" t="s">
        <v>11</v>
      </c>
      <c r="B12" s="4">
        <v>71.14</v>
      </c>
      <c r="C12" s="4">
        <v>61.96</v>
      </c>
      <c r="D12" s="11">
        <v>47.84</v>
      </c>
      <c r="E12" s="11">
        <v>35.44</v>
      </c>
      <c r="F12" s="11">
        <v>26.83</v>
      </c>
      <c r="G12" s="11">
        <v>14.55</v>
      </c>
      <c r="H12" s="11">
        <v>6.53</v>
      </c>
      <c r="I12" s="11">
        <v>11.89</v>
      </c>
      <c r="J12" s="11">
        <v>15.84</v>
      </c>
      <c r="K12" s="11">
        <v>17.41</v>
      </c>
      <c r="L12" s="11">
        <v>21.17</v>
      </c>
      <c r="M12" s="11">
        <v>95.65</v>
      </c>
    </row>
    <row r="13">
      <c r="A13" s="3" t="s">
        <v>12</v>
      </c>
      <c r="B13" s="4">
        <v>64.34</v>
      </c>
      <c r="C13" s="4">
        <v>63.39</v>
      </c>
      <c r="D13" s="11">
        <v>57.54</v>
      </c>
      <c r="E13" s="11">
        <v>52.41</v>
      </c>
      <c r="F13" s="11">
        <v>45.52</v>
      </c>
      <c r="G13" s="11">
        <v>38.91</v>
      </c>
      <c r="H13" s="11">
        <v>35.38</v>
      </c>
      <c r="I13" s="11">
        <v>71.0</v>
      </c>
      <c r="J13" s="11">
        <v>62.77</v>
      </c>
      <c r="K13" s="11">
        <v>59.02</v>
      </c>
      <c r="L13" s="11">
        <v>108.26</v>
      </c>
      <c r="M13" s="11">
        <v>186.49</v>
      </c>
    </row>
    <row r="14">
      <c r="A14" s="3" t="s">
        <v>13</v>
      </c>
      <c r="B14" s="4">
        <v>27.75</v>
      </c>
      <c r="C14" s="4">
        <v>16.38</v>
      </c>
      <c r="D14" s="11">
        <v>15.46</v>
      </c>
      <c r="E14" s="11">
        <v>12.37</v>
      </c>
      <c r="F14" s="11">
        <v>10.7</v>
      </c>
      <c r="G14" s="11">
        <v>12.45</v>
      </c>
      <c r="H14" s="11">
        <v>10.24</v>
      </c>
      <c r="I14" s="11">
        <v>9.2</v>
      </c>
      <c r="J14" s="11">
        <v>8.45</v>
      </c>
      <c r="K14" s="11">
        <v>7.71</v>
      </c>
      <c r="L14" s="11">
        <v>12.0</v>
      </c>
      <c r="M14" s="11">
        <v>11.09</v>
      </c>
    </row>
    <row r="15">
      <c r="A15" s="3" t="s">
        <v>14</v>
      </c>
      <c r="B15" s="4">
        <v>111.29</v>
      </c>
      <c r="C15" s="4">
        <v>91.45</v>
      </c>
      <c r="D15" s="11">
        <v>74.94</v>
      </c>
      <c r="E15" s="11">
        <v>60.73</v>
      </c>
      <c r="F15" s="11">
        <v>50.49</v>
      </c>
      <c r="G15" s="11">
        <v>44.68</v>
      </c>
      <c r="H15" s="11">
        <v>37.74</v>
      </c>
      <c r="I15" s="11">
        <v>32.66</v>
      </c>
      <c r="J15" s="11">
        <v>26.86</v>
      </c>
      <c r="K15" s="11">
        <v>18.87</v>
      </c>
      <c r="L15" s="11">
        <v>39.4</v>
      </c>
      <c r="M15" s="11">
        <v>32.14</v>
      </c>
    </row>
    <row r="16">
      <c r="A16" s="3" t="s">
        <v>15</v>
      </c>
      <c r="B16" s="4">
        <v>109.28</v>
      </c>
      <c r="C16" s="4">
        <v>93.88</v>
      </c>
      <c r="D16" s="11">
        <v>74.45</v>
      </c>
      <c r="E16" s="11">
        <v>61.65</v>
      </c>
      <c r="F16" s="11">
        <v>82.41</v>
      </c>
      <c r="G16" s="11">
        <v>67.95</v>
      </c>
      <c r="H16" s="11">
        <v>63.4</v>
      </c>
      <c r="I16" s="11">
        <v>52.49</v>
      </c>
      <c r="J16" s="11">
        <v>43.05</v>
      </c>
      <c r="K16" s="11">
        <v>45.27</v>
      </c>
      <c r="L16" s="11">
        <v>50.98</v>
      </c>
      <c r="M16" s="11">
        <v>52.65</v>
      </c>
    </row>
    <row r="17">
      <c r="A17" s="3" t="s">
        <v>16</v>
      </c>
      <c r="B17" s="4">
        <v>115.06</v>
      </c>
      <c r="C17" s="4">
        <v>100.7</v>
      </c>
      <c r="D17" s="11">
        <v>91.96</v>
      </c>
      <c r="E17" s="11">
        <v>58.83</v>
      </c>
      <c r="F17" s="11">
        <v>16.15</v>
      </c>
      <c r="G17" s="11">
        <v>-1.04</v>
      </c>
      <c r="H17" s="11">
        <v>48.7</v>
      </c>
      <c r="I17" s="11">
        <v>68.86</v>
      </c>
      <c r="J17" s="11">
        <v>33.98</v>
      </c>
      <c r="K17" s="11">
        <v>56.49</v>
      </c>
      <c r="L17" s="11">
        <v>50.69</v>
      </c>
      <c r="M17" s="11">
        <v>75.83</v>
      </c>
    </row>
    <row r="18">
      <c r="A18" s="3" t="s">
        <v>17</v>
      </c>
      <c r="B18" s="4">
        <v>461.2</v>
      </c>
      <c r="C18" s="4">
        <v>429.01</v>
      </c>
      <c r="D18" s="11">
        <v>271.82</v>
      </c>
      <c r="E18" s="11">
        <v>128.43</v>
      </c>
      <c r="F18" s="11">
        <v>145.3</v>
      </c>
      <c r="G18" s="11">
        <v>187.95</v>
      </c>
      <c r="H18" s="11">
        <v>253.26</v>
      </c>
      <c r="I18" s="11">
        <v>260.88</v>
      </c>
      <c r="J18" s="11">
        <v>248.64</v>
      </c>
      <c r="K18" s="11">
        <v>181.98</v>
      </c>
      <c r="L18" s="11">
        <v>126.04</v>
      </c>
      <c r="M18" s="11">
        <v>94.44</v>
      </c>
    </row>
    <row r="19">
      <c r="A19" s="3" t="s">
        <v>18</v>
      </c>
      <c r="B19" s="4">
        <v>20.34</v>
      </c>
      <c r="C19" s="4">
        <v>21.46</v>
      </c>
      <c r="D19" s="11">
        <v>17.87</v>
      </c>
      <c r="E19" s="11">
        <v>15.66</v>
      </c>
      <c r="F19" s="11">
        <v>14.87</v>
      </c>
      <c r="G19" s="11">
        <v>11.72</v>
      </c>
      <c r="H19" s="11">
        <v>13.88</v>
      </c>
      <c r="I19" s="11">
        <v>10.66</v>
      </c>
      <c r="J19" s="11">
        <v>13.0</v>
      </c>
      <c r="K19" s="11">
        <v>13.1</v>
      </c>
      <c r="L19" s="11">
        <v>12.11</v>
      </c>
      <c r="M19" s="11">
        <v>13.83</v>
      </c>
    </row>
    <row r="20">
      <c r="A20" s="3" t="s">
        <v>19</v>
      </c>
      <c r="B20" s="4">
        <v>16.69</v>
      </c>
      <c r="C20" s="4">
        <v>17.36</v>
      </c>
      <c r="D20" s="11">
        <v>22.1</v>
      </c>
      <c r="E20" s="11">
        <v>24.12</v>
      </c>
      <c r="F20" s="11">
        <v>23.01</v>
      </c>
      <c r="G20" s="11">
        <v>21.14</v>
      </c>
      <c r="H20" s="11">
        <v>19.18</v>
      </c>
      <c r="I20" s="11">
        <v>15.68</v>
      </c>
      <c r="J20" s="11">
        <v>14.24</v>
      </c>
      <c r="K20" s="11">
        <v>11.39</v>
      </c>
      <c r="L20" s="11">
        <v>9.65</v>
      </c>
      <c r="M20" s="11">
        <v>9.47</v>
      </c>
    </row>
    <row r="21">
      <c r="A21" s="3" t="s">
        <v>20</v>
      </c>
      <c r="B21" s="4">
        <v>51.47</v>
      </c>
      <c r="C21" s="4">
        <v>102.9</v>
      </c>
      <c r="D21" s="11">
        <v>98.59</v>
      </c>
      <c r="E21" s="11">
        <v>90.85</v>
      </c>
      <c r="F21" s="11">
        <v>75.21</v>
      </c>
      <c r="G21" s="11">
        <v>63.06</v>
      </c>
      <c r="H21" s="11">
        <v>66.8</v>
      </c>
      <c r="I21" s="11">
        <v>60.89</v>
      </c>
      <c r="J21" s="11">
        <v>101.14</v>
      </c>
      <c r="K21" s="11">
        <v>100.75</v>
      </c>
      <c r="L21" s="11">
        <v>80.11</v>
      </c>
      <c r="M21" s="11">
        <v>76.55</v>
      </c>
    </row>
    <row r="22">
      <c r="A22" s="3" t="s">
        <v>21</v>
      </c>
      <c r="B22" s="4">
        <v>86.91</v>
      </c>
      <c r="C22" s="4">
        <v>75.17</v>
      </c>
      <c r="D22" s="11">
        <v>62.35</v>
      </c>
      <c r="E22" s="11">
        <v>39.64</v>
      </c>
      <c r="F22" s="11">
        <v>25.11</v>
      </c>
      <c r="G22" s="11">
        <v>22.15</v>
      </c>
      <c r="H22" s="11">
        <v>2.58</v>
      </c>
      <c r="I22" s="11">
        <v>-5.34</v>
      </c>
      <c r="J22" s="11">
        <v>0.31</v>
      </c>
      <c r="K22" s="11">
        <v>15.95</v>
      </c>
      <c r="L22" s="11">
        <v>22.76</v>
      </c>
      <c r="M22" s="11">
        <v>189.85</v>
      </c>
    </row>
    <row r="23">
      <c r="A23" s="3" t="s">
        <v>22</v>
      </c>
      <c r="B23" s="4">
        <v>45.6</v>
      </c>
      <c r="C23" s="4">
        <v>39.9</v>
      </c>
      <c r="D23" s="11">
        <v>35.3</v>
      </c>
      <c r="E23" s="11">
        <v>13.6</v>
      </c>
      <c r="F23" s="11">
        <v>12.1</v>
      </c>
      <c r="G23" s="11">
        <v>15.7</v>
      </c>
      <c r="H23" s="11">
        <v>11.1</v>
      </c>
      <c r="I23" s="11">
        <v>9.0</v>
      </c>
      <c r="J23" s="11">
        <v>29.0</v>
      </c>
      <c r="K23" s="11">
        <v>18.9</v>
      </c>
      <c r="L23" s="11">
        <v>18.9</v>
      </c>
      <c r="M23" s="11">
        <v>15.2</v>
      </c>
    </row>
    <row r="24">
      <c r="A24" s="3" t="s">
        <v>23</v>
      </c>
      <c r="B24" s="4">
        <v>78.75</v>
      </c>
      <c r="C24" s="4">
        <v>81.88</v>
      </c>
      <c r="D24" s="11">
        <v>6.29</v>
      </c>
      <c r="E24" s="11">
        <v>-29.88</v>
      </c>
      <c r="F24" s="11">
        <v>-36.99</v>
      </c>
      <c r="G24" s="11">
        <v>-34.88</v>
      </c>
      <c r="H24" s="11">
        <v>-84.89</v>
      </c>
      <c r="I24" s="11">
        <v>26.45</v>
      </c>
      <c r="J24" s="11">
        <v>21.93</v>
      </c>
      <c r="K24" s="11">
        <v>34.24</v>
      </c>
      <c r="L24" s="11">
        <v>43.43</v>
      </c>
      <c r="M24" s="11">
        <v>43.5</v>
      </c>
    </row>
    <row r="25">
      <c r="A25" s="3" t="s">
        <v>24</v>
      </c>
      <c r="B25" s="4">
        <v>2.74</v>
      </c>
      <c r="C25" s="4">
        <v>-3.62</v>
      </c>
      <c r="D25" s="11">
        <v>7.17</v>
      </c>
      <c r="E25" s="11">
        <v>332.09</v>
      </c>
      <c r="F25" s="11">
        <v>63.78</v>
      </c>
      <c r="G25" s="11">
        <v>11.86</v>
      </c>
      <c r="H25" s="11">
        <v>87.74</v>
      </c>
      <c r="I25" s="11">
        <v>128.1</v>
      </c>
      <c r="J25" s="11">
        <v>-42.89</v>
      </c>
      <c r="K25" s="11">
        <v>-6.92</v>
      </c>
      <c r="L25" s="11">
        <v>-42.24</v>
      </c>
      <c r="M25" s="11">
        <v>35.19</v>
      </c>
    </row>
    <row r="26">
      <c r="A26" s="3" t="s">
        <v>25</v>
      </c>
      <c r="B26" s="4">
        <v>134.19</v>
      </c>
      <c r="C26" s="4">
        <v>125.88</v>
      </c>
      <c r="D26" s="11">
        <v>115.19</v>
      </c>
      <c r="E26" s="11">
        <v>103.62</v>
      </c>
      <c r="F26" s="11">
        <v>86.71</v>
      </c>
      <c r="G26" s="11">
        <v>86.19</v>
      </c>
      <c r="H26" s="11">
        <v>83.05</v>
      </c>
      <c r="I26" s="11">
        <v>134.19</v>
      </c>
      <c r="J26" s="11">
        <v>133.41</v>
      </c>
      <c r="K26" s="11">
        <v>123.18</v>
      </c>
      <c r="L26" s="11">
        <v>101.35</v>
      </c>
      <c r="M26" s="11">
        <v>97.67</v>
      </c>
    </row>
    <row r="27">
      <c r="A27" s="3" t="s">
        <v>26</v>
      </c>
      <c r="B27" s="4">
        <v>47.91</v>
      </c>
      <c r="C27" s="4">
        <v>26.58</v>
      </c>
      <c r="D27" s="11">
        <v>54.76</v>
      </c>
      <c r="E27" s="11">
        <v>62.81</v>
      </c>
      <c r="F27" s="11">
        <v>50.19</v>
      </c>
      <c r="G27" s="11">
        <v>45.85</v>
      </c>
      <c r="H27" s="11">
        <v>47.72</v>
      </c>
      <c r="I27" s="11">
        <v>42.66</v>
      </c>
      <c r="J27" s="11">
        <v>31.64</v>
      </c>
      <c r="K27" s="11">
        <v>33.71</v>
      </c>
      <c r="L27" s="11">
        <v>26.74</v>
      </c>
      <c r="M27" s="11">
        <v>126.78</v>
      </c>
    </row>
    <row r="28">
      <c r="A28" s="3" t="s">
        <v>27</v>
      </c>
      <c r="B28" s="4">
        <v>37.61</v>
      </c>
      <c r="C28" s="4">
        <v>39.38</v>
      </c>
      <c r="D28" s="11">
        <v>36.61</v>
      </c>
      <c r="E28" s="11">
        <v>24.49</v>
      </c>
      <c r="F28" s="11">
        <v>10.96</v>
      </c>
      <c r="G28" s="11">
        <v>16.91</v>
      </c>
      <c r="H28" s="11">
        <v>15.82</v>
      </c>
      <c r="I28" s="11">
        <v>12.75</v>
      </c>
      <c r="J28" s="11">
        <v>8.17</v>
      </c>
      <c r="K28" s="11">
        <v>7.6</v>
      </c>
      <c r="L28" s="11">
        <v>9.19</v>
      </c>
      <c r="M28" s="11">
        <v>8.28</v>
      </c>
    </row>
    <row r="29">
      <c r="A29" s="3" t="s">
        <v>28</v>
      </c>
      <c r="B29" s="4">
        <v>43.51</v>
      </c>
      <c r="C29" s="4">
        <v>41.82</v>
      </c>
      <c r="D29" s="11">
        <v>12.51</v>
      </c>
      <c r="E29" s="11">
        <v>2.98</v>
      </c>
      <c r="F29" s="11">
        <v>-4.11</v>
      </c>
      <c r="G29" s="11">
        <v>3.53</v>
      </c>
      <c r="H29" s="11">
        <v>2.92</v>
      </c>
      <c r="I29" s="11">
        <v>2.62</v>
      </c>
      <c r="J29" s="11">
        <v>2.55</v>
      </c>
      <c r="K29" s="11">
        <v>1.65</v>
      </c>
      <c r="L29" s="11">
        <v>38.92</v>
      </c>
      <c r="M29" s="11">
        <v>-5.58</v>
      </c>
    </row>
    <row r="30">
      <c r="A30" s="3" t="s">
        <v>29</v>
      </c>
      <c r="B30" s="4">
        <v>205.13</v>
      </c>
      <c r="C30" s="4">
        <v>242.87</v>
      </c>
      <c r="D30" s="11">
        <v>175.54</v>
      </c>
      <c r="E30" s="11">
        <v>254.53</v>
      </c>
      <c r="F30" s="11">
        <v>189.33</v>
      </c>
      <c r="G30" s="11">
        <v>199.49</v>
      </c>
      <c r="H30" s="11">
        <v>84.0</v>
      </c>
      <c r="I30" s="11">
        <v>80.92</v>
      </c>
      <c r="J30" s="11">
        <v>98.88</v>
      </c>
      <c r="K30" s="11">
        <v>90.25</v>
      </c>
      <c r="L30" s="11">
        <v>76.44</v>
      </c>
      <c r="M30" s="11">
        <v>80.42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3"/>
      <c r="B1" s="12">
        <v>2025.0</v>
      </c>
      <c r="C1" s="12">
        <v>2024.0</v>
      </c>
      <c r="D1" s="12">
        <v>2023.0</v>
      </c>
      <c r="E1" s="12">
        <v>2022.0</v>
      </c>
      <c r="F1" s="12">
        <v>2021.0</v>
      </c>
      <c r="G1" s="12">
        <v>2020.0</v>
      </c>
      <c r="H1" s="12">
        <v>2019.0</v>
      </c>
      <c r="I1" s="12">
        <v>2018.0</v>
      </c>
      <c r="J1" s="12">
        <v>2017.0</v>
      </c>
      <c r="K1" s="12">
        <v>2016.0</v>
      </c>
      <c r="L1" s="12">
        <v>2015.0</v>
      </c>
      <c r="M1" s="12">
        <v>2014.0</v>
      </c>
    </row>
    <row r="2">
      <c r="A2" s="3" t="s">
        <v>1</v>
      </c>
      <c r="B2" s="4">
        <v>11.68</v>
      </c>
      <c r="C2" s="4">
        <v>13.31</v>
      </c>
      <c r="D2" s="4">
        <v>19.88</v>
      </c>
      <c r="E2" s="4">
        <v>21.59</v>
      </c>
      <c r="F2" s="4">
        <v>0.0</v>
      </c>
      <c r="G2" s="4">
        <v>18.37</v>
      </c>
      <c r="H2" s="4">
        <v>10.38</v>
      </c>
      <c r="I2" s="4">
        <v>7.32</v>
      </c>
      <c r="J2" s="4">
        <v>0.0</v>
      </c>
      <c r="K2" s="4">
        <v>15.72</v>
      </c>
      <c r="L2" s="4">
        <v>9.83</v>
      </c>
      <c r="M2" s="4">
        <v>12.28</v>
      </c>
    </row>
    <row r="3">
      <c r="A3" s="3" t="s">
        <v>2</v>
      </c>
      <c r="B3" s="4">
        <v>84.74</v>
      </c>
      <c r="C3" s="4">
        <v>46.37</v>
      </c>
      <c r="D3" s="4">
        <v>46.48</v>
      </c>
      <c r="E3" s="4">
        <v>57.44</v>
      </c>
      <c r="F3" s="4">
        <v>10.23</v>
      </c>
      <c r="G3" s="4">
        <v>64.35</v>
      </c>
      <c r="H3" s="4">
        <v>39.59</v>
      </c>
      <c r="I3" s="4">
        <v>48.45</v>
      </c>
      <c r="J3" s="4">
        <v>39.31</v>
      </c>
      <c r="K3" s="4">
        <v>35.72</v>
      </c>
      <c r="L3" s="4">
        <v>41.93</v>
      </c>
      <c r="M3" s="4">
        <v>41.71</v>
      </c>
    </row>
    <row r="4">
      <c r="A4" s="3" t="s">
        <v>3</v>
      </c>
      <c r="B4" s="4">
        <v>1.19</v>
      </c>
      <c r="C4" s="4">
        <v>1.25</v>
      </c>
      <c r="D4" s="4">
        <v>3.25</v>
      </c>
      <c r="E4" s="4">
        <v>1.24</v>
      </c>
      <c r="F4" s="4">
        <v>1.52</v>
      </c>
      <c r="G4" s="4">
        <v>1.25</v>
      </c>
      <c r="H4" s="4">
        <v>2.33</v>
      </c>
      <c r="I4" s="4">
        <v>1.39</v>
      </c>
      <c r="J4" s="4">
        <v>1.53</v>
      </c>
      <c r="K4" s="4">
        <v>1.09</v>
      </c>
      <c r="L4" s="4">
        <v>1.005</v>
      </c>
      <c r="M4" s="4">
        <v>1.32</v>
      </c>
    </row>
    <row r="5">
      <c r="A5" s="3" t="s">
        <v>4</v>
      </c>
      <c r="B5" s="4">
        <v>1.79</v>
      </c>
      <c r="C5" s="4">
        <v>1.56</v>
      </c>
      <c r="D5" s="4">
        <v>0.99</v>
      </c>
      <c r="E5" s="4">
        <v>1.04</v>
      </c>
      <c r="F5" s="4">
        <v>0.0</v>
      </c>
      <c r="G5" s="4">
        <v>3.54</v>
      </c>
      <c r="H5" s="4">
        <v>0.86</v>
      </c>
      <c r="I5" s="4">
        <v>1.05</v>
      </c>
      <c r="J5" s="4">
        <v>0.0</v>
      </c>
      <c r="K5" s="4">
        <v>1.49</v>
      </c>
      <c r="L5" s="4">
        <v>1.64</v>
      </c>
      <c r="M5" s="4">
        <v>1.8</v>
      </c>
    </row>
    <row r="6">
      <c r="A6" s="3" t="s">
        <v>5</v>
      </c>
      <c r="B6" s="4">
        <v>13.38</v>
      </c>
      <c r="C6" s="4">
        <v>12.56</v>
      </c>
      <c r="D6" s="4">
        <v>10.49</v>
      </c>
      <c r="E6" s="4">
        <v>8.57</v>
      </c>
      <c r="F6" s="4">
        <v>0.0</v>
      </c>
      <c r="G6" s="4">
        <v>18.04</v>
      </c>
      <c r="H6" s="4">
        <v>5.78</v>
      </c>
      <c r="I6" s="4">
        <v>7.4</v>
      </c>
      <c r="J6" s="4">
        <v>0.0</v>
      </c>
      <c r="K6" s="4">
        <v>10.99</v>
      </c>
      <c r="L6" s="4">
        <v>10.05</v>
      </c>
      <c r="M6" s="4">
        <v>11.15</v>
      </c>
    </row>
    <row r="7">
      <c r="A7" s="3" t="s">
        <v>6</v>
      </c>
      <c r="B7" s="4">
        <v>31.59</v>
      </c>
      <c r="C7" s="4">
        <v>36.69</v>
      </c>
      <c r="D7" s="4">
        <v>41.63</v>
      </c>
      <c r="E7" s="4">
        <v>42.65</v>
      </c>
      <c r="F7" s="4">
        <v>48.75</v>
      </c>
      <c r="G7" s="4">
        <v>41.41</v>
      </c>
      <c r="H7" s="4">
        <v>27.12</v>
      </c>
      <c r="I7" s="4">
        <v>43.83</v>
      </c>
      <c r="J7" s="4">
        <v>40.43</v>
      </c>
      <c r="K7" s="4">
        <v>18.36</v>
      </c>
      <c r="L7" s="4">
        <v>19.51</v>
      </c>
      <c r="M7" s="4">
        <v>19.59</v>
      </c>
    </row>
    <row r="8">
      <c r="A8" s="3" t="s">
        <v>7</v>
      </c>
      <c r="B8" s="4">
        <v>13.79</v>
      </c>
      <c r="C8" s="4">
        <v>30.47</v>
      </c>
      <c r="D8" s="13">
        <v>20.34</v>
      </c>
      <c r="E8" s="4">
        <v>0.0</v>
      </c>
      <c r="F8" s="4">
        <v>-8.23</v>
      </c>
      <c r="G8" s="4">
        <v>0.0</v>
      </c>
      <c r="H8" s="4">
        <v>588.42</v>
      </c>
      <c r="I8" s="13">
        <v>168.1</v>
      </c>
      <c r="J8" s="4">
        <v>17.21</v>
      </c>
      <c r="K8" s="4">
        <v>17.57</v>
      </c>
      <c r="L8" s="4">
        <v>33.3</v>
      </c>
      <c r="M8" s="4">
        <v>0.0</v>
      </c>
    </row>
    <row r="9">
      <c r="A9" s="3" t="s">
        <v>8</v>
      </c>
      <c r="B9" s="4">
        <v>93.46</v>
      </c>
      <c r="C9" s="4">
        <v>89.67</v>
      </c>
      <c r="D9" s="4">
        <v>87.5</v>
      </c>
      <c r="E9" s="4">
        <v>84.38</v>
      </c>
      <c r="F9" s="4">
        <v>29.22</v>
      </c>
      <c r="G9" s="4">
        <v>12.27</v>
      </c>
      <c r="H9" s="4">
        <v>10.85</v>
      </c>
      <c r="I9" s="4">
        <v>19.4</v>
      </c>
      <c r="J9" s="4">
        <v>39.34</v>
      </c>
      <c r="K9" s="4">
        <v>48.15</v>
      </c>
      <c r="L9" s="4">
        <v>32.6</v>
      </c>
      <c r="M9" s="4">
        <v>10.75</v>
      </c>
    </row>
    <row r="10">
      <c r="A10" s="3" t="s">
        <v>9</v>
      </c>
      <c r="B10" s="4">
        <v>25.05</v>
      </c>
      <c r="C10" s="4">
        <v>24.38</v>
      </c>
      <c r="D10" s="4">
        <v>24.07</v>
      </c>
      <c r="E10" s="4">
        <v>23.28</v>
      </c>
      <c r="F10" s="4">
        <v>11.54</v>
      </c>
      <c r="G10" s="4">
        <v>0.0</v>
      </c>
      <c r="H10" s="4">
        <v>18.63</v>
      </c>
      <c r="I10" s="4">
        <v>19.32</v>
      </c>
      <c r="J10" s="4">
        <v>20.84</v>
      </c>
      <c r="K10" s="4">
        <v>20.67</v>
      </c>
      <c r="L10" s="4">
        <v>0.0</v>
      </c>
      <c r="M10" s="4">
        <v>0.0</v>
      </c>
    </row>
    <row r="11">
      <c r="A11" s="3" t="s">
        <v>10</v>
      </c>
      <c r="B11" s="4">
        <v>116.94</v>
      </c>
      <c r="C11" s="4">
        <v>91.44</v>
      </c>
      <c r="D11" s="4">
        <v>83.58</v>
      </c>
      <c r="E11" s="4">
        <v>84.68</v>
      </c>
      <c r="F11" s="4">
        <v>110.2</v>
      </c>
      <c r="G11" s="4">
        <v>77.0</v>
      </c>
      <c r="H11" s="4">
        <v>75.09</v>
      </c>
      <c r="I11" s="4">
        <v>74.72</v>
      </c>
      <c r="J11" s="4">
        <v>79.78</v>
      </c>
      <c r="K11" s="4">
        <v>81.03</v>
      </c>
      <c r="L11" s="4">
        <v>74.38</v>
      </c>
      <c r="M11" s="4">
        <v>71.25</v>
      </c>
    </row>
    <row r="12">
      <c r="A12" s="3" t="s">
        <v>11</v>
      </c>
      <c r="B12" s="4">
        <v>15.4</v>
      </c>
      <c r="C12" s="4">
        <v>15.9</v>
      </c>
      <c r="D12" s="4">
        <v>16.4</v>
      </c>
      <c r="E12" s="4">
        <v>13.8</v>
      </c>
      <c r="F12" s="4">
        <v>7.5</v>
      </c>
      <c r="G12" s="4">
        <v>0.0</v>
      </c>
      <c r="H12" s="4">
        <v>15.0</v>
      </c>
      <c r="I12" s="4">
        <v>12.0</v>
      </c>
      <c r="J12" s="4">
        <v>14.0</v>
      </c>
      <c r="K12" s="4">
        <v>29.0</v>
      </c>
      <c r="L12" s="4">
        <v>24.0</v>
      </c>
      <c r="M12" s="4">
        <v>24.0</v>
      </c>
    </row>
    <row r="13">
      <c r="A13" s="3" t="s">
        <v>12</v>
      </c>
      <c r="B13" s="4">
        <v>75.97</v>
      </c>
      <c r="C13" s="4">
        <v>56.0</v>
      </c>
      <c r="D13" s="4">
        <v>56.57</v>
      </c>
      <c r="E13" s="4">
        <v>57.23</v>
      </c>
      <c r="F13" s="4">
        <v>47.12</v>
      </c>
      <c r="G13" s="4">
        <v>57.35</v>
      </c>
      <c r="H13" s="4">
        <v>89.01</v>
      </c>
      <c r="I13" s="4">
        <v>46.59</v>
      </c>
      <c r="J13" s="4">
        <v>48.43</v>
      </c>
      <c r="K13" s="4">
        <v>50.51</v>
      </c>
      <c r="L13" s="4">
        <v>41.14</v>
      </c>
      <c r="M13" s="4">
        <v>33.83</v>
      </c>
    </row>
    <row r="14">
      <c r="A14" s="3" t="s">
        <v>13</v>
      </c>
      <c r="B14" s="4">
        <v>23.4</v>
      </c>
      <c r="C14" s="4">
        <v>41.0</v>
      </c>
      <c r="D14" s="4">
        <v>38.81</v>
      </c>
      <c r="E14" s="4">
        <v>42.44</v>
      </c>
      <c r="F14" s="4">
        <v>46.74</v>
      </c>
      <c r="G14" s="4">
        <v>46.05</v>
      </c>
      <c r="H14" s="4">
        <v>49.91</v>
      </c>
      <c r="I14" s="4">
        <v>51.19</v>
      </c>
      <c r="J14" s="4">
        <v>66.47</v>
      </c>
      <c r="K14" s="4">
        <v>53.61</v>
      </c>
      <c r="L14" s="4">
        <v>51.84</v>
      </c>
      <c r="M14" s="4">
        <v>53.66</v>
      </c>
    </row>
    <row r="15">
      <c r="A15" s="3" t="s">
        <v>14</v>
      </c>
      <c r="B15" s="4">
        <v>15.64</v>
      </c>
      <c r="C15" s="4">
        <v>16.87</v>
      </c>
      <c r="D15" s="4">
        <v>14.32</v>
      </c>
      <c r="E15" s="4">
        <v>15.68</v>
      </c>
      <c r="F15" s="4">
        <v>15.32</v>
      </c>
      <c r="G15" s="4">
        <v>14.22</v>
      </c>
      <c r="H15" s="4">
        <v>16.84</v>
      </c>
      <c r="I15" s="4">
        <v>14.21</v>
      </c>
      <c r="J15" s="4">
        <v>14.7</v>
      </c>
      <c r="K15" s="4">
        <v>14.56</v>
      </c>
      <c r="L15" s="4">
        <v>15.35</v>
      </c>
      <c r="M15" s="4">
        <v>14.98</v>
      </c>
    </row>
    <row r="16">
      <c r="A16" s="3" t="s">
        <v>15</v>
      </c>
      <c r="B16" s="4">
        <v>25.6</v>
      </c>
      <c r="C16" s="4">
        <v>32.29</v>
      </c>
      <c r="D16" s="4">
        <v>29.52</v>
      </c>
      <c r="E16" s="4">
        <v>29.16</v>
      </c>
      <c r="F16" s="4">
        <v>31.51</v>
      </c>
      <c r="G16" s="4">
        <v>41.15</v>
      </c>
      <c r="H16" s="4">
        <v>0.0</v>
      </c>
      <c r="I16" s="4">
        <v>0.0</v>
      </c>
      <c r="J16" s="4">
        <v>0.0</v>
      </c>
      <c r="K16" s="4">
        <v>0.0</v>
      </c>
      <c r="L16" s="4">
        <v>31.7</v>
      </c>
      <c r="M16" s="4">
        <v>26.94</v>
      </c>
    </row>
    <row r="17">
      <c r="A17" s="3" t="s">
        <v>16</v>
      </c>
      <c r="B17" s="4">
        <v>18.19</v>
      </c>
      <c r="C17" s="4">
        <v>16.06</v>
      </c>
      <c r="D17" s="4">
        <v>12.49</v>
      </c>
      <c r="E17" s="4">
        <v>14.88</v>
      </c>
      <c r="F17" s="4">
        <v>14.46</v>
      </c>
      <c r="G17" s="4">
        <v>893.49</v>
      </c>
      <c r="H17" s="4">
        <v>17.63</v>
      </c>
      <c r="I17" s="4">
        <v>11.29</v>
      </c>
      <c r="J17" s="4">
        <v>20.92</v>
      </c>
      <c r="K17" s="4">
        <v>24.6</v>
      </c>
      <c r="L17" s="4">
        <v>23.75</v>
      </c>
      <c r="M17" s="4">
        <v>18.47</v>
      </c>
    </row>
    <row r="18">
      <c r="A18" s="3" t="s">
        <v>17</v>
      </c>
      <c r="B18" s="4">
        <v>27.1</v>
      </c>
      <c r="C18" s="4">
        <v>20.15</v>
      </c>
      <c r="D18" s="4">
        <v>22.07</v>
      </c>
      <c r="E18" s="4">
        <v>35.04</v>
      </c>
      <c r="F18" s="4">
        <v>41.29</v>
      </c>
      <c r="G18" s="4">
        <v>42.57</v>
      </c>
      <c r="H18" s="4">
        <v>31.59</v>
      </c>
      <c r="I18" s="4">
        <v>28.75</v>
      </c>
      <c r="J18" s="4">
        <v>14.07</v>
      </c>
      <c r="K18" s="4">
        <v>13.74</v>
      </c>
      <c r="L18" s="4">
        <v>19.83</v>
      </c>
      <c r="M18" s="4">
        <v>12.7</v>
      </c>
    </row>
    <row r="19">
      <c r="A19" s="3" t="s">
        <v>18</v>
      </c>
      <c r="B19" s="4">
        <v>34.15</v>
      </c>
      <c r="C19" s="4">
        <v>34.94</v>
      </c>
      <c r="D19" s="4">
        <v>24.36</v>
      </c>
      <c r="E19" s="4">
        <v>23.25</v>
      </c>
      <c r="F19" s="4">
        <v>37.79</v>
      </c>
      <c r="G19" s="4">
        <v>4.26</v>
      </c>
      <c r="H19" s="4">
        <v>21.98</v>
      </c>
      <c r="I19" s="4">
        <v>38.31</v>
      </c>
      <c r="J19" s="4">
        <v>33.53</v>
      </c>
      <c r="K19" s="4">
        <v>25.57</v>
      </c>
      <c r="L19" s="4">
        <v>20.64</v>
      </c>
      <c r="M19" s="4">
        <v>42.01</v>
      </c>
    </row>
    <row r="20">
      <c r="A20" s="3" t="s">
        <v>19</v>
      </c>
      <c r="B20" s="4">
        <v>46.43</v>
      </c>
      <c r="C20" s="4">
        <v>50.76</v>
      </c>
      <c r="D20" s="4">
        <v>45.24</v>
      </c>
      <c r="E20" s="4">
        <v>51.82</v>
      </c>
      <c r="F20" s="4">
        <v>56.67</v>
      </c>
      <c r="G20" s="4">
        <v>28.19</v>
      </c>
      <c r="H20" s="4">
        <v>44.99</v>
      </c>
      <c r="I20" s="4">
        <v>36.98</v>
      </c>
      <c r="J20" s="4">
        <v>7.02</v>
      </c>
      <c r="K20" s="4">
        <v>18.52</v>
      </c>
      <c r="L20" s="4">
        <v>22.16</v>
      </c>
      <c r="M20" s="4">
        <v>30.9</v>
      </c>
    </row>
    <row r="21">
      <c r="A21" s="3" t="s">
        <v>20</v>
      </c>
      <c r="B21" s="4">
        <v>9.71</v>
      </c>
      <c r="C21" s="4">
        <v>8.74</v>
      </c>
      <c r="D21" s="4">
        <v>7.62</v>
      </c>
      <c r="E21" s="4">
        <v>7.07</v>
      </c>
      <c r="F21" s="4">
        <v>7.98</v>
      </c>
      <c r="G21" s="4">
        <v>9.78</v>
      </c>
      <c r="H21" s="4">
        <v>8.97</v>
      </c>
      <c r="I21" s="4">
        <v>9.02</v>
      </c>
      <c r="J21" s="4">
        <v>0.0</v>
      </c>
      <c r="K21" s="4">
        <v>20.3</v>
      </c>
      <c r="L21" s="4">
        <v>12.49</v>
      </c>
      <c r="M21" s="4">
        <v>12.41</v>
      </c>
    </row>
    <row r="22">
      <c r="A22" s="3" t="s">
        <v>21</v>
      </c>
      <c r="B22" s="4">
        <v>20.01</v>
      </c>
      <c r="C22" s="4">
        <v>20.02</v>
      </c>
      <c r="D22" s="4">
        <v>20.08</v>
      </c>
      <c r="E22" s="4">
        <v>20.0</v>
      </c>
      <c r="F22" s="4">
        <v>17.49</v>
      </c>
      <c r="G22" s="4">
        <v>0.0</v>
      </c>
      <c r="H22" s="4">
        <v>0.0</v>
      </c>
      <c r="I22" s="4">
        <v>0.0</v>
      </c>
      <c r="J22" s="4">
        <v>20.11</v>
      </c>
      <c r="K22" s="4">
        <v>20.28</v>
      </c>
      <c r="L22" s="4">
        <v>20.21</v>
      </c>
      <c r="M22" s="4">
        <v>20.56</v>
      </c>
    </row>
    <row r="23">
      <c r="A23" s="3" t="s">
        <v>22</v>
      </c>
      <c r="B23" s="4">
        <v>33.06</v>
      </c>
      <c r="C23" s="4">
        <v>30.26</v>
      </c>
      <c r="D23" s="4">
        <v>29.73</v>
      </c>
      <c r="E23" s="4">
        <v>65.96</v>
      </c>
      <c r="F23" s="4">
        <v>53.68</v>
      </c>
      <c r="G23" s="4">
        <v>36.62</v>
      </c>
      <c r="H23" s="4">
        <v>17.97</v>
      </c>
      <c r="I23" s="4">
        <v>36.9</v>
      </c>
      <c r="J23" s="4">
        <v>3.45</v>
      </c>
      <c r="K23" s="4">
        <v>15.88</v>
      </c>
      <c r="L23" s="4">
        <v>15.9</v>
      </c>
      <c r="M23" s="4">
        <v>9.88</v>
      </c>
    </row>
    <row r="24">
      <c r="A24" s="3" t="s">
        <v>23</v>
      </c>
      <c r="B24" s="4">
        <v>8.3</v>
      </c>
      <c r="C24" s="4">
        <v>2.45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4.63</v>
      </c>
    </row>
    <row r="25">
      <c r="A25" s="3" t="s">
        <v>24</v>
      </c>
      <c r="B25" s="4">
        <v>131.26</v>
      </c>
      <c r="C25" s="4">
        <v>-99.37</v>
      </c>
      <c r="D25" s="4">
        <v>71.08</v>
      </c>
      <c r="E25" s="4">
        <v>7.48</v>
      </c>
      <c r="F25" s="4">
        <v>15.28</v>
      </c>
      <c r="G25" s="4">
        <v>95.6</v>
      </c>
      <c r="H25" s="4">
        <v>11.2</v>
      </c>
      <c r="I25" s="4">
        <v>9.2</v>
      </c>
      <c r="J25" s="4">
        <v>-24.59</v>
      </c>
      <c r="K25" s="4">
        <v>-202.98</v>
      </c>
      <c r="L25" s="4">
        <v>-19.79</v>
      </c>
      <c r="M25" s="4">
        <v>27.01</v>
      </c>
    </row>
    <row r="26">
      <c r="A26" s="3" t="s">
        <v>25</v>
      </c>
      <c r="B26" s="4">
        <v>92.4</v>
      </c>
      <c r="C26" s="4">
        <v>54.75</v>
      </c>
      <c r="D26" s="4">
        <v>98.1</v>
      </c>
      <c r="E26" s="4">
        <v>34.74</v>
      </c>
      <c r="F26" s="4">
        <v>33.45</v>
      </c>
      <c r="G26" s="4">
        <v>116.36</v>
      </c>
      <c r="H26" s="4">
        <v>32.03</v>
      </c>
      <c r="I26" s="4">
        <v>35.94</v>
      </c>
      <c r="J26" s="4">
        <v>34.85</v>
      </c>
      <c r="K26" s="4">
        <v>32.93</v>
      </c>
      <c r="L26" s="4">
        <v>77.94</v>
      </c>
      <c r="M26" s="4">
        <v>32.7</v>
      </c>
    </row>
    <row r="27">
      <c r="A27" s="3" t="s">
        <v>26</v>
      </c>
      <c r="B27" s="4">
        <v>90.36</v>
      </c>
      <c r="C27" s="4">
        <v>166.12</v>
      </c>
      <c r="D27" s="4">
        <v>88.24</v>
      </c>
      <c r="E27" s="4">
        <v>71.52</v>
      </c>
      <c r="F27" s="4">
        <v>39.72</v>
      </c>
      <c r="G27" s="4">
        <v>61.78</v>
      </c>
      <c r="H27" s="4">
        <v>34.68</v>
      </c>
      <c r="I27" s="4">
        <v>24.83</v>
      </c>
      <c r="J27" s="4">
        <v>44.05</v>
      </c>
      <c r="K27" s="4">
        <v>18.53</v>
      </c>
      <c r="L27" s="4">
        <v>22.04</v>
      </c>
      <c r="M27" s="4">
        <v>15.41</v>
      </c>
    </row>
    <row r="28">
      <c r="A28" s="3" t="s">
        <v>27</v>
      </c>
      <c r="B28" s="4">
        <v>29.24</v>
      </c>
      <c r="C28" s="4">
        <v>25.4</v>
      </c>
      <c r="D28" s="4">
        <v>20.49</v>
      </c>
      <c r="E28" s="4">
        <v>16.33</v>
      </c>
      <c r="F28" s="4">
        <v>36.48</v>
      </c>
      <c r="G28" s="4">
        <v>29.56</v>
      </c>
      <c r="H28" s="4">
        <v>23.7</v>
      </c>
      <c r="I28" s="4">
        <v>20.42</v>
      </c>
      <c r="J28" s="4">
        <v>0.0</v>
      </c>
      <c r="K28" s="4">
        <v>59.22</v>
      </c>
      <c r="L28" s="4">
        <v>25.01</v>
      </c>
      <c r="M28" s="4">
        <v>25.36</v>
      </c>
    </row>
    <row r="29">
      <c r="A29" s="3" t="s">
        <v>28</v>
      </c>
      <c r="B29" s="4">
        <v>7.35</v>
      </c>
      <c r="C29" s="4">
        <v>5.26</v>
      </c>
      <c r="D29" s="4">
        <v>8.79</v>
      </c>
      <c r="E29" s="4">
        <v>40.3</v>
      </c>
      <c r="F29" s="4">
        <v>-24.32</v>
      </c>
      <c r="G29" s="4">
        <v>42.41</v>
      </c>
      <c r="H29" s="4">
        <v>47.51</v>
      </c>
      <c r="I29" s="4">
        <v>45.99</v>
      </c>
      <c r="J29" s="4">
        <v>0.0</v>
      </c>
      <c r="K29" s="4">
        <v>138.28</v>
      </c>
      <c r="L29" s="4">
        <v>25.69</v>
      </c>
      <c r="M29" s="4">
        <v>-125.39</v>
      </c>
    </row>
    <row r="30">
      <c r="A30" s="3" t="s">
        <v>29</v>
      </c>
      <c r="B30" s="4">
        <v>33.4</v>
      </c>
      <c r="C30" s="4">
        <v>15.63</v>
      </c>
      <c r="D30" s="4">
        <v>21.57</v>
      </c>
      <c r="E30" s="4">
        <v>14.52</v>
      </c>
      <c r="F30" s="4">
        <v>6.86</v>
      </c>
      <c r="G30" s="4">
        <v>6.61</v>
      </c>
      <c r="H30" s="4">
        <v>14.46</v>
      </c>
      <c r="I30" s="4">
        <v>14.86</v>
      </c>
      <c r="J30" s="4">
        <v>9.6</v>
      </c>
      <c r="K30" s="4">
        <v>11.83</v>
      </c>
      <c r="L30" s="4">
        <v>11.77</v>
      </c>
      <c r="M30" s="4">
        <v>11.18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12">
        <v>2025.0</v>
      </c>
      <c r="C1" s="12">
        <v>2024.0</v>
      </c>
      <c r="D1" s="12">
        <v>2023.0</v>
      </c>
      <c r="E1" s="12">
        <v>2022.0</v>
      </c>
      <c r="F1" s="12">
        <v>2021.0</v>
      </c>
      <c r="G1" s="12">
        <v>2020.0</v>
      </c>
      <c r="H1" s="12">
        <v>2019.0</v>
      </c>
      <c r="I1" s="12">
        <v>2018.0</v>
      </c>
      <c r="J1" s="12">
        <v>2017.0</v>
      </c>
      <c r="K1" s="12">
        <v>2016.0</v>
      </c>
      <c r="L1" s="12">
        <v>2015.0</v>
      </c>
      <c r="M1" s="12">
        <v>2014.0</v>
      </c>
      <c r="N1" s="14"/>
    </row>
    <row r="2">
      <c r="A2" s="3" t="s">
        <v>1</v>
      </c>
      <c r="B2" s="4">
        <v>35.13</v>
      </c>
      <c r="C2" s="4">
        <v>30.94</v>
      </c>
      <c r="D2" s="4">
        <v>25.63</v>
      </c>
      <c r="E2" s="4">
        <v>28.88</v>
      </c>
      <c r="F2" s="4">
        <v>40.34</v>
      </c>
      <c r="G2" s="4">
        <v>31.91</v>
      </c>
      <c r="H2" s="4">
        <v>37.02</v>
      </c>
      <c r="I2" s="4">
        <v>32.58</v>
      </c>
      <c r="J2" s="4">
        <v>46.12</v>
      </c>
      <c r="K2" s="4">
        <v>39.9</v>
      </c>
      <c r="L2" s="4">
        <v>37.78</v>
      </c>
      <c r="M2" s="4">
        <v>36.09</v>
      </c>
      <c r="N2" s="4"/>
    </row>
    <row r="3">
      <c r="A3" s="3" t="s">
        <v>2</v>
      </c>
      <c r="B3" s="4">
        <v>10.52</v>
      </c>
      <c r="C3" s="4">
        <v>15.28</v>
      </c>
      <c r="D3" s="4">
        <v>11.89</v>
      </c>
      <c r="E3" s="4">
        <v>10.49</v>
      </c>
      <c r="F3" s="4">
        <v>14.63</v>
      </c>
      <c r="G3" s="4">
        <v>13.47</v>
      </c>
      <c r="H3" s="4">
        <v>11.26</v>
      </c>
      <c r="I3" s="4">
        <v>12.19</v>
      </c>
      <c r="J3" s="4">
        <v>13.05</v>
      </c>
      <c r="K3" s="4">
        <v>12.39</v>
      </c>
      <c r="L3" s="4">
        <v>10.06</v>
      </c>
      <c r="M3" s="4">
        <v>9.93</v>
      </c>
      <c r="N3" s="4"/>
    </row>
    <row r="4">
      <c r="A4" s="3" t="s">
        <v>3</v>
      </c>
      <c r="B4" s="4">
        <v>22.07</v>
      </c>
      <c r="C4" s="4">
        <v>23.43</v>
      </c>
      <c r="D4" s="4">
        <v>12.41</v>
      </c>
      <c r="E4" s="4">
        <v>20.57</v>
      </c>
      <c r="F4" s="4">
        <v>11.2</v>
      </c>
      <c r="G4" s="4">
        <v>2.94</v>
      </c>
      <c r="H4" s="4">
        <v>9.0</v>
      </c>
      <c r="I4" s="4">
        <v>0.99</v>
      </c>
      <c r="J4" s="4">
        <v>8.78</v>
      </c>
      <c r="K4" s="4">
        <v>20.18</v>
      </c>
      <c r="L4" s="4">
        <v>20.84</v>
      </c>
      <c r="M4" s="4">
        <v>20.52</v>
      </c>
      <c r="N4" s="4"/>
    </row>
    <row r="5">
      <c r="A5" s="3" t="s">
        <v>4</v>
      </c>
      <c r="B5" s="4">
        <v>13.1</v>
      </c>
      <c r="C5" s="4">
        <v>14.12</v>
      </c>
      <c r="D5" s="4">
        <v>14.87</v>
      </c>
      <c r="E5" s="4">
        <v>12.15</v>
      </c>
      <c r="F5" s="4">
        <v>12.15</v>
      </c>
      <c r="G5" s="4">
        <v>11.02</v>
      </c>
      <c r="H5" s="4">
        <v>12.61</v>
      </c>
      <c r="I5" s="4">
        <v>12.7</v>
      </c>
      <c r="J5" s="4">
        <v>14.07</v>
      </c>
      <c r="K5" s="4">
        <v>29.37</v>
      </c>
      <c r="L5" s="4">
        <v>31.75</v>
      </c>
      <c r="M5" s="4">
        <v>36.38</v>
      </c>
      <c r="N5" s="4"/>
    </row>
    <row r="6">
      <c r="A6" s="3" t="s">
        <v>5</v>
      </c>
      <c r="B6" s="4">
        <v>24.05</v>
      </c>
      <c r="C6" s="4">
        <v>26.27</v>
      </c>
      <c r="D6" s="4">
        <v>27.79</v>
      </c>
      <c r="E6" s="4">
        <v>22.21</v>
      </c>
      <c r="F6" s="4">
        <v>16.57</v>
      </c>
      <c r="G6" s="4">
        <v>19.95</v>
      </c>
      <c r="H6" s="4">
        <v>21.6</v>
      </c>
      <c r="I6" s="4">
        <v>19.89</v>
      </c>
      <c r="J6" s="4">
        <v>18.42</v>
      </c>
      <c r="K6" s="4">
        <v>17.5</v>
      </c>
      <c r="L6" s="4">
        <v>16.68</v>
      </c>
      <c r="M6" s="4">
        <v>17.65</v>
      </c>
      <c r="N6" s="4"/>
    </row>
    <row r="7">
      <c r="A7" s="3" t="s">
        <v>6</v>
      </c>
      <c r="B7" s="4">
        <v>22.24</v>
      </c>
      <c r="C7" s="4">
        <v>19.45</v>
      </c>
      <c r="D7" s="4">
        <v>16.57</v>
      </c>
      <c r="E7" s="4">
        <v>15.32</v>
      </c>
      <c r="F7" s="4">
        <v>14.66</v>
      </c>
      <c r="G7" s="4">
        <v>13.82</v>
      </c>
      <c r="H7" s="4">
        <v>15.19</v>
      </c>
      <c r="I7" s="4">
        <v>13.53</v>
      </c>
      <c r="J7" s="4">
        <v>17.27</v>
      </c>
      <c r="K7" s="4">
        <v>17.72</v>
      </c>
      <c r="L7" s="4">
        <v>16.87</v>
      </c>
      <c r="M7" s="4">
        <v>14.6</v>
      </c>
      <c r="N7" s="4"/>
    </row>
    <row r="8">
      <c r="A8" s="3" t="s">
        <v>7</v>
      </c>
      <c r="B8" s="4">
        <v>19.52</v>
      </c>
      <c r="C8" s="4">
        <v>3.89</v>
      </c>
      <c r="D8" s="4">
        <v>8.29</v>
      </c>
      <c r="E8" s="4">
        <v>5.04</v>
      </c>
      <c r="F8" s="4">
        <v>-12.19</v>
      </c>
      <c r="G8" s="4">
        <v>-35.77</v>
      </c>
      <c r="H8" s="4">
        <v>1.64</v>
      </c>
      <c r="I8" s="4">
        <v>1.33</v>
      </c>
      <c r="J8" s="4">
        <v>3.34</v>
      </c>
      <c r="K8" s="4">
        <v>6.03</v>
      </c>
      <c r="L8" s="4">
        <v>5.25</v>
      </c>
      <c r="M8" s="4">
        <v>3.51</v>
      </c>
      <c r="N8" s="4"/>
    </row>
    <row r="9">
      <c r="A9" s="3" t="s">
        <v>8</v>
      </c>
      <c r="B9" s="4">
        <v>14.86</v>
      </c>
      <c r="C9" s="4">
        <v>14.29</v>
      </c>
      <c r="D9" s="4">
        <v>14.63</v>
      </c>
      <c r="E9" s="4">
        <v>15.78</v>
      </c>
      <c r="F9" s="4">
        <v>14.81</v>
      </c>
      <c r="G9" s="4">
        <v>15.64</v>
      </c>
      <c r="H9" s="4">
        <v>16.74</v>
      </c>
      <c r="I9" s="4">
        <v>17.22</v>
      </c>
      <c r="J9" s="4">
        <v>18.08</v>
      </c>
      <c r="K9" s="4">
        <v>17.97</v>
      </c>
      <c r="L9" s="4">
        <v>19.89</v>
      </c>
      <c r="M9" s="4">
        <v>20.24</v>
      </c>
      <c r="N9" s="4"/>
    </row>
    <row r="10">
      <c r="A10" s="3" t="s">
        <v>9</v>
      </c>
      <c r="B10" s="4">
        <v>22.41</v>
      </c>
      <c r="C10" s="4">
        <v>23.53</v>
      </c>
      <c r="D10" s="4">
        <v>27.29</v>
      </c>
      <c r="E10" s="4">
        <v>28.93</v>
      </c>
      <c r="F10" s="4">
        <v>25.74</v>
      </c>
      <c r="G10" s="4">
        <v>22.86</v>
      </c>
      <c r="H10" s="4">
        <v>21.29</v>
      </c>
      <c r="I10" s="4">
        <v>21.79</v>
      </c>
      <c r="J10" s="4">
        <v>20.99</v>
      </c>
      <c r="K10" s="4">
        <v>20.41</v>
      </c>
      <c r="L10" s="4">
        <v>21.07</v>
      </c>
      <c r="M10" s="4">
        <v>20.61</v>
      </c>
      <c r="N10" s="4"/>
    </row>
    <row r="11">
      <c r="A11" s="3" t="s">
        <v>10</v>
      </c>
      <c r="B11" s="4">
        <v>16.91</v>
      </c>
      <c r="C11" s="4">
        <v>16.61</v>
      </c>
      <c r="D11" s="4">
        <v>16.74</v>
      </c>
      <c r="E11" s="4">
        <v>16.95</v>
      </c>
      <c r="F11" s="4">
        <v>17.0</v>
      </c>
      <c r="G11" s="4">
        <v>16.98</v>
      </c>
      <c r="H11" s="4">
        <v>15.41</v>
      </c>
      <c r="I11" s="4">
        <v>14.7</v>
      </c>
      <c r="J11" s="4">
        <v>13.53</v>
      </c>
      <c r="K11" s="4">
        <v>12.92</v>
      </c>
      <c r="L11" s="4">
        <v>13.68</v>
      </c>
      <c r="M11" s="4">
        <v>13.53</v>
      </c>
      <c r="N11" s="4"/>
    </row>
    <row r="12">
      <c r="A12" s="3" t="s">
        <v>11</v>
      </c>
      <c r="B12" s="4">
        <v>29.2</v>
      </c>
      <c r="C12" s="4">
        <v>28.21</v>
      </c>
      <c r="D12" s="4">
        <v>28.46</v>
      </c>
      <c r="E12" s="4">
        <v>27.02</v>
      </c>
      <c r="F12" s="4">
        <v>22.67</v>
      </c>
      <c r="G12" s="4">
        <v>13.23</v>
      </c>
      <c r="H12" s="4">
        <v>7.9</v>
      </c>
      <c r="I12" s="4">
        <v>14.63</v>
      </c>
      <c r="J12" s="4">
        <v>18.6</v>
      </c>
      <c r="K12" s="4">
        <v>18.42</v>
      </c>
      <c r="L12" s="4">
        <v>23.54</v>
      </c>
      <c r="M12" s="4">
        <v>23.6</v>
      </c>
      <c r="N12" s="4"/>
    </row>
    <row r="13">
      <c r="A13" s="3" t="s">
        <v>12</v>
      </c>
      <c r="B13" s="4">
        <v>16.41</v>
      </c>
      <c r="C13" s="4">
        <v>17.08</v>
      </c>
      <c r="D13" s="4">
        <v>16.42</v>
      </c>
      <c r="E13" s="4">
        <v>18.2</v>
      </c>
      <c r="F13" s="4">
        <v>19.33</v>
      </c>
      <c r="G13" s="4">
        <v>18.32</v>
      </c>
      <c r="H13" s="4">
        <v>18.63</v>
      </c>
      <c r="I13" s="4">
        <v>22.82</v>
      </c>
      <c r="J13" s="4">
        <v>21.0</v>
      </c>
      <c r="K13" s="4">
        <v>21.6</v>
      </c>
      <c r="L13" s="4">
        <v>23.2</v>
      </c>
      <c r="M13" s="4">
        <v>21.25</v>
      </c>
      <c r="N13" s="4"/>
    </row>
    <row r="14">
      <c r="A14" s="3" t="s">
        <v>13</v>
      </c>
      <c r="B14" s="4">
        <v>46.38</v>
      </c>
      <c r="C14" s="4">
        <v>29.23</v>
      </c>
      <c r="D14" s="4">
        <v>27.38</v>
      </c>
      <c r="E14" s="4">
        <v>25.52</v>
      </c>
      <c r="F14" s="4">
        <v>27.17</v>
      </c>
      <c r="G14" s="4">
        <v>31.54</v>
      </c>
      <c r="H14" s="4">
        <v>26.52</v>
      </c>
      <c r="I14" s="4">
        <v>26.43</v>
      </c>
      <c r="J14" s="4">
        <v>24.47</v>
      </c>
      <c r="K14" s="4">
        <v>24.22</v>
      </c>
      <c r="L14" s="4">
        <v>25.14</v>
      </c>
      <c r="M14" s="4">
        <v>25.45</v>
      </c>
      <c r="N14" s="4"/>
    </row>
    <row r="15">
      <c r="A15" s="3" t="s">
        <v>14</v>
      </c>
      <c r="B15" s="4">
        <v>33.41</v>
      </c>
      <c r="C15" s="4">
        <v>31.96</v>
      </c>
      <c r="D15" s="4">
        <v>35.06</v>
      </c>
      <c r="E15" s="4">
        <v>35.36</v>
      </c>
      <c r="F15" s="4">
        <v>30.17</v>
      </c>
      <c r="G15" s="4">
        <v>25.71</v>
      </c>
      <c r="H15" s="4">
        <v>23.78</v>
      </c>
      <c r="I15" s="4">
        <v>24.46</v>
      </c>
      <c r="J15" s="4">
        <v>22.17</v>
      </c>
      <c r="K15" s="4">
        <v>16.81</v>
      </c>
      <c r="L15" s="4">
        <v>23.01</v>
      </c>
      <c r="M15" s="4">
        <v>20.95</v>
      </c>
      <c r="N15" s="4"/>
    </row>
    <row r="16">
      <c r="A16" s="3" t="s">
        <v>15</v>
      </c>
      <c r="B16" s="4">
        <v>6.91</v>
      </c>
      <c r="C16" s="4">
        <v>7.04</v>
      </c>
      <c r="D16" s="4">
        <v>6.88</v>
      </c>
      <c r="E16" s="4">
        <v>6.57</v>
      </c>
      <c r="F16" s="4">
        <v>9.49</v>
      </c>
      <c r="G16" s="4">
        <v>7.44</v>
      </c>
      <c r="H16" s="4">
        <v>7.57</v>
      </c>
      <c r="I16" s="4">
        <v>7.05</v>
      </c>
      <c r="J16" s="4">
        <v>6.29</v>
      </c>
      <c r="K16" s="4">
        <v>5.47</v>
      </c>
      <c r="L16" s="4">
        <v>5.36</v>
      </c>
      <c r="M16" s="4">
        <v>5.7</v>
      </c>
      <c r="N16" s="4"/>
    </row>
    <row r="17">
      <c r="A17" s="3" t="s">
        <v>16</v>
      </c>
      <c r="B17" s="4">
        <v>7.89</v>
      </c>
      <c r="C17" s="4">
        <v>8.06</v>
      </c>
      <c r="D17" s="4">
        <v>8.13</v>
      </c>
      <c r="E17" s="4">
        <v>5.98</v>
      </c>
      <c r="F17" s="4">
        <v>0.31</v>
      </c>
      <c r="G17" s="4">
        <v>-1.78</v>
      </c>
      <c r="H17" s="4">
        <v>4.44</v>
      </c>
      <c r="I17" s="4">
        <v>7.43</v>
      </c>
      <c r="J17" s="4">
        <v>3.76</v>
      </c>
      <c r="K17" s="4">
        <v>3.57</v>
      </c>
      <c r="L17" s="4">
        <v>3.6</v>
      </c>
      <c r="M17" s="4">
        <v>5.84</v>
      </c>
      <c r="N17" s="4"/>
    </row>
    <row r="18">
      <c r="A18" s="3" t="s">
        <v>17</v>
      </c>
      <c r="B18" s="4">
        <v>9.32</v>
      </c>
      <c r="C18" s="4">
        <v>9.32</v>
      </c>
      <c r="D18" s="4">
        <v>6.83</v>
      </c>
      <c r="E18" s="4">
        <v>4.2</v>
      </c>
      <c r="F18" s="4">
        <v>5.99</v>
      </c>
      <c r="G18" s="4">
        <v>7.34</v>
      </c>
      <c r="H18" s="4">
        <v>8.7</v>
      </c>
      <c r="I18" s="4">
        <v>9.66</v>
      </c>
      <c r="J18" s="4">
        <v>10.77</v>
      </c>
      <c r="K18" s="4">
        <v>9.33</v>
      </c>
      <c r="L18" s="4">
        <v>7.46</v>
      </c>
      <c r="M18" s="4">
        <v>6.37</v>
      </c>
      <c r="N18" s="4"/>
    </row>
    <row r="19">
      <c r="A19" s="3" t="s">
        <v>18</v>
      </c>
      <c r="B19" s="4">
        <v>11.55</v>
      </c>
      <c r="C19" s="4">
        <v>11.03</v>
      </c>
      <c r="D19" s="4">
        <v>9.27</v>
      </c>
      <c r="E19" s="4">
        <v>12.01</v>
      </c>
      <c r="F19" s="4">
        <v>12.8</v>
      </c>
      <c r="G19" s="4">
        <v>10.5</v>
      </c>
      <c r="H19" s="4">
        <v>13.32</v>
      </c>
      <c r="I19" s="4">
        <v>11.41</v>
      </c>
      <c r="J19" s="4">
        <v>12.29</v>
      </c>
      <c r="K19" s="4">
        <v>14.49</v>
      </c>
      <c r="L19" s="4">
        <v>12.39</v>
      </c>
      <c r="M19" s="4">
        <v>14.44</v>
      </c>
      <c r="N19" s="4"/>
    </row>
    <row r="20">
      <c r="A20" s="3" t="s">
        <v>19</v>
      </c>
      <c r="B20" s="4">
        <v>34.13</v>
      </c>
      <c r="C20" s="4">
        <v>34.01</v>
      </c>
      <c r="D20" s="4">
        <v>34.0</v>
      </c>
      <c r="E20" s="4">
        <v>40.23</v>
      </c>
      <c r="F20" s="4">
        <v>29.82</v>
      </c>
      <c r="G20" s="4">
        <v>28.89</v>
      </c>
      <c r="H20" s="4">
        <v>28.25</v>
      </c>
      <c r="I20" s="4">
        <v>26.89</v>
      </c>
      <c r="J20" s="4">
        <v>28.44</v>
      </c>
      <c r="K20" s="4">
        <v>28.29</v>
      </c>
      <c r="L20" s="4">
        <v>28.57</v>
      </c>
      <c r="M20" s="4">
        <v>29.01</v>
      </c>
      <c r="N20" s="4"/>
    </row>
    <row r="21">
      <c r="A21" s="3" t="s">
        <v>20</v>
      </c>
      <c r="B21" s="4">
        <v>8.37</v>
      </c>
      <c r="C21" s="4">
        <v>8.72</v>
      </c>
      <c r="D21" s="4">
        <v>8.43</v>
      </c>
      <c r="E21" s="4">
        <v>9.65</v>
      </c>
      <c r="F21" s="4">
        <v>11.39</v>
      </c>
      <c r="G21" s="4">
        <v>6.65</v>
      </c>
      <c r="H21" s="4">
        <v>6.98</v>
      </c>
      <c r="I21" s="4">
        <v>9.19</v>
      </c>
      <c r="J21" s="4">
        <v>9.8</v>
      </c>
      <c r="K21" s="4">
        <v>10.81</v>
      </c>
      <c r="L21" s="4">
        <v>6.29</v>
      </c>
      <c r="M21" s="4">
        <v>5.18</v>
      </c>
      <c r="N21" s="4"/>
    </row>
    <row r="22">
      <c r="A22" s="3" t="s">
        <v>21</v>
      </c>
      <c r="B22" s="4">
        <v>16.09</v>
      </c>
      <c r="C22" s="4">
        <v>15.51</v>
      </c>
      <c r="D22" s="4">
        <v>16.12</v>
      </c>
      <c r="E22" s="4">
        <v>12.53</v>
      </c>
      <c r="F22" s="4">
        <v>8.73</v>
      </c>
      <c r="G22" s="4">
        <v>6.73</v>
      </c>
      <c r="H22" s="4">
        <v>1.21</v>
      </c>
      <c r="I22" s="4">
        <v>-1.82</v>
      </c>
      <c r="J22" s="4">
        <v>-0.16</v>
      </c>
      <c r="K22" s="4">
        <v>5.77</v>
      </c>
      <c r="L22" s="4">
        <v>8.42</v>
      </c>
      <c r="M22" s="4">
        <v>7.66</v>
      </c>
      <c r="N22" s="4"/>
    </row>
    <row r="23">
      <c r="A23" s="3" t="s">
        <v>22</v>
      </c>
      <c r="B23" s="4">
        <v>20.88</v>
      </c>
      <c r="C23" s="4">
        <v>19.89</v>
      </c>
      <c r="D23" s="4">
        <v>19.5</v>
      </c>
      <c r="E23" s="4">
        <v>8.81</v>
      </c>
      <c r="F23" s="4">
        <v>6.82</v>
      </c>
      <c r="G23" s="4">
        <v>12.75</v>
      </c>
      <c r="H23" s="4">
        <v>11.04</v>
      </c>
      <c r="I23" s="4">
        <v>9.97</v>
      </c>
      <c r="J23" s="4">
        <v>25.02</v>
      </c>
      <c r="K23" s="4">
        <v>19.85</v>
      </c>
      <c r="L23" s="4">
        <v>20.0</v>
      </c>
      <c r="M23" s="4">
        <v>24.12</v>
      </c>
      <c r="N23" s="4"/>
    </row>
    <row r="24">
      <c r="A24" s="3" t="s">
        <v>23</v>
      </c>
      <c r="B24" s="4">
        <v>6.33</v>
      </c>
      <c r="C24" s="4">
        <v>7.1</v>
      </c>
      <c r="D24" s="4">
        <v>0.68</v>
      </c>
      <c r="E24" s="4">
        <v>-4.03</v>
      </c>
      <c r="F24" s="4">
        <v>-5.21</v>
      </c>
      <c r="G24" s="4">
        <v>-4.2</v>
      </c>
      <c r="H24" s="4">
        <v>-9.58</v>
      </c>
      <c r="I24" s="4">
        <v>2.31</v>
      </c>
      <c r="J24" s="4">
        <v>2.24</v>
      </c>
      <c r="K24" s="4">
        <v>4.06</v>
      </c>
      <c r="L24" s="4">
        <v>5.35</v>
      </c>
      <c r="M24" s="4">
        <v>6.05</v>
      </c>
      <c r="N24" s="4"/>
    </row>
    <row r="25">
      <c r="A25" s="3" t="s">
        <v>24</v>
      </c>
      <c r="B25" s="4">
        <v>1.36</v>
      </c>
      <c r="C25" s="4">
        <v>-2.11</v>
      </c>
      <c r="D25" s="4">
        <v>3.14</v>
      </c>
      <c r="E25" s="4">
        <v>16.84</v>
      </c>
      <c r="F25" s="4">
        <v>5.02</v>
      </c>
      <c r="G25" s="4">
        <v>0.66</v>
      </c>
      <c r="H25" s="4">
        <v>5.62</v>
      </c>
      <c r="I25" s="4">
        <v>13.3</v>
      </c>
      <c r="J25" s="4">
        <v>-3.71</v>
      </c>
      <c r="K25" s="4">
        <v>-0.36</v>
      </c>
      <c r="L25" s="4">
        <v>-2.83</v>
      </c>
      <c r="M25" s="4">
        <v>2.46</v>
      </c>
      <c r="N25" s="4"/>
    </row>
    <row r="26">
      <c r="A26" s="3" t="s">
        <v>25</v>
      </c>
      <c r="B26" s="4">
        <v>19.11</v>
      </c>
      <c r="C26" s="4">
        <v>19.13</v>
      </c>
      <c r="D26" s="4">
        <v>18.76</v>
      </c>
      <c r="E26" s="4">
        <v>20.05</v>
      </c>
      <c r="F26" s="4">
        <v>19.83</v>
      </c>
      <c r="G26" s="4">
        <v>20.67</v>
      </c>
      <c r="H26" s="4">
        <v>21.54</v>
      </c>
      <c r="I26" s="4">
        <v>21.02</v>
      </c>
      <c r="J26" s="4">
        <v>22.34</v>
      </c>
      <c r="K26" s="4">
        <v>22.4</v>
      </c>
      <c r="L26" s="4">
        <v>21.19</v>
      </c>
      <c r="M26" s="4">
        <v>23.63</v>
      </c>
      <c r="N26" s="4"/>
    </row>
    <row r="27">
      <c r="A27" s="3" t="s">
        <v>26</v>
      </c>
      <c r="B27" s="4">
        <v>8.01</v>
      </c>
      <c r="C27" s="4">
        <v>4.58</v>
      </c>
      <c r="D27" s="4">
        <v>9.16</v>
      </c>
      <c r="E27" s="4">
        <v>12.6</v>
      </c>
      <c r="F27" s="4">
        <v>11.49</v>
      </c>
      <c r="G27" s="4">
        <v>10.58</v>
      </c>
      <c r="H27" s="4">
        <v>12.53</v>
      </c>
      <c r="I27" s="4">
        <v>12.3</v>
      </c>
      <c r="J27" s="4">
        <v>9.79</v>
      </c>
      <c r="K27" s="4">
        <v>11.41</v>
      </c>
      <c r="L27" s="4">
        <v>11.75</v>
      </c>
      <c r="M27" s="4">
        <v>16.26</v>
      </c>
      <c r="N27" s="4"/>
    </row>
    <row r="28">
      <c r="A28" s="3" t="s">
        <v>27</v>
      </c>
      <c r="B28" s="4">
        <v>5.51</v>
      </c>
      <c r="C28" s="4">
        <v>6.84</v>
      </c>
      <c r="D28" s="4">
        <v>8.06</v>
      </c>
      <c r="E28" s="4">
        <v>7.63</v>
      </c>
      <c r="F28" s="4">
        <v>4.52</v>
      </c>
      <c r="G28" s="4">
        <v>7.1</v>
      </c>
      <c r="H28" s="4">
        <v>7.03</v>
      </c>
      <c r="I28" s="4">
        <v>6.85</v>
      </c>
      <c r="J28" s="4">
        <v>5.27</v>
      </c>
      <c r="K28" s="4">
        <v>5.99</v>
      </c>
      <c r="L28" s="4">
        <v>6.85</v>
      </c>
      <c r="M28" s="4">
        <v>6.72</v>
      </c>
      <c r="N28" s="4"/>
    </row>
    <row r="29">
      <c r="A29" s="3" t="s">
        <v>28</v>
      </c>
      <c r="B29" s="4">
        <v>8.45</v>
      </c>
      <c r="C29" s="4">
        <v>10.94</v>
      </c>
      <c r="D29" s="4">
        <v>3.76</v>
      </c>
      <c r="E29" s="4">
        <v>0.65</v>
      </c>
      <c r="F29" s="4">
        <v>-4.23</v>
      </c>
      <c r="G29" s="4">
        <v>3.91</v>
      </c>
      <c r="H29" s="4">
        <v>4.04</v>
      </c>
      <c r="I29" s="4">
        <v>5.08</v>
      </c>
      <c r="J29" s="4">
        <v>5.18</v>
      </c>
      <c r="K29" s="4">
        <v>2.95</v>
      </c>
      <c r="L29" s="4">
        <v>5.66</v>
      </c>
      <c r="M29" s="4">
        <v>-0.78</v>
      </c>
      <c r="N29" s="4"/>
    </row>
    <row r="30">
      <c r="A30" s="3" t="s">
        <v>29</v>
      </c>
      <c r="B30" s="4">
        <v>7.96</v>
      </c>
      <c r="C30" s="4">
        <v>9.84</v>
      </c>
      <c r="D30" s="4">
        <v>8.01</v>
      </c>
      <c r="E30" s="4">
        <v>13.94</v>
      </c>
      <c r="F30" s="4">
        <v>12.2</v>
      </c>
      <c r="G30" s="4">
        <v>13.55</v>
      </c>
      <c r="H30" s="4">
        <v>5.76</v>
      </c>
      <c r="I30" s="4">
        <v>7.18</v>
      </c>
      <c r="J30" s="4">
        <v>10.69</v>
      </c>
      <c r="K30" s="4">
        <v>9.85</v>
      </c>
      <c r="L30" s="4">
        <v>8.63</v>
      </c>
      <c r="M30" s="4">
        <v>10.21</v>
      </c>
      <c r="N3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12">
        <v>2025.0</v>
      </c>
      <c r="C1" s="12">
        <v>2024.0</v>
      </c>
      <c r="D1" s="12">
        <v>2023.0</v>
      </c>
      <c r="E1" s="12">
        <v>2022.0</v>
      </c>
      <c r="F1" s="12">
        <v>2021.0</v>
      </c>
      <c r="G1" s="12">
        <v>2020.0</v>
      </c>
      <c r="H1" s="12">
        <v>2019.0</v>
      </c>
      <c r="I1" s="12">
        <v>2018.0</v>
      </c>
      <c r="J1" s="12">
        <v>2017.0</v>
      </c>
      <c r="K1" s="12">
        <v>2016.0</v>
      </c>
      <c r="L1" s="12">
        <v>2015.0</v>
      </c>
      <c r="M1" s="12">
        <v>2014.0</v>
      </c>
    </row>
    <row r="2">
      <c r="A2" s="3" t="s">
        <v>1</v>
      </c>
      <c r="B2" s="4">
        <v>4.1</v>
      </c>
      <c r="C2" s="4">
        <v>5.49</v>
      </c>
      <c r="D2" s="4">
        <v>3.01</v>
      </c>
      <c r="E2" s="4">
        <v>4.29</v>
      </c>
      <c r="F2" s="4">
        <v>4.69</v>
      </c>
      <c r="G2" s="4">
        <v>2.01</v>
      </c>
      <c r="H2" s="4">
        <v>3.19</v>
      </c>
      <c r="I2" s="4">
        <v>3.49</v>
      </c>
      <c r="J2" s="4">
        <v>4.02</v>
      </c>
      <c r="K2" s="4">
        <v>3.8</v>
      </c>
      <c r="L2" s="4">
        <v>5.92</v>
      </c>
      <c r="M2" s="4">
        <v>4.43</v>
      </c>
    </row>
    <row r="3">
      <c r="A3" s="3" t="s">
        <v>2</v>
      </c>
      <c r="B3" s="4">
        <v>11.56</v>
      </c>
      <c r="C3" s="4">
        <v>14.58</v>
      </c>
      <c r="D3" s="4">
        <v>16.56</v>
      </c>
      <c r="E3" s="4">
        <v>21.4</v>
      </c>
      <c r="F3" s="4">
        <v>19.0</v>
      </c>
      <c r="G3" s="4">
        <v>15.78</v>
      </c>
      <c r="H3" s="4">
        <v>15.11</v>
      </c>
      <c r="I3" s="4">
        <v>12.78</v>
      </c>
      <c r="J3" s="4">
        <v>13.51</v>
      </c>
      <c r="K3" s="4">
        <v>12.77</v>
      </c>
      <c r="L3" s="4">
        <v>16.36</v>
      </c>
      <c r="M3" s="4">
        <v>12.98</v>
      </c>
    </row>
    <row r="4">
      <c r="A4" s="3" t="s">
        <v>3</v>
      </c>
      <c r="B4" s="4">
        <v>1.82</v>
      </c>
      <c r="C4" s="4">
        <v>2.06</v>
      </c>
      <c r="D4" s="4">
        <v>2.04</v>
      </c>
      <c r="E4" s="4">
        <v>1.97</v>
      </c>
      <c r="F4" s="4">
        <v>2.06</v>
      </c>
      <c r="G4" s="4">
        <v>1.24</v>
      </c>
      <c r="H4" s="4">
        <v>2.94</v>
      </c>
      <c r="I4" s="4">
        <v>2.04</v>
      </c>
      <c r="J4" s="4">
        <v>2.08</v>
      </c>
      <c r="K4" s="4">
        <v>1.98</v>
      </c>
      <c r="L4" s="4">
        <v>2.96</v>
      </c>
      <c r="M4" s="4">
        <v>1.79</v>
      </c>
    </row>
    <row r="5">
      <c r="A5" s="3" t="s">
        <v>4</v>
      </c>
      <c r="B5" s="4">
        <v>4.42</v>
      </c>
      <c r="C5" s="4">
        <v>4.34</v>
      </c>
      <c r="D5" s="4">
        <v>4.35</v>
      </c>
      <c r="E5" s="4">
        <v>6.74</v>
      </c>
      <c r="F5" s="4">
        <v>4.29</v>
      </c>
      <c r="G5" s="4">
        <v>2.33</v>
      </c>
      <c r="H5" s="4">
        <v>4.72</v>
      </c>
      <c r="I5" s="4">
        <v>4.02</v>
      </c>
      <c r="J5" s="4">
        <v>4.03</v>
      </c>
      <c r="K5" s="4">
        <v>1.99</v>
      </c>
      <c r="L5" s="4">
        <v>1.99</v>
      </c>
      <c r="M5" s="4">
        <v>1.32</v>
      </c>
    </row>
    <row r="6">
      <c r="A6" s="3" t="s">
        <v>5</v>
      </c>
      <c r="B6" s="4">
        <v>5.75</v>
      </c>
      <c r="C6" s="4">
        <v>5.83</v>
      </c>
      <c r="D6" s="4">
        <v>6.24</v>
      </c>
      <c r="E6" s="4">
        <v>10.02</v>
      </c>
      <c r="F6" s="4">
        <v>8.39</v>
      </c>
      <c r="G6" s="4">
        <v>4.11</v>
      </c>
      <c r="H6" s="4">
        <v>8.86</v>
      </c>
      <c r="I6" s="4">
        <v>6.15</v>
      </c>
      <c r="J6" s="4">
        <v>6.69</v>
      </c>
      <c r="K6" s="4">
        <v>5.0</v>
      </c>
      <c r="L6" s="4">
        <v>4.27</v>
      </c>
      <c r="M6" s="4">
        <v>2.08</v>
      </c>
    </row>
    <row r="7">
      <c r="A7" s="3" t="s">
        <v>6</v>
      </c>
      <c r="B7" s="4">
        <v>11.02</v>
      </c>
      <c r="C7" s="4">
        <v>9.02</v>
      </c>
      <c r="D7" s="4">
        <v>5.14</v>
      </c>
      <c r="E7" s="4">
        <v>4.18</v>
      </c>
      <c r="F7" s="4">
        <v>2.76</v>
      </c>
      <c r="G7" s="4">
        <v>1.8</v>
      </c>
      <c r="H7" s="4">
        <v>2.47</v>
      </c>
      <c r="I7" s="4">
        <v>4.32</v>
      </c>
      <c r="J7" s="4">
        <v>4.51</v>
      </c>
      <c r="K7" s="4">
        <v>3.17</v>
      </c>
      <c r="L7" s="4">
        <v>3.3</v>
      </c>
      <c r="M7" s="4">
        <v>1.27</v>
      </c>
    </row>
    <row r="8">
      <c r="A8" s="3" t="s">
        <v>7</v>
      </c>
      <c r="B8" s="4">
        <v>7.65</v>
      </c>
      <c r="C8" s="4">
        <v>7.0</v>
      </c>
      <c r="D8" s="4">
        <v>4.68</v>
      </c>
      <c r="E8" s="4">
        <v>6.34</v>
      </c>
      <c r="F8" s="4">
        <v>4.82</v>
      </c>
      <c r="G8" s="4">
        <v>3.12</v>
      </c>
      <c r="H8" s="4">
        <v>1.86</v>
      </c>
      <c r="I8" s="4">
        <v>2.29</v>
      </c>
      <c r="J8" s="4">
        <v>2.07</v>
      </c>
      <c r="K8" s="4">
        <v>2.1</v>
      </c>
      <c r="L8" s="4">
        <v>3.96</v>
      </c>
      <c r="M8" s="4">
        <v>2.1</v>
      </c>
    </row>
    <row r="9">
      <c r="A9" s="3" t="s">
        <v>8</v>
      </c>
      <c r="B9" s="4">
        <v>6.2</v>
      </c>
      <c r="C9" s="4">
        <v>6.14</v>
      </c>
      <c r="D9" s="4">
        <v>4.51</v>
      </c>
      <c r="E9" s="4">
        <v>5.1</v>
      </c>
      <c r="F9" s="4">
        <v>4.46</v>
      </c>
      <c r="G9" s="4">
        <v>2.31</v>
      </c>
      <c r="H9" s="4">
        <v>3.56</v>
      </c>
      <c r="I9" s="4">
        <v>3.7</v>
      </c>
      <c r="J9" s="4">
        <v>3.78</v>
      </c>
      <c r="K9" s="4">
        <v>4.19</v>
      </c>
      <c r="L9" s="4">
        <v>5.35</v>
      </c>
      <c r="M9" s="4">
        <v>5.36</v>
      </c>
    </row>
    <row r="10">
      <c r="A10" s="3" t="s">
        <v>9</v>
      </c>
      <c r="B10" s="4">
        <v>2.79</v>
      </c>
      <c r="C10" s="4">
        <v>2.5</v>
      </c>
      <c r="D10" s="4">
        <v>3.21</v>
      </c>
      <c r="E10" s="4">
        <v>3.4</v>
      </c>
      <c r="F10" s="4">
        <v>4.04</v>
      </c>
      <c r="G10" s="4">
        <v>2.76</v>
      </c>
      <c r="H10" s="4">
        <v>4.23</v>
      </c>
      <c r="I10" s="4">
        <v>4.62</v>
      </c>
      <c r="J10" s="4">
        <v>4.13</v>
      </c>
      <c r="K10" s="4">
        <v>3.73</v>
      </c>
      <c r="L10" s="4">
        <v>4.13</v>
      </c>
      <c r="M10" s="4">
        <v>4.13</v>
      </c>
    </row>
    <row r="11">
      <c r="A11" s="3" t="s">
        <v>10</v>
      </c>
      <c r="B11" s="4">
        <v>10.75</v>
      </c>
      <c r="C11" s="4">
        <v>10.41</v>
      </c>
      <c r="D11" s="4">
        <v>11.95</v>
      </c>
      <c r="E11" s="4">
        <v>9.81</v>
      </c>
      <c r="F11" s="4">
        <v>11.98</v>
      </c>
      <c r="G11" s="4">
        <v>60.32</v>
      </c>
      <c r="H11" s="4">
        <v>46.89</v>
      </c>
      <c r="I11" s="4">
        <v>39.63</v>
      </c>
      <c r="J11" s="4">
        <v>29.14</v>
      </c>
      <c r="K11" s="4">
        <v>28.57</v>
      </c>
      <c r="L11" s="4">
        <v>46.97</v>
      </c>
      <c r="M11" s="4">
        <v>36.91</v>
      </c>
    </row>
    <row r="12">
      <c r="A12" s="3" t="s">
        <v>11</v>
      </c>
      <c r="B12" s="4">
        <v>3.1</v>
      </c>
      <c r="C12" s="4">
        <v>3.04</v>
      </c>
      <c r="D12" s="4">
        <v>2.9</v>
      </c>
      <c r="E12" s="4">
        <v>2.84</v>
      </c>
      <c r="F12" s="4">
        <v>2.6</v>
      </c>
      <c r="G12" s="4">
        <v>1.75</v>
      </c>
      <c r="H12" s="4">
        <v>2.31</v>
      </c>
      <c r="I12" s="4">
        <v>1.66</v>
      </c>
      <c r="J12" s="4">
        <v>1.59</v>
      </c>
      <c r="K12" s="4">
        <v>1.51</v>
      </c>
      <c r="L12" s="4">
        <v>2.16</v>
      </c>
      <c r="M12" s="4">
        <v>1.88</v>
      </c>
    </row>
    <row r="13">
      <c r="A13" s="3" t="s">
        <v>12</v>
      </c>
      <c r="B13" s="4">
        <v>6.8</v>
      </c>
      <c r="C13" s="4">
        <v>7.05</v>
      </c>
      <c r="D13" s="4">
        <v>7.83</v>
      </c>
      <c r="E13" s="4">
        <v>10.62</v>
      </c>
      <c r="F13" s="4">
        <v>7.61</v>
      </c>
      <c r="G13" s="4">
        <v>4.15</v>
      </c>
      <c r="H13" s="4">
        <v>4.96</v>
      </c>
      <c r="I13" s="4">
        <v>3.8</v>
      </c>
      <c r="J13" s="4">
        <v>3.39</v>
      </c>
      <c r="K13" s="4">
        <v>4.51</v>
      </c>
      <c r="L13" s="4">
        <v>5.0</v>
      </c>
      <c r="M13" s="4">
        <v>4.21</v>
      </c>
    </row>
    <row r="14">
      <c r="A14" s="3" t="s">
        <v>13</v>
      </c>
      <c r="B14" s="4">
        <v>7.32</v>
      </c>
      <c r="C14" s="4">
        <v>7.18</v>
      </c>
      <c r="D14" s="4">
        <v>6.89</v>
      </c>
      <c r="E14" s="4">
        <v>4.95</v>
      </c>
      <c r="F14" s="4">
        <v>4.46</v>
      </c>
      <c r="G14" s="4">
        <v>3.24</v>
      </c>
      <c r="H14" s="4">
        <v>6.15</v>
      </c>
      <c r="I14" s="4">
        <v>5.95</v>
      </c>
      <c r="J14" s="4">
        <v>7.34</v>
      </c>
      <c r="K14" s="4">
        <v>6.19</v>
      </c>
      <c r="L14" s="4">
        <v>8.24</v>
      </c>
      <c r="M14" s="4">
        <v>10.36</v>
      </c>
    </row>
    <row r="15">
      <c r="A15" s="3" t="s">
        <v>14</v>
      </c>
      <c r="B15" s="4">
        <v>2.74</v>
      </c>
      <c r="C15" s="4">
        <v>2.73</v>
      </c>
      <c r="D15" s="4">
        <v>3.08</v>
      </c>
      <c r="E15" s="4">
        <v>3.6</v>
      </c>
      <c r="F15" s="4">
        <v>4.12</v>
      </c>
      <c r="G15" s="4">
        <v>3.72</v>
      </c>
      <c r="H15" s="4">
        <v>4.41</v>
      </c>
      <c r="I15" s="4">
        <v>3.96</v>
      </c>
      <c r="J15" s="4">
        <v>4.17</v>
      </c>
      <c r="K15" s="4">
        <v>3.74</v>
      </c>
      <c r="L15" s="4">
        <v>4.58</v>
      </c>
      <c r="M15" s="4">
        <v>3.14</v>
      </c>
    </row>
    <row r="16">
      <c r="A16" s="3" t="s">
        <v>15</v>
      </c>
      <c r="B16" s="4">
        <v>4.92</v>
      </c>
      <c r="C16" s="4">
        <v>6.01</v>
      </c>
      <c r="D16" s="4">
        <v>3.41</v>
      </c>
      <c r="E16" s="4">
        <v>3.01</v>
      </c>
      <c r="F16" s="4">
        <v>2.63</v>
      </c>
      <c r="G16" s="4">
        <v>1.7</v>
      </c>
      <c r="H16" s="4">
        <v>3.12</v>
      </c>
      <c r="I16" s="4">
        <v>3.31</v>
      </c>
      <c r="J16" s="4">
        <v>2.94</v>
      </c>
      <c r="K16" s="4">
        <v>2.56</v>
      </c>
      <c r="L16" s="4">
        <v>3.91</v>
      </c>
      <c r="M16" s="4">
        <v>3.13</v>
      </c>
    </row>
    <row r="17">
      <c r="A17" s="3" t="s">
        <v>16</v>
      </c>
      <c r="B17" s="4">
        <v>3.86</v>
      </c>
      <c r="C17" s="4">
        <v>3.24</v>
      </c>
      <c r="D17" s="4">
        <v>2.29</v>
      </c>
      <c r="E17" s="4">
        <v>1.9</v>
      </c>
      <c r="F17" s="4">
        <v>2.12</v>
      </c>
      <c r="G17" s="4">
        <v>0.79</v>
      </c>
      <c r="H17" s="4">
        <v>1.83</v>
      </c>
      <c r="I17" s="4">
        <v>2.19</v>
      </c>
      <c r="J17" s="4">
        <v>2.34</v>
      </c>
      <c r="K17" s="4">
        <v>2.47</v>
      </c>
      <c r="L17" s="4">
        <v>2.72</v>
      </c>
      <c r="M17" s="4">
        <v>2.49</v>
      </c>
    </row>
    <row r="18">
      <c r="A18" s="3" t="s">
        <v>17</v>
      </c>
      <c r="B18" s="4">
        <v>3.76</v>
      </c>
      <c r="C18" s="4">
        <v>4.63</v>
      </c>
      <c r="D18" s="4">
        <v>4.05</v>
      </c>
      <c r="E18" s="4">
        <v>4.13</v>
      </c>
      <c r="F18" s="4">
        <v>3.95</v>
      </c>
      <c r="G18" s="4">
        <v>2.62</v>
      </c>
      <c r="H18" s="4">
        <v>4.28</v>
      </c>
      <c r="I18" s="4">
        <v>6.29</v>
      </c>
      <c r="J18" s="4">
        <v>4.91</v>
      </c>
      <c r="K18" s="4">
        <v>3.67</v>
      </c>
      <c r="L18" s="4">
        <v>4.59</v>
      </c>
      <c r="M18" s="4">
        <v>2.77</v>
      </c>
    </row>
    <row r="19">
      <c r="A19" s="3" t="s">
        <v>18</v>
      </c>
      <c r="B19" s="4">
        <v>1.88</v>
      </c>
      <c r="C19" s="4">
        <v>2.03</v>
      </c>
      <c r="D19" s="4">
        <v>1.16</v>
      </c>
      <c r="E19" s="4">
        <v>0.97</v>
      </c>
      <c r="F19" s="4">
        <v>0.82</v>
      </c>
      <c r="G19" s="4">
        <v>0.7</v>
      </c>
      <c r="H19" s="4">
        <v>1.2</v>
      </c>
      <c r="I19" s="4">
        <v>1.35</v>
      </c>
      <c r="J19" s="4">
        <v>1.4</v>
      </c>
      <c r="K19" s="4">
        <v>1.16</v>
      </c>
      <c r="L19" s="4">
        <v>1.48</v>
      </c>
      <c r="M19" s="4">
        <v>1.13</v>
      </c>
    </row>
    <row r="20">
      <c r="A20" s="3" t="s">
        <v>19</v>
      </c>
      <c r="B20" s="4">
        <v>2.92</v>
      </c>
      <c r="C20" s="4">
        <v>2.96</v>
      </c>
      <c r="D20" s="4">
        <v>1.9</v>
      </c>
      <c r="E20" s="4">
        <v>1.98</v>
      </c>
      <c r="F20" s="4">
        <v>1.61</v>
      </c>
      <c r="G20" s="4">
        <v>1.29</v>
      </c>
      <c r="H20" s="4">
        <v>1.75</v>
      </c>
      <c r="I20" s="4">
        <v>1.86</v>
      </c>
      <c r="J20" s="4">
        <v>2.07</v>
      </c>
      <c r="K20" s="4">
        <v>1.66</v>
      </c>
      <c r="L20" s="4">
        <v>1.98</v>
      </c>
      <c r="M20" s="4">
        <v>1.58</v>
      </c>
    </row>
    <row r="21">
      <c r="A21" s="3" t="s">
        <v>20</v>
      </c>
      <c r="B21" s="4">
        <v>2.05</v>
      </c>
      <c r="C21" s="4">
        <v>2.54</v>
      </c>
      <c r="D21" s="4">
        <v>2.2</v>
      </c>
      <c r="E21" s="4">
        <v>2.29</v>
      </c>
      <c r="F21" s="4">
        <v>1.84</v>
      </c>
      <c r="G21" s="4">
        <v>1.57</v>
      </c>
      <c r="H21" s="4">
        <v>2.09</v>
      </c>
      <c r="I21" s="4">
        <v>1.78</v>
      </c>
      <c r="J21" s="4">
        <v>1.49</v>
      </c>
      <c r="K21" s="4">
        <v>1.34</v>
      </c>
      <c r="L21" s="4">
        <v>1.12</v>
      </c>
      <c r="M21" s="4">
        <v>1.38</v>
      </c>
    </row>
    <row r="22">
      <c r="A22" s="3" t="s">
        <v>21</v>
      </c>
      <c r="B22" s="4">
        <v>1.5</v>
      </c>
      <c r="C22" s="4">
        <v>1.73</v>
      </c>
      <c r="D22" s="4">
        <v>1.41</v>
      </c>
      <c r="E22" s="4">
        <v>1.56</v>
      </c>
      <c r="F22" s="4">
        <v>1.29</v>
      </c>
      <c r="G22" s="4">
        <v>0.77</v>
      </c>
      <c r="H22" s="4">
        <v>1.22</v>
      </c>
      <c r="I22" s="4">
        <v>1.09</v>
      </c>
      <c r="J22" s="4">
        <v>1.28</v>
      </c>
      <c r="K22" s="4">
        <v>0.84</v>
      </c>
      <c r="L22" s="4">
        <v>1.24</v>
      </c>
      <c r="M22" s="4">
        <v>0.97</v>
      </c>
    </row>
    <row r="23">
      <c r="A23" s="3" t="s">
        <v>22</v>
      </c>
      <c r="B23" s="4">
        <v>5.77</v>
      </c>
      <c r="C23" s="4">
        <v>6.11</v>
      </c>
      <c r="D23" s="4">
        <v>4.21</v>
      </c>
      <c r="E23" s="4">
        <v>4.57</v>
      </c>
      <c r="F23" s="4">
        <v>3.09</v>
      </c>
      <c r="G23" s="4">
        <v>1.87</v>
      </c>
      <c r="H23" s="4">
        <v>2.78</v>
      </c>
      <c r="I23" s="4">
        <v>3.12</v>
      </c>
      <c r="J23" s="4">
        <v>4.5</v>
      </c>
      <c r="K23" s="4">
        <v>5.98</v>
      </c>
      <c r="L23" s="4">
        <v>8.28</v>
      </c>
      <c r="M23" s="4">
        <v>6.41</v>
      </c>
    </row>
    <row r="24">
      <c r="A24" s="3" t="s">
        <v>23</v>
      </c>
      <c r="B24" s="4">
        <v>2.14</v>
      </c>
      <c r="C24" s="4">
        <v>4.48</v>
      </c>
      <c r="D24" s="4">
        <v>3.55</v>
      </c>
      <c r="E24" s="4">
        <v>3.73</v>
      </c>
      <c r="F24" s="4">
        <v>2.09</v>
      </c>
      <c r="G24" s="4">
        <v>0.41</v>
      </c>
      <c r="H24" s="4">
        <v>0.98</v>
      </c>
      <c r="I24" s="4">
        <v>1.17</v>
      </c>
      <c r="J24" s="4">
        <v>2.73</v>
      </c>
      <c r="K24" s="4">
        <v>1.66</v>
      </c>
      <c r="L24" s="4">
        <v>3.15</v>
      </c>
      <c r="M24" s="4">
        <v>1.96</v>
      </c>
    </row>
    <row r="25">
      <c r="A25" s="3" t="s">
        <v>24</v>
      </c>
      <c r="B25" s="4">
        <v>2.11</v>
      </c>
      <c r="C25" s="4">
        <v>2.11</v>
      </c>
      <c r="D25" s="4">
        <v>1.24</v>
      </c>
      <c r="E25" s="4">
        <v>1.39</v>
      </c>
      <c r="F25" s="4">
        <v>1.32</v>
      </c>
      <c r="G25" s="4">
        <v>0.43</v>
      </c>
      <c r="H25" s="4">
        <v>0.89</v>
      </c>
      <c r="I25" s="4">
        <v>1.12</v>
      </c>
      <c r="J25" s="4">
        <v>1.32</v>
      </c>
      <c r="K25" s="4">
        <v>0.75</v>
      </c>
      <c r="L25" s="4">
        <v>0.98</v>
      </c>
      <c r="M25" s="4">
        <v>0.94</v>
      </c>
    </row>
    <row r="26">
      <c r="A26" s="3" t="s">
        <v>25</v>
      </c>
      <c r="B26" s="4">
        <v>13.77</v>
      </c>
      <c r="C26" s="4">
        <v>15.54</v>
      </c>
      <c r="D26" s="4">
        <v>12.98</v>
      </c>
      <c r="E26" s="4">
        <v>15.35</v>
      </c>
      <c r="F26" s="4">
        <v>13.6</v>
      </c>
      <c r="G26" s="4">
        <v>8.13</v>
      </c>
      <c r="H26" s="4">
        <v>8.39</v>
      </c>
      <c r="I26" s="4">
        <v>6.39</v>
      </c>
      <c r="J26" s="4">
        <v>5.56</v>
      </c>
      <c r="K26" s="4">
        <v>6.97</v>
      </c>
      <c r="L26" s="4">
        <v>9.85</v>
      </c>
      <c r="M26" s="4">
        <v>8.47</v>
      </c>
    </row>
    <row r="27">
      <c r="A27" s="3" t="s">
        <v>26</v>
      </c>
      <c r="B27" s="4">
        <v>4.59</v>
      </c>
      <c r="C27" s="4">
        <v>4.14</v>
      </c>
      <c r="D27" s="4">
        <v>3.47</v>
      </c>
      <c r="E27" s="4">
        <v>4.89</v>
      </c>
      <c r="F27" s="4">
        <v>3.48</v>
      </c>
      <c r="G27" s="4">
        <v>2.26</v>
      </c>
      <c r="H27" s="4">
        <v>3.4</v>
      </c>
      <c r="I27" s="4">
        <v>2.99</v>
      </c>
      <c r="J27" s="4">
        <v>2.45</v>
      </c>
      <c r="K27" s="4">
        <v>2.84</v>
      </c>
      <c r="L27" s="4">
        <v>4.94</v>
      </c>
      <c r="M27" s="4">
        <v>4.56</v>
      </c>
    </row>
    <row r="28">
      <c r="A28" s="3" t="s">
        <v>27</v>
      </c>
      <c r="B28" s="4">
        <v>23.46</v>
      </c>
      <c r="C28" s="4">
        <v>36.05</v>
      </c>
      <c r="D28" s="4">
        <v>18.89</v>
      </c>
      <c r="E28" s="4">
        <v>24.26</v>
      </c>
      <c r="F28" s="4">
        <v>18.49</v>
      </c>
      <c r="G28" s="4">
        <v>12.43</v>
      </c>
      <c r="H28" s="4">
        <v>16.64</v>
      </c>
      <c r="I28" s="4">
        <v>16.42</v>
      </c>
      <c r="J28" s="4">
        <v>9.68</v>
      </c>
      <c r="K28" s="4">
        <v>8.58</v>
      </c>
      <c r="L28" s="4">
        <v>11.29</v>
      </c>
      <c r="M28" s="4">
        <v>9.24</v>
      </c>
    </row>
    <row r="29">
      <c r="A29" s="3" t="s">
        <v>28</v>
      </c>
      <c r="B29" s="4">
        <v>34.57</v>
      </c>
      <c r="C29" s="4">
        <v>34.51</v>
      </c>
      <c r="D29" s="4">
        <v>18.83</v>
      </c>
      <c r="E29" s="4">
        <v>19.19</v>
      </c>
      <c r="F29" s="4">
        <v>11.55</v>
      </c>
      <c r="G29" s="4">
        <v>7.13</v>
      </c>
      <c r="H29" s="4">
        <v>7.26</v>
      </c>
      <c r="I29" s="4">
        <v>7.21</v>
      </c>
      <c r="J29" s="4">
        <v>5.7</v>
      </c>
      <c r="K29" s="4">
        <v>3.6</v>
      </c>
      <c r="L29" s="4">
        <v>3.43</v>
      </c>
      <c r="M29" s="4">
        <v>3.44</v>
      </c>
    </row>
    <row r="30">
      <c r="A30" s="3" t="s">
        <v>29</v>
      </c>
      <c r="B30" s="4">
        <v>4.79</v>
      </c>
      <c r="C30" s="4">
        <v>4.67</v>
      </c>
      <c r="D30" s="4">
        <v>4.05</v>
      </c>
      <c r="E30" s="4">
        <v>3.78</v>
      </c>
      <c r="F30" s="4">
        <v>4.4</v>
      </c>
      <c r="G30" s="4">
        <v>2.41</v>
      </c>
      <c r="H30" s="4">
        <v>3.87</v>
      </c>
      <c r="I30" s="4">
        <v>4.11</v>
      </c>
      <c r="J30" s="4">
        <v>4.49</v>
      </c>
      <c r="K30" s="4">
        <v>4.04</v>
      </c>
      <c r="L30" s="4">
        <v>4.14</v>
      </c>
      <c r="M30" s="4">
        <v>3.49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12">
        <v>2025.0</v>
      </c>
      <c r="C1" s="12">
        <v>2024.0</v>
      </c>
      <c r="D1" s="12">
        <v>2023.0</v>
      </c>
      <c r="E1" s="12">
        <v>2022.0</v>
      </c>
      <c r="F1" s="12">
        <v>2021.0</v>
      </c>
      <c r="G1" s="12">
        <v>2020.0</v>
      </c>
      <c r="H1" s="12">
        <v>2019.0</v>
      </c>
      <c r="I1" s="12">
        <v>2018.0</v>
      </c>
      <c r="J1" s="12">
        <v>2017.0</v>
      </c>
      <c r="K1" s="12">
        <v>2016.0</v>
      </c>
      <c r="L1" s="12">
        <v>2015.0</v>
      </c>
      <c r="M1" s="12">
        <v>2014.0</v>
      </c>
    </row>
    <row r="2">
      <c r="A2" s="3" t="s">
        <v>1</v>
      </c>
      <c r="B2" s="4">
        <v>23.0195</v>
      </c>
      <c r="C2" s="4">
        <v>35.731</v>
      </c>
      <c r="D2" s="4">
        <v>25.7038</v>
      </c>
      <c r="E2" s="4">
        <v>34.5735</v>
      </c>
      <c r="F2" s="4">
        <v>28.5903</v>
      </c>
      <c r="G2" s="4">
        <v>13.6948</v>
      </c>
      <c r="H2" s="4">
        <v>19.616</v>
      </c>
      <c r="I2" s="4">
        <v>19.9915</v>
      </c>
      <c r="J2" s="4">
        <v>17.9884</v>
      </c>
      <c r="K2" s="4">
        <v>17.7055</v>
      </c>
      <c r="L2" s="4">
        <v>27.5537</v>
      </c>
      <c r="M2" s="4">
        <v>22.1893</v>
      </c>
    </row>
    <row r="3">
      <c r="A3" s="3" t="s">
        <v>2</v>
      </c>
      <c r="B3" s="4">
        <v>34.9725</v>
      </c>
      <c r="C3" s="4">
        <v>49.9737</v>
      </c>
      <c r="D3" s="4">
        <v>64.4793</v>
      </c>
      <c r="E3" s="4">
        <v>97.5546</v>
      </c>
      <c r="F3" s="4">
        <v>77.5053</v>
      </c>
      <c r="G3" s="4">
        <v>59.1028</v>
      </c>
      <c r="H3" s="4">
        <v>66.3657</v>
      </c>
      <c r="I3" s="4">
        <v>52.714</v>
      </c>
      <c r="J3" s="4">
        <v>52.9773</v>
      </c>
      <c r="K3" s="4">
        <v>47.757</v>
      </c>
      <c r="L3" s="4">
        <v>55.6224</v>
      </c>
      <c r="M3" s="4">
        <v>42.9976</v>
      </c>
    </row>
    <row r="4">
      <c r="A4" s="3" t="s">
        <v>3</v>
      </c>
      <c r="B4" s="4">
        <v>12.1462</v>
      </c>
      <c r="C4" s="4">
        <v>12.2436</v>
      </c>
      <c r="D4" s="4">
        <v>24.3878</v>
      </c>
      <c r="E4" s="4">
        <v>16.5215</v>
      </c>
      <c r="F4" s="4">
        <v>28.8342</v>
      </c>
      <c r="G4" s="4">
        <v>55.5344</v>
      </c>
      <c r="H4" s="4">
        <v>39.5767</v>
      </c>
      <c r="I4" s="4">
        <v>273.871</v>
      </c>
      <c r="J4" s="4">
        <v>29.6735</v>
      </c>
      <c r="K4" s="4">
        <v>12.658</v>
      </c>
      <c r="L4" s="4">
        <v>17.7567</v>
      </c>
      <c r="M4" s="4">
        <v>10.8559</v>
      </c>
    </row>
    <row r="5">
      <c r="A5" s="3" t="s">
        <v>4</v>
      </c>
      <c r="B5" s="4">
        <v>160.9487</v>
      </c>
      <c r="C5" s="4">
        <v>141.4131</v>
      </c>
      <c r="D5" s="4">
        <v>139.34</v>
      </c>
      <c r="E5" s="4">
        <v>25.3549</v>
      </c>
      <c r="F5" s="4">
        <v>18.33</v>
      </c>
      <c r="G5" s="4">
        <v>10.4679</v>
      </c>
      <c r="H5" s="4">
        <v>14.9523</v>
      </c>
      <c r="I5" s="4">
        <v>10.6291</v>
      </c>
      <c r="J5" s="4">
        <v>8.2625</v>
      </c>
      <c r="K5" s="4">
        <v>59.1734</v>
      </c>
      <c r="L5" s="4">
        <v>38.5711</v>
      </c>
      <c r="M5" s="4">
        <v>18.4541</v>
      </c>
    </row>
    <row r="6">
      <c r="A6" s="3" t="s">
        <v>5</v>
      </c>
      <c r="B6" s="4">
        <v>7.4587</v>
      </c>
      <c r="C6" s="4">
        <v>6.9385</v>
      </c>
      <c r="D6" s="4">
        <v>6.6465</v>
      </c>
      <c r="E6" s="4">
        <v>146.1947</v>
      </c>
      <c r="F6" s="4">
        <v>131.3917</v>
      </c>
      <c r="G6" s="4">
        <v>51.1279</v>
      </c>
      <c r="H6" s="4">
        <v>101.4777</v>
      </c>
      <c r="I6" s="4">
        <v>108.9304</v>
      </c>
      <c r="J6" s="4">
        <v>120.1941</v>
      </c>
      <c r="K6" s="4">
        <v>7.031</v>
      </c>
      <c r="L6" s="4">
        <v>7.7217</v>
      </c>
      <c r="M6" s="4">
        <v>5.4576</v>
      </c>
    </row>
    <row r="7">
      <c r="A7" s="3" t="s">
        <v>6</v>
      </c>
      <c r="B7" s="4">
        <v>41.3736</v>
      </c>
      <c r="C7" s="4">
        <v>36.9633</v>
      </c>
      <c r="D7" s="4">
        <v>23.8509</v>
      </c>
      <c r="E7" s="4">
        <v>21.4061</v>
      </c>
      <c r="F7" s="4">
        <v>14.5128</v>
      </c>
      <c r="G7" s="4">
        <v>9.9266</v>
      </c>
      <c r="H7" s="4">
        <v>12.0543</v>
      </c>
      <c r="I7" s="4">
        <v>24.3654</v>
      </c>
      <c r="J7" s="4">
        <v>26.3215</v>
      </c>
      <c r="K7" s="4">
        <v>218.9408</v>
      </c>
      <c r="L7" s="4">
        <v>22.3672</v>
      </c>
      <c r="M7" s="4">
        <v>9.6262</v>
      </c>
    </row>
    <row r="8">
      <c r="A8" s="3" t="s">
        <v>7</v>
      </c>
      <c r="B8" s="4">
        <v>29.844</v>
      </c>
      <c r="C8" s="4">
        <v>93.8923</v>
      </c>
      <c r="D8" s="4">
        <v>50.6081</v>
      </c>
      <c r="E8" s="4">
        <v>98.4876</v>
      </c>
      <c r="F8" s="4">
        <v>-18.7089</v>
      </c>
      <c r="G8" s="4">
        <v>-6.9484</v>
      </c>
      <c r="H8" s="4">
        <v>346.7708</v>
      </c>
      <c r="I8" s="4">
        <v>145.0545</v>
      </c>
      <c r="J8" s="4">
        <v>36.7981</v>
      </c>
      <c r="K8" s="4">
        <v>23.0703</v>
      </c>
      <c r="L8" s="4">
        <v>34.0744</v>
      </c>
      <c r="M8" s="4">
        <v>45.4274</v>
      </c>
    </row>
    <row r="9">
      <c r="A9" s="3" t="s">
        <v>8</v>
      </c>
      <c r="B9" s="4">
        <v>24.7966</v>
      </c>
      <c r="C9" s="4">
        <v>26.6132</v>
      </c>
      <c r="D9" s="4">
        <v>19.8031</v>
      </c>
      <c r="E9" s="4">
        <v>23.3745</v>
      </c>
      <c r="F9" s="4">
        <v>23.9457</v>
      </c>
      <c r="G9" s="4">
        <v>10.7178</v>
      </c>
      <c r="H9" s="4">
        <v>14.7866</v>
      </c>
      <c r="I9" s="4">
        <v>15.5793</v>
      </c>
      <c r="J9" s="4">
        <v>14.4712</v>
      </c>
      <c r="K9" s="4">
        <v>20.4612</v>
      </c>
      <c r="L9" s="4">
        <v>18.8069</v>
      </c>
      <c r="M9" s="4">
        <v>14.9227</v>
      </c>
    </row>
    <row r="10">
      <c r="A10" s="3" t="s">
        <v>9</v>
      </c>
      <c r="B10" s="4">
        <v>20.7102</v>
      </c>
      <c r="C10" s="4">
        <v>16.8729</v>
      </c>
      <c r="D10" s="4">
        <v>20.3123</v>
      </c>
      <c r="E10" s="4">
        <v>22.0052</v>
      </c>
      <c r="F10" s="4">
        <v>26.3971</v>
      </c>
      <c r="G10" s="4">
        <v>17.9546</v>
      </c>
      <c r="H10" s="4">
        <v>29.4533</v>
      </c>
      <c r="I10" s="4">
        <v>27.914</v>
      </c>
      <c r="J10" s="4">
        <v>25.2239</v>
      </c>
      <c r="K10" s="4">
        <v>21.9328</v>
      </c>
      <c r="L10" s="4">
        <v>24.2669</v>
      </c>
      <c r="M10" s="4">
        <v>21.1122</v>
      </c>
    </row>
    <row r="11">
      <c r="A11" s="3" t="s">
        <v>10</v>
      </c>
      <c r="B11" s="4">
        <v>49.8533</v>
      </c>
      <c r="C11" s="4">
        <v>51.8576</v>
      </c>
      <c r="D11" s="4">
        <v>59.4091</v>
      </c>
      <c r="E11" s="4">
        <v>54.2167</v>
      </c>
      <c r="F11" s="4">
        <v>71.4311</v>
      </c>
      <c r="G11" s="4">
        <v>73.7295</v>
      </c>
      <c r="H11" s="4">
        <v>61.0583</v>
      </c>
      <c r="I11" s="4">
        <v>55.4545</v>
      </c>
      <c r="J11" s="4">
        <v>43.9918</v>
      </c>
      <c r="K11" s="4">
        <v>45.5236</v>
      </c>
      <c r="L11" s="4">
        <v>43.2771</v>
      </c>
      <c r="M11" s="4">
        <v>33.0948</v>
      </c>
    </row>
    <row r="12">
      <c r="A12" s="3" t="s">
        <v>11</v>
      </c>
      <c r="B12" s="4">
        <v>18.6217</v>
      </c>
      <c r="C12" s="4">
        <v>17.3421</v>
      </c>
      <c r="D12" s="4">
        <v>17.9533</v>
      </c>
      <c r="E12" s="4">
        <v>20.1671</v>
      </c>
      <c r="F12" s="4">
        <v>21.3225</v>
      </c>
      <c r="G12" s="4">
        <v>21.9109</v>
      </c>
      <c r="H12" s="4">
        <v>60.3404</v>
      </c>
      <c r="I12" s="4">
        <v>23.1614</v>
      </c>
      <c r="J12" s="4">
        <v>17.4167</v>
      </c>
      <c r="K12" s="4">
        <v>13.494</v>
      </c>
      <c r="L12" s="4">
        <v>14.8937</v>
      </c>
      <c r="M12" s="4">
        <v>13.0209</v>
      </c>
    </row>
    <row r="13">
      <c r="A13" s="3" t="s">
        <v>12</v>
      </c>
      <c r="B13" s="4">
        <v>24.3473</v>
      </c>
      <c r="C13" s="4">
        <v>23.6441</v>
      </c>
      <c r="D13" s="4">
        <v>23.9007</v>
      </c>
      <c r="E13" s="4">
        <v>36.3138</v>
      </c>
      <c r="F13" s="4">
        <v>29.9879</v>
      </c>
      <c r="G13" s="4">
        <v>16.4306</v>
      </c>
      <c r="H13" s="4">
        <v>20.9453</v>
      </c>
      <c r="I13" s="4">
        <v>15.9617</v>
      </c>
      <c r="J13" s="4">
        <v>16.2548</v>
      </c>
      <c r="K13" s="4">
        <v>20.6362</v>
      </c>
      <c r="L13" s="4">
        <v>20.4748</v>
      </c>
      <c r="M13" s="4">
        <v>17.5819</v>
      </c>
    </row>
    <row r="14">
      <c r="A14" s="3" t="s">
        <v>13</v>
      </c>
      <c r="B14" s="4">
        <v>14.7463</v>
      </c>
      <c r="C14" s="4">
        <v>26.0993</v>
      </c>
      <c r="D14" s="4">
        <v>24.7387</v>
      </c>
      <c r="E14" s="4">
        <v>20.2749</v>
      </c>
      <c r="F14" s="4">
        <v>20.4206</v>
      </c>
      <c r="G14" s="4">
        <v>13.7931</v>
      </c>
      <c r="H14" s="4">
        <v>28.8058</v>
      </c>
      <c r="I14" s="4">
        <v>27.635</v>
      </c>
      <c r="J14" s="4">
        <v>32.9941</v>
      </c>
      <c r="K14" s="4">
        <v>42.329</v>
      </c>
      <c r="L14" s="4">
        <v>26.8745</v>
      </c>
      <c r="M14" s="4">
        <v>31.4572</v>
      </c>
    </row>
    <row r="15">
      <c r="A15" s="3" t="s">
        <v>14</v>
      </c>
      <c r="B15" s="4">
        <v>19.5103</v>
      </c>
      <c r="C15" s="4">
        <v>19.5276</v>
      </c>
      <c r="D15" s="4">
        <v>23.1257</v>
      </c>
      <c r="E15" s="4">
        <v>28.8792</v>
      </c>
      <c r="F15" s="4">
        <v>34.7121</v>
      </c>
      <c r="G15" s="4">
        <v>28.9817</v>
      </c>
      <c r="H15" s="4">
        <v>35.356</v>
      </c>
      <c r="I15" s="4">
        <v>32.0673</v>
      </c>
      <c r="J15" s="4">
        <v>32.4321</v>
      </c>
      <c r="K15" s="4">
        <v>36.0127</v>
      </c>
      <c r="L15" s="4">
        <v>33.2527</v>
      </c>
      <c r="M15" s="4">
        <v>24.169</v>
      </c>
    </row>
    <row r="16">
      <c r="A16" s="3" t="s">
        <v>15</v>
      </c>
      <c r="B16" s="4">
        <v>31.9221</v>
      </c>
      <c r="C16" s="4">
        <v>40.1671</v>
      </c>
      <c r="D16" s="4">
        <v>29.0531</v>
      </c>
      <c r="E16" s="4">
        <v>28.6412</v>
      </c>
      <c r="F16" s="4">
        <v>17.1942</v>
      </c>
      <c r="G16" s="4">
        <v>11.8585</v>
      </c>
      <c r="H16" s="4">
        <v>21.7926</v>
      </c>
      <c r="I16" s="4">
        <v>24.9316</v>
      </c>
      <c r="J16" s="4">
        <v>36.5185</v>
      </c>
      <c r="K16" s="4">
        <v>26.7414</v>
      </c>
      <c r="L16" s="4">
        <v>33.4892</v>
      </c>
      <c r="M16" s="4">
        <v>24.0259</v>
      </c>
    </row>
    <row r="17">
      <c r="A17" s="3" t="s">
        <v>16</v>
      </c>
      <c r="B17" s="4">
        <v>23.0036</v>
      </c>
      <c r="C17" s="4">
        <v>18.9969</v>
      </c>
      <c r="D17" s="4">
        <v>12.5371</v>
      </c>
      <c r="E17" s="4">
        <v>13.6115</v>
      </c>
      <c r="F17" s="4">
        <v>48.6895</v>
      </c>
      <c r="G17" s="4">
        <v>-247.8261</v>
      </c>
      <c r="H17" s="4">
        <v>13.7354</v>
      </c>
      <c r="I17" s="4">
        <v>10.6965</v>
      </c>
      <c r="J17" s="4">
        <v>37.6083</v>
      </c>
      <c r="K17" s="4">
        <v>21.3079</v>
      </c>
      <c r="L17" s="4">
        <v>22.3485</v>
      </c>
      <c r="M17" s="4">
        <v>12.4039</v>
      </c>
    </row>
    <row r="18">
      <c r="A18" s="3" t="s">
        <v>17</v>
      </c>
      <c r="B18" s="4">
        <v>24.9815</v>
      </c>
      <c r="C18" s="4">
        <v>29.4005</v>
      </c>
      <c r="D18" s="4">
        <v>30.5079</v>
      </c>
      <c r="E18" s="4">
        <v>58.864</v>
      </c>
      <c r="F18" s="4">
        <v>47.2109</v>
      </c>
      <c r="G18" s="4">
        <v>22.8132</v>
      </c>
      <c r="H18" s="4">
        <v>26.3433</v>
      </c>
      <c r="I18" s="4">
        <v>33.974</v>
      </c>
      <c r="J18" s="4">
        <v>24.229</v>
      </c>
      <c r="K18" s="4">
        <v>20.4369</v>
      </c>
      <c r="L18" s="4">
        <v>29.3498</v>
      </c>
      <c r="M18" s="4">
        <v>20.8746</v>
      </c>
    </row>
    <row r="19">
      <c r="A19" s="3" t="s">
        <v>18</v>
      </c>
      <c r="B19" s="4">
        <v>17.5836</v>
      </c>
      <c r="C19" s="4">
        <v>15.6547</v>
      </c>
      <c r="D19" s="4">
        <v>10.0487</v>
      </c>
      <c r="E19" s="4">
        <v>7.8459</v>
      </c>
      <c r="F19" s="4">
        <v>7.1587</v>
      </c>
      <c r="G19" s="4">
        <v>7.1843</v>
      </c>
      <c r="H19" s="4">
        <v>9.7514</v>
      </c>
      <c r="I19" s="4">
        <v>15.9193</v>
      </c>
      <c r="J19" s="4">
        <v>12.7654</v>
      </c>
      <c r="K19" s="4">
        <v>9.8321</v>
      </c>
      <c r="L19" s="4">
        <v>12.1676</v>
      </c>
      <c r="M19" s="4">
        <v>8.6732</v>
      </c>
    </row>
    <row r="20">
      <c r="A20" s="3" t="s">
        <v>19</v>
      </c>
      <c r="B20" s="4">
        <v>17.4026</v>
      </c>
      <c r="C20" s="4">
        <v>15.9591</v>
      </c>
      <c r="D20" s="4">
        <v>10.2127</v>
      </c>
      <c r="E20" s="4">
        <v>8.9905</v>
      </c>
      <c r="F20" s="4">
        <v>9.372</v>
      </c>
      <c r="G20" s="4">
        <v>7.5213</v>
      </c>
      <c r="H20" s="4">
        <v>10.3285</v>
      </c>
      <c r="I20" s="4">
        <v>12.3629</v>
      </c>
      <c r="J20" s="4">
        <v>13.8483</v>
      </c>
      <c r="K20" s="4">
        <v>12.2125</v>
      </c>
      <c r="L20" s="4">
        <v>15.0622</v>
      </c>
      <c r="M20" s="4">
        <v>11.0929</v>
      </c>
    </row>
    <row r="21">
      <c r="A21" s="3" t="s">
        <v>20</v>
      </c>
      <c r="B21" s="4">
        <v>24.7717</v>
      </c>
      <c r="C21" s="4">
        <v>28.9291</v>
      </c>
      <c r="D21" s="4">
        <v>23.6439</v>
      </c>
      <c r="E21" s="4">
        <v>28.6299</v>
      </c>
      <c r="F21" s="4">
        <v>26.2302</v>
      </c>
      <c r="G21" s="4">
        <v>17.6383</v>
      </c>
      <c r="H21" s="4">
        <v>20.3988</v>
      </c>
      <c r="I21" s="4">
        <v>14.4864</v>
      </c>
      <c r="J21" s="4">
        <v>13.0188</v>
      </c>
      <c r="K21" s="4">
        <v>10.3521</v>
      </c>
      <c r="L21" s="4">
        <v>10.2946</v>
      </c>
      <c r="M21" s="4">
        <v>12.1424</v>
      </c>
    </row>
    <row r="22">
      <c r="A22" s="3" t="s">
        <v>21</v>
      </c>
      <c r="B22" s="4">
        <v>8.8781</v>
      </c>
      <c r="C22" s="4">
        <v>10.012</v>
      </c>
      <c r="D22" s="4">
        <v>8.3994</v>
      </c>
      <c r="E22" s="4">
        <v>12.447</v>
      </c>
      <c r="F22" s="4">
        <v>14.5102</v>
      </c>
      <c r="G22" s="4">
        <v>8.8916</v>
      </c>
      <c r="H22" s="4">
        <v>124.3411</v>
      </c>
      <c r="I22" s="4">
        <v>-46.8352</v>
      </c>
      <c r="J22" s="4">
        <v>943.871</v>
      </c>
      <c r="K22" s="4">
        <v>12.1818</v>
      </c>
      <c r="L22" s="4">
        <v>11.7311</v>
      </c>
      <c r="M22" s="4">
        <v>10.1043</v>
      </c>
    </row>
    <row r="23">
      <c r="A23" s="3" t="s">
        <v>22</v>
      </c>
      <c r="B23" s="4">
        <v>38.0581</v>
      </c>
      <c r="C23" s="4">
        <v>40.614</v>
      </c>
      <c r="D23" s="4">
        <v>27.8499</v>
      </c>
      <c r="E23" s="4">
        <v>67.2647</v>
      </c>
      <c r="F23" s="4">
        <v>49.3884</v>
      </c>
      <c r="G23" s="4">
        <v>22.4331</v>
      </c>
      <c r="H23" s="4">
        <v>43.1757</v>
      </c>
      <c r="I23" s="4">
        <v>55.0444</v>
      </c>
      <c r="J23" s="4">
        <v>23.7138</v>
      </c>
      <c r="K23" s="4">
        <v>43.3571</v>
      </c>
      <c r="L23" s="4">
        <v>30.336</v>
      </c>
      <c r="M23" s="4">
        <v>37.7204</v>
      </c>
    </row>
    <row r="24">
      <c r="A24" s="3" t="s">
        <v>23</v>
      </c>
      <c r="B24" s="4">
        <v>8.5539</v>
      </c>
      <c r="C24" s="4">
        <v>12.1171</v>
      </c>
      <c r="D24" s="4">
        <v>66.868</v>
      </c>
      <c r="E24" s="4">
        <v>-14.508</v>
      </c>
      <c r="F24" s="4">
        <v>-8.1603</v>
      </c>
      <c r="G24" s="4">
        <v>-2.037</v>
      </c>
      <c r="H24" s="4">
        <v>-2.0532</v>
      </c>
      <c r="I24" s="4">
        <v>12.3753</v>
      </c>
      <c r="J24" s="4">
        <v>21.2375</v>
      </c>
      <c r="K24" s="4">
        <v>11.2788</v>
      </c>
      <c r="L24" s="4">
        <v>12.66</v>
      </c>
      <c r="M24" s="4">
        <v>9.1554</v>
      </c>
    </row>
    <row r="25">
      <c r="A25" s="3" t="s">
        <v>24</v>
      </c>
      <c r="B25" s="4">
        <v>56.2956</v>
      </c>
      <c r="C25" s="4">
        <v>-43.0663</v>
      </c>
      <c r="D25" s="4">
        <v>14.5746</v>
      </c>
      <c r="E25" s="4">
        <v>3.9328</v>
      </c>
      <c r="F25" s="4">
        <v>12.7305</v>
      </c>
      <c r="G25" s="4">
        <v>22.7445</v>
      </c>
      <c r="H25" s="4">
        <v>5.9356</v>
      </c>
      <c r="I25" s="4">
        <v>4.456</v>
      </c>
      <c r="J25" s="4">
        <v>-11.2532</v>
      </c>
      <c r="K25" s="4">
        <v>-46.1705</v>
      </c>
      <c r="L25" s="4">
        <v>-7.5012</v>
      </c>
      <c r="M25" s="4">
        <v>11.1921</v>
      </c>
    </row>
    <row r="26">
      <c r="A26" s="3" t="s">
        <v>25</v>
      </c>
      <c r="B26" s="4">
        <v>26.8608</v>
      </c>
      <c r="C26" s="4">
        <v>30.8512</v>
      </c>
      <c r="D26" s="4">
        <v>27.8305</v>
      </c>
      <c r="E26" s="4">
        <v>36.0818</v>
      </c>
      <c r="F26" s="4">
        <v>36.6463</v>
      </c>
      <c r="G26" s="4">
        <v>21.1515</v>
      </c>
      <c r="H26" s="4">
        <v>24.0867</v>
      </c>
      <c r="I26" s="4">
        <v>21.2333</v>
      </c>
      <c r="J26" s="4">
        <v>18.2228</v>
      </c>
      <c r="K26" s="4">
        <v>20.4258</v>
      </c>
      <c r="L26" s="4">
        <v>25.1312</v>
      </c>
      <c r="M26" s="4">
        <v>21.7902</v>
      </c>
    </row>
    <row r="27">
      <c r="A27" s="3" t="s">
        <v>26</v>
      </c>
      <c r="B27" s="4">
        <v>29.5417</v>
      </c>
      <c r="C27" s="4">
        <v>46.9017</v>
      </c>
      <c r="D27" s="4">
        <v>20.1214</v>
      </c>
      <c r="E27" s="4">
        <v>23.6781</v>
      </c>
      <c r="F27" s="4">
        <v>19.5744</v>
      </c>
      <c r="G27" s="4">
        <v>12.2257</v>
      </c>
      <c r="H27" s="4">
        <v>16.014</v>
      </c>
      <c r="I27" s="4">
        <v>14.8373</v>
      </c>
      <c r="J27" s="4">
        <v>14.2999</v>
      </c>
      <c r="K27" s="4">
        <v>13.7772</v>
      </c>
      <c r="L27" s="4">
        <v>22.9224</v>
      </c>
      <c r="M27" s="4">
        <v>13.7777</v>
      </c>
    </row>
    <row r="28">
      <c r="A28" s="3" t="s">
        <v>27</v>
      </c>
      <c r="B28" s="4">
        <v>81.4407</v>
      </c>
      <c r="C28" s="4">
        <v>96.5673</v>
      </c>
      <c r="D28" s="4">
        <v>68.6998</v>
      </c>
      <c r="E28" s="4">
        <v>103.559</v>
      </c>
      <c r="F28" s="4">
        <v>142.099</v>
      </c>
      <c r="G28" s="4">
        <v>55.204</v>
      </c>
      <c r="H28" s="4">
        <v>71.9027</v>
      </c>
      <c r="I28" s="4">
        <v>73.8196</v>
      </c>
      <c r="J28" s="4">
        <v>56.4627</v>
      </c>
      <c r="K28" s="4">
        <v>44.5789</v>
      </c>
      <c r="L28" s="4">
        <v>42.6551</v>
      </c>
      <c r="M28" s="4">
        <v>31.6969</v>
      </c>
    </row>
    <row r="29">
      <c r="A29" s="3" t="s">
        <v>28</v>
      </c>
      <c r="B29" s="4">
        <v>122.065</v>
      </c>
      <c r="C29" s="4">
        <v>94.4154</v>
      </c>
      <c r="D29" s="4">
        <v>109.92</v>
      </c>
      <c r="E29" s="4">
        <v>428.322</v>
      </c>
      <c r="F29" s="4">
        <v>-182.847</v>
      </c>
      <c r="G29" s="4">
        <v>135.751</v>
      </c>
      <c r="H29" s="4">
        <v>123.236</v>
      </c>
      <c r="I29" s="4">
        <v>132.118</v>
      </c>
      <c r="J29" s="4">
        <v>104.177</v>
      </c>
      <c r="K29" s="4">
        <v>961.242</v>
      </c>
      <c r="L29" s="4">
        <v>37.7274</v>
      </c>
      <c r="M29" s="4">
        <v>-183.566</v>
      </c>
    </row>
    <row r="30">
      <c r="A30" s="3" t="s">
        <v>29</v>
      </c>
      <c r="B30" s="4">
        <v>56.0375</v>
      </c>
      <c r="C30" s="4">
        <v>40.0948</v>
      </c>
      <c r="D30" s="4">
        <v>43.3867</v>
      </c>
      <c r="E30" s="4">
        <v>25.9274</v>
      </c>
      <c r="F30" s="4">
        <v>35.5718</v>
      </c>
      <c r="G30" s="4">
        <v>16.3079</v>
      </c>
      <c r="H30" s="4">
        <v>47.5964</v>
      </c>
      <c r="I30" s="4">
        <v>48.775</v>
      </c>
      <c r="J30" s="4">
        <v>40.3351</v>
      </c>
      <c r="K30" s="4">
        <v>35.7364</v>
      </c>
      <c r="L30" s="4">
        <v>37.5915</v>
      </c>
      <c r="M30" s="4">
        <v>27.2082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12">
        <v>2025.0</v>
      </c>
      <c r="C1" s="12">
        <v>2024.0</v>
      </c>
      <c r="D1" s="12">
        <v>2023.0</v>
      </c>
      <c r="E1" s="12">
        <v>2022.0</v>
      </c>
      <c r="F1" s="12">
        <v>2021.0</v>
      </c>
      <c r="G1" s="12">
        <v>2020.0</v>
      </c>
      <c r="H1" s="12">
        <v>2019.0</v>
      </c>
      <c r="I1" s="12">
        <v>2018.0</v>
      </c>
      <c r="J1" s="12">
        <v>2017.0</v>
      </c>
      <c r="K1" s="12">
        <v>2016.0</v>
      </c>
      <c r="L1" s="12">
        <v>2015.0</v>
      </c>
      <c r="M1" s="12">
        <v>2014.0</v>
      </c>
    </row>
    <row r="2">
      <c r="A2" s="3" t="s">
        <v>1</v>
      </c>
      <c r="B2" s="4">
        <v>8.22</v>
      </c>
      <c r="C2" s="4">
        <v>10.85</v>
      </c>
      <c r="D2" s="4">
        <v>6.55</v>
      </c>
      <c r="E2" s="4">
        <v>10.26</v>
      </c>
      <c r="F2" s="4">
        <v>11.38</v>
      </c>
      <c r="G2" s="4">
        <v>4.3</v>
      </c>
      <c r="H2" s="4">
        <v>7.17</v>
      </c>
      <c r="I2" s="4">
        <v>6.49</v>
      </c>
      <c r="J2" s="4">
        <v>8.34</v>
      </c>
      <c r="K2" s="4">
        <v>7.22</v>
      </c>
      <c r="L2" s="4">
        <v>10.37</v>
      </c>
      <c r="M2" s="4">
        <v>8.05</v>
      </c>
    </row>
    <row r="3">
      <c r="A3" s="3" t="s">
        <v>2</v>
      </c>
      <c r="B3" s="4">
        <v>6.61</v>
      </c>
      <c r="C3" s="4">
        <v>7.69</v>
      </c>
      <c r="D3" s="4">
        <v>7.68</v>
      </c>
      <c r="E3" s="4">
        <v>10.16</v>
      </c>
      <c r="F3" s="4">
        <v>11.21</v>
      </c>
      <c r="G3" s="4">
        <v>7.91</v>
      </c>
      <c r="H3" s="4">
        <v>7.44</v>
      </c>
      <c r="I3" s="4">
        <v>6.39</v>
      </c>
      <c r="J3" s="4">
        <v>6.82</v>
      </c>
      <c r="K3" s="4">
        <v>5.84</v>
      </c>
      <c r="L3" s="4">
        <v>5.47</v>
      </c>
      <c r="M3" s="4">
        <v>4.12</v>
      </c>
    </row>
    <row r="4">
      <c r="A4" s="3" t="s">
        <v>3</v>
      </c>
      <c r="B4" s="4">
        <v>2.68</v>
      </c>
      <c r="C4" s="4">
        <v>2.87</v>
      </c>
      <c r="D4" s="4">
        <v>3.02</v>
      </c>
      <c r="E4" s="4">
        <v>3.39</v>
      </c>
      <c r="F4" s="4">
        <v>3.3</v>
      </c>
      <c r="G4" s="4">
        <v>1.68</v>
      </c>
      <c r="H4" s="4">
        <v>3.56</v>
      </c>
      <c r="I4" s="4">
        <v>2.8</v>
      </c>
      <c r="J4" s="4">
        <v>2.6</v>
      </c>
      <c r="K4" s="4">
        <v>2.56</v>
      </c>
      <c r="L4" s="4">
        <v>3.72</v>
      </c>
      <c r="M4" s="4">
        <v>2.23</v>
      </c>
    </row>
    <row r="5">
      <c r="A5" s="3" t="s">
        <v>4</v>
      </c>
      <c r="B5" s="4">
        <v>2.39</v>
      </c>
      <c r="C5" s="4">
        <v>2.37</v>
      </c>
      <c r="D5" s="4">
        <v>2.46</v>
      </c>
      <c r="E5" s="4">
        <v>3.97</v>
      </c>
      <c r="F5" s="4">
        <v>2.54</v>
      </c>
      <c r="G5" s="4">
        <v>1.34</v>
      </c>
      <c r="H5" s="4">
        <v>2.63</v>
      </c>
      <c r="I5" s="4">
        <v>2.51</v>
      </c>
      <c r="J5" s="4">
        <v>2.65</v>
      </c>
      <c r="K5" s="4">
        <v>2.87</v>
      </c>
      <c r="L5" s="4">
        <v>2.91</v>
      </c>
      <c r="M5" s="4">
        <v>2.09</v>
      </c>
    </row>
    <row r="6">
      <c r="A6" s="3" t="s">
        <v>5</v>
      </c>
      <c r="B6" s="4">
        <v>7.97</v>
      </c>
      <c r="C6" s="4">
        <v>8.14</v>
      </c>
      <c r="D6" s="4">
        <v>8.2</v>
      </c>
      <c r="E6" s="4">
        <v>13.84</v>
      </c>
      <c r="F6" s="4">
        <v>11.62</v>
      </c>
      <c r="G6" s="4">
        <v>5.04</v>
      </c>
      <c r="H6" s="4">
        <v>9.44</v>
      </c>
      <c r="I6" s="4">
        <v>7.57</v>
      </c>
      <c r="J6" s="4">
        <v>6.44</v>
      </c>
      <c r="K6" s="4">
        <v>5.08</v>
      </c>
      <c r="L6" s="4">
        <v>3.81</v>
      </c>
      <c r="M6" s="4">
        <v>2.05</v>
      </c>
    </row>
    <row r="7">
      <c r="A7" s="3" t="s">
        <v>6</v>
      </c>
      <c r="B7" s="4">
        <v>9.26</v>
      </c>
      <c r="C7" s="4">
        <v>7.27</v>
      </c>
      <c r="D7" s="4">
        <v>4.02</v>
      </c>
      <c r="E7" s="4">
        <v>3.34</v>
      </c>
      <c r="F7" s="4">
        <v>2.16</v>
      </c>
      <c r="G7" s="4">
        <v>1.4</v>
      </c>
      <c r="H7" s="4">
        <v>1.87</v>
      </c>
      <c r="I7" s="4">
        <v>3.33</v>
      </c>
      <c r="J7" s="4">
        <v>4.03</v>
      </c>
      <c r="K7" s="4">
        <v>3.98</v>
      </c>
      <c r="L7" s="4">
        <v>3.78</v>
      </c>
      <c r="M7" s="4">
        <v>1.4</v>
      </c>
    </row>
    <row r="8">
      <c r="A8" s="3" t="s">
        <v>7</v>
      </c>
      <c r="B8" s="4">
        <v>5.8</v>
      </c>
      <c r="C8" s="4">
        <v>4.71</v>
      </c>
      <c r="D8" s="4">
        <v>3.05</v>
      </c>
      <c r="E8" s="4">
        <v>3.62</v>
      </c>
      <c r="F8" s="4">
        <v>2.82</v>
      </c>
      <c r="G8" s="4">
        <v>2.75</v>
      </c>
      <c r="H8" s="4">
        <v>1.65</v>
      </c>
      <c r="I8" s="4">
        <v>1.9</v>
      </c>
      <c r="J8" s="4">
        <v>1.46</v>
      </c>
      <c r="K8" s="4">
        <v>1.45</v>
      </c>
      <c r="L8" s="4">
        <v>1.64</v>
      </c>
      <c r="M8" s="4">
        <v>1.46</v>
      </c>
    </row>
    <row r="9">
      <c r="A9" s="3" t="s">
        <v>8</v>
      </c>
      <c r="B9" s="4">
        <v>3.69</v>
      </c>
      <c r="C9" s="4">
        <v>3.81</v>
      </c>
      <c r="D9" s="4">
        <v>2.91</v>
      </c>
      <c r="E9" s="4">
        <v>3.69</v>
      </c>
      <c r="F9" s="4">
        <v>3.54</v>
      </c>
      <c r="G9" s="4">
        <v>1.68</v>
      </c>
      <c r="H9" s="4">
        <v>2.44</v>
      </c>
      <c r="I9" s="4">
        <v>2.66</v>
      </c>
      <c r="J9" s="4">
        <v>2.62</v>
      </c>
      <c r="K9" s="4">
        <v>3.69</v>
      </c>
      <c r="L9" s="4">
        <v>3.53</v>
      </c>
      <c r="M9" s="4">
        <v>3.26</v>
      </c>
    </row>
    <row r="10">
      <c r="A10" s="3" t="s">
        <v>9</v>
      </c>
      <c r="B10" s="4">
        <v>4.66</v>
      </c>
      <c r="C10" s="4">
        <v>4.26</v>
      </c>
      <c r="D10" s="4">
        <v>5.56</v>
      </c>
      <c r="E10" s="4">
        <v>6.38</v>
      </c>
      <c r="F10" s="4">
        <v>6.81</v>
      </c>
      <c r="G10" s="4">
        <v>4.12</v>
      </c>
      <c r="H10" s="4">
        <v>6.37</v>
      </c>
      <c r="I10" s="4">
        <v>6.12</v>
      </c>
      <c r="J10" s="4">
        <v>5.33</v>
      </c>
      <c r="K10" s="4">
        <v>4.5</v>
      </c>
      <c r="L10" s="4">
        <v>5.29</v>
      </c>
      <c r="M10" s="4">
        <v>4.37</v>
      </c>
    </row>
    <row r="11">
      <c r="A11" s="3" t="s">
        <v>10</v>
      </c>
      <c r="B11" s="4">
        <v>8.41</v>
      </c>
      <c r="C11" s="4">
        <v>8.61</v>
      </c>
      <c r="D11" s="4">
        <v>9.93</v>
      </c>
      <c r="E11" s="4">
        <v>9.18</v>
      </c>
      <c r="F11" s="4">
        <v>12.15</v>
      </c>
      <c r="G11" s="4">
        <v>12.48</v>
      </c>
      <c r="H11" s="4">
        <v>9.38</v>
      </c>
      <c r="I11" s="4">
        <v>8.12</v>
      </c>
      <c r="J11" s="4">
        <v>5.93</v>
      </c>
      <c r="K11" s="4">
        <v>5.84</v>
      </c>
      <c r="L11" s="4">
        <v>5.91</v>
      </c>
      <c r="M11" s="4">
        <v>4.47</v>
      </c>
    </row>
    <row r="12">
      <c r="A12" s="3" t="s">
        <v>11</v>
      </c>
      <c r="B12" s="4">
        <v>5.15</v>
      </c>
      <c r="C12" s="4">
        <v>4.82</v>
      </c>
      <c r="D12" s="4">
        <v>5.06</v>
      </c>
      <c r="E12" s="4">
        <v>5.32</v>
      </c>
      <c r="F12" s="4">
        <v>4.51</v>
      </c>
      <c r="G12" s="4">
        <v>2.48</v>
      </c>
      <c r="H12" s="4">
        <v>3.57</v>
      </c>
      <c r="I12" s="4">
        <v>2.88</v>
      </c>
      <c r="J12" s="4">
        <v>2.65</v>
      </c>
      <c r="K12" s="4">
        <v>2.32</v>
      </c>
      <c r="L12" s="4">
        <v>3.33</v>
      </c>
      <c r="M12" s="4">
        <v>2.91</v>
      </c>
    </row>
    <row r="13">
      <c r="A13" s="3" t="s">
        <v>12</v>
      </c>
      <c r="B13" s="4">
        <v>3.99</v>
      </c>
      <c r="C13" s="4">
        <v>4.04</v>
      </c>
      <c r="D13" s="4">
        <v>4.03</v>
      </c>
      <c r="E13" s="4">
        <v>6.58</v>
      </c>
      <c r="F13" s="4">
        <v>5.78</v>
      </c>
      <c r="G13" s="4">
        <v>2.99</v>
      </c>
      <c r="H13" s="4">
        <v>3.9</v>
      </c>
      <c r="I13" s="4">
        <v>3.5</v>
      </c>
      <c r="J13" s="4">
        <v>3.41</v>
      </c>
      <c r="K13" s="4">
        <v>4.46</v>
      </c>
      <c r="L13" s="4">
        <v>4.76</v>
      </c>
      <c r="M13" s="4">
        <v>3.74</v>
      </c>
    </row>
    <row r="14">
      <c r="A14" s="3" t="s">
        <v>13</v>
      </c>
      <c r="B14" s="4">
        <v>6.81</v>
      </c>
      <c r="C14" s="4">
        <v>7.55</v>
      </c>
      <c r="D14" s="4">
        <v>6.72</v>
      </c>
      <c r="E14" s="4">
        <v>5.09</v>
      </c>
      <c r="F14" s="4">
        <v>5.46</v>
      </c>
      <c r="G14" s="4">
        <v>4.28</v>
      </c>
      <c r="H14" s="4">
        <v>7.52</v>
      </c>
      <c r="I14" s="4">
        <v>7.19</v>
      </c>
      <c r="J14" s="4">
        <v>7.96</v>
      </c>
      <c r="K14" s="4">
        <v>6.74</v>
      </c>
      <c r="L14" s="4">
        <v>6.72</v>
      </c>
      <c r="M14" s="4">
        <v>7.95</v>
      </c>
    </row>
    <row r="15">
      <c r="A15" s="3" t="s">
        <v>14</v>
      </c>
      <c r="B15" s="4">
        <v>6.57</v>
      </c>
      <c r="C15" s="4">
        <v>6.31</v>
      </c>
      <c r="D15" s="4">
        <v>8.17</v>
      </c>
      <c r="E15" s="4">
        <v>10.32</v>
      </c>
      <c r="F15" s="4">
        <v>10.59</v>
      </c>
      <c r="G15" s="4">
        <v>7.41</v>
      </c>
      <c r="H15" s="4">
        <v>8.52</v>
      </c>
      <c r="I15" s="4">
        <v>7.95</v>
      </c>
      <c r="J15" s="4">
        <v>7.19</v>
      </c>
      <c r="K15" s="4">
        <v>6.12</v>
      </c>
      <c r="L15" s="4">
        <v>7.61</v>
      </c>
      <c r="M15" s="4">
        <v>5.0</v>
      </c>
    </row>
    <row r="16">
      <c r="A16" s="3" t="s">
        <v>15</v>
      </c>
      <c r="B16" s="4">
        <v>1.88</v>
      </c>
      <c r="C16" s="4">
        <v>2.35</v>
      </c>
      <c r="D16" s="4">
        <v>1.66</v>
      </c>
      <c r="E16" s="4">
        <v>1.59</v>
      </c>
      <c r="F16" s="4">
        <v>1.47</v>
      </c>
      <c r="G16" s="4">
        <v>0.78</v>
      </c>
      <c r="H16" s="4">
        <v>1.44</v>
      </c>
      <c r="I16" s="4">
        <v>1.54</v>
      </c>
      <c r="J16" s="4">
        <v>1.35</v>
      </c>
      <c r="K16" s="4">
        <v>1.12</v>
      </c>
      <c r="L16" s="4">
        <v>1.74</v>
      </c>
      <c r="M16" s="4">
        <v>1.39</v>
      </c>
    </row>
    <row r="17">
      <c r="A17" s="3" t="s">
        <v>16</v>
      </c>
      <c r="B17" s="4">
        <v>1.87</v>
      </c>
      <c r="C17" s="4">
        <v>1.55</v>
      </c>
      <c r="D17" s="4">
        <v>1.06</v>
      </c>
      <c r="E17" s="4">
        <v>0.99</v>
      </c>
      <c r="F17" s="4">
        <v>1.19</v>
      </c>
      <c r="G17" s="4">
        <v>0.42</v>
      </c>
      <c r="H17" s="4">
        <v>0.7</v>
      </c>
      <c r="I17" s="4">
        <v>0.87</v>
      </c>
      <c r="J17" s="4">
        <v>0.83</v>
      </c>
      <c r="K17" s="4">
        <v>0.86</v>
      </c>
      <c r="L17" s="4">
        <v>0.98</v>
      </c>
      <c r="M17" s="4">
        <v>0.78</v>
      </c>
    </row>
    <row r="18">
      <c r="A18" s="3" t="s">
        <v>17</v>
      </c>
      <c r="B18" s="4">
        <v>2.37</v>
      </c>
      <c r="C18" s="4">
        <v>2.8</v>
      </c>
      <c r="D18" s="4">
        <v>2.13</v>
      </c>
      <c r="E18" s="4">
        <v>2.58</v>
      </c>
      <c r="F18" s="4">
        <v>2.94</v>
      </c>
      <c r="G18" s="4">
        <v>1.71</v>
      </c>
      <c r="H18" s="4">
        <v>2.34</v>
      </c>
      <c r="I18" s="4">
        <v>3.35</v>
      </c>
      <c r="J18" s="4">
        <v>2.67</v>
      </c>
      <c r="K18" s="4">
        <v>1.95</v>
      </c>
      <c r="L18" s="4">
        <v>2.2</v>
      </c>
      <c r="M18" s="4">
        <v>1.34</v>
      </c>
    </row>
    <row r="19">
      <c r="A19" s="3" t="s">
        <v>18</v>
      </c>
      <c r="B19" s="4">
        <v>1.84</v>
      </c>
      <c r="C19" s="4">
        <v>1.82</v>
      </c>
      <c r="D19" s="4">
        <v>0.96</v>
      </c>
      <c r="E19" s="4">
        <v>0.99</v>
      </c>
      <c r="F19" s="4">
        <v>0.93</v>
      </c>
      <c r="G19" s="4">
        <v>0.76</v>
      </c>
      <c r="H19" s="4">
        <v>1.34</v>
      </c>
      <c r="I19" s="4">
        <v>1.59</v>
      </c>
      <c r="J19" s="4">
        <v>1.67</v>
      </c>
      <c r="K19" s="4">
        <v>1.45</v>
      </c>
      <c r="L19" s="4">
        <v>1.51</v>
      </c>
      <c r="M19" s="4">
        <v>1.25</v>
      </c>
    </row>
    <row r="20">
      <c r="A20" s="3" t="s">
        <v>19</v>
      </c>
      <c r="B20" s="4">
        <v>5.9</v>
      </c>
      <c r="C20" s="4">
        <v>5.62</v>
      </c>
      <c r="D20" s="4">
        <v>3.45</v>
      </c>
      <c r="E20" s="4">
        <v>3.63</v>
      </c>
      <c r="F20" s="4">
        <v>2.85</v>
      </c>
      <c r="G20" s="4">
        <v>2.2</v>
      </c>
      <c r="H20" s="4">
        <v>2.96</v>
      </c>
      <c r="I20" s="4">
        <v>3.39</v>
      </c>
      <c r="J20" s="4">
        <v>4.01</v>
      </c>
      <c r="K20" s="4">
        <v>3.52</v>
      </c>
      <c r="L20" s="4">
        <v>4.3</v>
      </c>
      <c r="M20" s="4">
        <v>3.51</v>
      </c>
    </row>
    <row r="21">
      <c r="A21" s="3" t="s">
        <v>20</v>
      </c>
      <c r="B21" s="4">
        <v>1.79</v>
      </c>
      <c r="C21" s="4">
        <v>2.24</v>
      </c>
      <c r="D21" s="4">
        <v>1.8</v>
      </c>
      <c r="E21" s="4">
        <v>2.55</v>
      </c>
      <c r="F21" s="4">
        <v>2.77</v>
      </c>
      <c r="G21" s="4">
        <v>1.18</v>
      </c>
      <c r="H21" s="4">
        <v>1.42</v>
      </c>
      <c r="I21" s="4">
        <v>1.33</v>
      </c>
      <c r="J21" s="4">
        <v>1.28</v>
      </c>
      <c r="K21" s="4">
        <v>1.12</v>
      </c>
      <c r="L21" s="4">
        <v>0.65</v>
      </c>
      <c r="M21" s="4">
        <v>0.63</v>
      </c>
    </row>
    <row r="22">
      <c r="A22" s="3" t="s">
        <v>21</v>
      </c>
      <c r="B22" s="4">
        <v>1.4</v>
      </c>
      <c r="C22" s="4">
        <v>1.53</v>
      </c>
      <c r="D22" s="4">
        <v>1.33</v>
      </c>
      <c r="E22" s="4">
        <v>1.52</v>
      </c>
      <c r="F22" s="4">
        <v>1.17</v>
      </c>
      <c r="G22" s="4">
        <v>0.65</v>
      </c>
      <c r="H22" s="4">
        <v>1.13</v>
      </c>
      <c r="I22" s="4">
        <v>0.97</v>
      </c>
      <c r="J22" s="4">
        <v>1.01</v>
      </c>
      <c r="K22" s="4">
        <v>0.68</v>
      </c>
      <c r="L22" s="4">
        <v>0.96</v>
      </c>
      <c r="M22" s="4">
        <v>0.76</v>
      </c>
    </row>
    <row r="23">
      <c r="A23" s="3" t="s">
        <v>22</v>
      </c>
      <c r="B23" s="4">
        <v>7.92</v>
      </c>
      <c r="C23" s="4">
        <v>8.02</v>
      </c>
      <c r="D23" s="4">
        <v>5.37</v>
      </c>
      <c r="E23" s="4">
        <v>5.68</v>
      </c>
      <c r="F23" s="4">
        <v>4.28</v>
      </c>
      <c r="G23" s="4">
        <v>2.57</v>
      </c>
      <c r="H23" s="4">
        <v>3.96</v>
      </c>
      <c r="I23" s="4">
        <v>4.5</v>
      </c>
      <c r="J23" s="4">
        <v>5.27</v>
      </c>
      <c r="K23" s="4">
        <v>6.92</v>
      </c>
      <c r="L23" s="4">
        <v>7.72</v>
      </c>
      <c r="M23" s="4">
        <v>7.38</v>
      </c>
    </row>
    <row r="24">
      <c r="A24" s="3" t="s">
        <v>23</v>
      </c>
      <c r="B24" s="4">
        <v>0.56</v>
      </c>
      <c r="C24" s="4">
        <v>0.87</v>
      </c>
      <c r="D24" s="4">
        <v>0.47</v>
      </c>
      <c r="E24" s="4">
        <v>0.6</v>
      </c>
      <c r="F24" s="4">
        <v>0.46</v>
      </c>
      <c r="G24" s="4">
        <v>0.1</v>
      </c>
      <c r="H24" s="4">
        <v>0.2</v>
      </c>
      <c r="I24" s="4">
        <v>0.38</v>
      </c>
      <c r="J24" s="4">
        <v>0.59</v>
      </c>
      <c r="K24" s="4">
        <v>0.48</v>
      </c>
      <c r="L24" s="4">
        <v>0.67</v>
      </c>
      <c r="M24" s="4">
        <v>0.55</v>
      </c>
    </row>
    <row r="25">
      <c r="A25" s="3" t="s">
        <v>24</v>
      </c>
      <c r="B25" s="4">
        <v>0.88</v>
      </c>
      <c r="C25" s="4">
        <v>0.85</v>
      </c>
      <c r="D25" s="4">
        <v>0.52</v>
      </c>
      <c r="E25" s="4">
        <v>0.65</v>
      </c>
      <c r="F25" s="4">
        <v>0.62</v>
      </c>
      <c r="G25" s="4">
        <v>0.21</v>
      </c>
      <c r="H25" s="4">
        <v>0.38</v>
      </c>
      <c r="I25" s="4">
        <v>0.49</v>
      </c>
      <c r="J25" s="4">
        <v>0.42</v>
      </c>
      <c r="K25" s="4">
        <v>0.29</v>
      </c>
      <c r="L25" s="4">
        <v>0.22</v>
      </c>
      <c r="M25" s="4">
        <v>0.26</v>
      </c>
    </row>
    <row r="26">
      <c r="A26" s="3" t="s">
        <v>25</v>
      </c>
      <c r="B26" s="4">
        <v>5.11</v>
      </c>
      <c r="C26" s="4">
        <v>5.84</v>
      </c>
      <c r="D26" s="4">
        <v>5.2</v>
      </c>
      <c r="E26" s="4">
        <v>7.14</v>
      </c>
      <c r="F26" s="4">
        <v>7.16</v>
      </c>
      <c r="G26" s="4">
        <v>4.36</v>
      </c>
      <c r="H26" s="4">
        <v>5.12</v>
      </c>
      <c r="I26" s="4">
        <v>4.42</v>
      </c>
      <c r="J26" s="4">
        <v>4.06</v>
      </c>
      <c r="K26" s="4">
        <v>4.56</v>
      </c>
      <c r="L26" s="4">
        <v>5.27</v>
      </c>
      <c r="M26" s="4">
        <v>5.1</v>
      </c>
    </row>
    <row r="27">
      <c r="A27" s="3" t="s">
        <v>26</v>
      </c>
      <c r="B27" s="4">
        <v>2.37</v>
      </c>
      <c r="C27" s="4">
        <v>2.12</v>
      </c>
      <c r="D27" s="4">
        <v>1.82</v>
      </c>
      <c r="E27" s="4">
        <v>2.95</v>
      </c>
      <c r="F27" s="4">
        <v>2.29</v>
      </c>
      <c r="G27" s="4">
        <v>1.34</v>
      </c>
      <c r="H27" s="4">
        <v>1.98</v>
      </c>
      <c r="I27" s="4">
        <v>1.83</v>
      </c>
      <c r="J27" s="4">
        <v>1.38</v>
      </c>
      <c r="K27" s="4">
        <v>1.56</v>
      </c>
      <c r="L27" s="4">
        <v>2.67</v>
      </c>
      <c r="M27" s="4">
        <v>2.23</v>
      </c>
    </row>
    <row r="28">
      <c r="A28" s="3" t="s">
        <v>27</v>
      </c>
      <c r="B28" s="4">
        <v>4.51</v>
      </c>
      <c r="C28" s="4">
        <v>6.63</v>
      </c>
      <c r="D28" s="4">
        <v>5.52</v>
      </c>
      <c r="E28" s="4">
        <v>7.84</v>
      </c>
      <c r="F28" s="4">
        <v>6.4</v>
      </c>
      <c r="G28" s="4">
        <v>3.94</v>
      </c>
      <c r="H28" s="4">
        <v>5.11</v>
      </c>
      <c r="I28" s="4">
        <v>5.18</v>
      </c>
      <c r="J28" s="4">
        <v>3.09</v>
      </c>
      <c r="K28" s="4">
        <v>2.67</v>
      </c>
      <c r="L28" s="4">
        <v>2.92</v>
      </c>
      <c r="M28" s="4">
        <v>2.13</v>
      </c>
    </row>
    <row r="29">
      <c r="A29" s="3" t="s">
        <v>28</v>
      </c>
      <c r="B29" s="4">
        <v>11.02</v>
      </c>
      <c r="C29" s="4">
        <v>11.34</v>
      </c>
      <c r="D29" s="4">
        <v>5.93</v>
      </c>
      <c r="E29" s="4">
        <v>10.09</v>
      </c>
      <c r="F29" s="4">
        <v>10.3</v>
      </c>
      <c r="G29" s="4">
        <v>4.89</v>
      </c>
      <c r="H29" s="4">
        <v>4.55</v>
      </c>
      <c r="I29" s="4">
        <v>5.33</v>
      </c>
      <c r="J29" s="4">
        <v>4.87</v>
      </c>
      <c r="K29" s="4">
        <v>3.32</v>
      </c>
      <c r="L29" s="4">
        <v>2.14</v>
      </c>
      <c r="M29" s="4">
        <v>1.44</v>
      </c>
    </row>
    <row r="30">
      <c r="A30" s="3" t="s">
        <v>29</v>
      </c>
      <c r="B30" s="4">
        <v>4.46</v>
      </c>
      <c r="C30" s="4">
        <v>3.97</v>
      </c>
      <c r="D30" s="4">
        <v>3.48</v>
      </c>
      <c r="E30" s="4">
        <v>3.62</v>
      </c>
      <c r="F30" s="4">
        <v>4.35</v>
      </c>
      <c r="G30" s="4">
        <v>2.21</v>
      </c>
      <c r="H30" s="4">
        <v>2.64</v>
      </c>
      <c r="I30" s="4">
        <v>3.5</v>
      </c>
      <c r="J30" s="4">
        <v>4.32</v>
      </c>
      <c r="K30" s="4">
        <v>3.52</v>
      </c>
      <c r="L30" s="4">
        <v>3.24</v>
      </c>
      <c r="M30" s="4">
        <v>2.77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12">
        <v>2025.0</v>
      </c>
      <c r="C1" s="12">
        <v>2024.0</v>
      </c>
      <c r="D1" s="12">
        <v>2023.0</v>
      </c>
      <c r="E1" s="12">
        <v>2022.0</v>
      </c>
      <c r="F1" s="12">
        <v>2021.0</v>
      </c>
      <c r="G1" s="12">
        <v>2020.0</v>
      </c>
      <c r="H1" s="12">
        <v>2019.0</v>
      </c>
      <c r="I1" s="12">
        <v>2018.0</v>
      </c>
      <c r="J1" s="12">
        <v>2017.0</v>
      </c>
      <c r="K1" s="12">
        <v>2016.0</v>
      </c>
      <c r="L1" s="12">
        <v>2015.0</v>
      </c>
      <c r="M1" s="12">
        <v>2014.0</v>
      </c>
      <c r="N1" s="14"/>
    </row>
    <row r="2">
      <c r="A2" s="3" t="s">
        <v>1</v>
      </c>
      <c r="B2" s="4">
        <v>0.9</v>
      </c>
      <c r="C2" s="4">
        <v>1.06</v>
      </c>
      <c r="D2" s="4">
        <v>1.35</v>
      </c>
      <c r="E2" s="4">
        <v>1.6</v>
      </c>
      <c r="F2" s="4">
        <v>1.78</v>
      </c>
      <c r="G2" s="4">
        <v>1.93</v>
      </c>
      <c r="H2" s="4">
        <v>1.41</v>
      </c>
      <c r="I2" s="4">
        <v>3.56</v>
      </c>
      <c r="J2" s="4">
        <v>1.82</v>
      </c>
      <c r="K2" s="4">
        <v>0.89</v>
      </c>
      <c r="L2" s="4">
        <v>1.25</v>
      </c>
      <c r="M2" s="4">
        <v>2.2</v>
      </c>
      <c r="N2" s="4"/>
    </row>
    <row r="3">
      <c r="A3" s="3" t="s">
        <v>2</v>
      </c>
      <c r="B3" s="4">
        <v>2.09</v>
      </c>
      <c r="C3" s="4">
        <v>2.06</v>
      </c>
      <c r="D3" s="4">
        <v>2.09</v>
      </c>
      <c r="E3" s="4">
        <v>2.0</v>
      </c>
      <c r="F3" s="4">
        <v>2.03</v>
      </c>
      <c r="G3" s="4">
        <v>1.73</v>
      </c>
      <c r="H3" s="4">
        <v>1.47</v>
      </c>
      <c r="I3" s="4">
        <v>1.55</v>
      </c>
      <c r="J3" s="4">
        <v>1.79</v>
      </c>
      <c r="K3" s="4">
        <v>1.82</v>
      </c>
      <c r="L3" s="4">
        <v>1.52</v>
      </c>
      <c r="M3" s="4">
        <v>1.48</v>
      </c>
      <c r="N3" s="4"/>
    </row>
    <row r="4">
      <c r="A4" s="3" t="s">
        <v>3</v>
      </c>
      <c r="B4" s="4">
        <v>1.124</v>
      </c>
      <c r="C4" s="4">
        <v>1.113</v>
      </c>
      <c r="D4" s="4">
        <v>1.102</v>
      </c>
      <c r="E4" s="4">
        <v>1.105</v>
      </c>
      <c r="F4" s="4">
        <v>1.109</v>
      </c>
      <c r="G4" s="4">
        <v>1.097</v>
      </c>
      <c r="H4" s="4">
        <v>1.085</v>
      </c>
      <c r="I4" s="4">
        <v>1.094</v>
      </c>
      <c r="J4" s="4">
        <v>1.095</v>
      </c>
      <c r="K4" s="4">
        <v>1.104</v>
      </c>
      <c r="L4" s="4">
        <v>1.101</v>
      </c>
      <c r="M4" s="4">
        <v>1.103</v>
      </c>
      <c r="N4" s="4"/>
    </row>
    <row r="5">
      <c r="A5" s="3" t="s">
        <v>4</v>
      </c>
      <c r="B5" s="4">
        <v>1.24</v>
      </c>
      <c r="C5" s="4">
        <v>2.1</v>
      </c>
      <c r="D5" s="4">
        <v>2.06</v>
      </c>
      <c r="E5" s="4">
        <v>2.04</v>
      </c>
      <c r="F5" s="4">
        <v>1.95</v>
      </c>
      <c r="G5" s="4">
        <v>1.92</v>
      </c>
      <c r="H5" s="4">
        <v>1.87</v>
      </c>
      <c r="I5" s="4">
        <v>2.46</v>
      </c>
      <c r="J5" s="4">
        <v>1.16</v>
      </c>
      <c r="K5" s="4">
        <v>1.36</v>
      </c>
      <c r="L5" s="4">
        <v>1.02</v>
      </c>
      <c r="M5" s="4">
        <v>0.87</v>
      </c>
      <c r="N5" s="4"/>
    </row>
    <row r="6">
      <c r="A6" s="3" t="s">
        <v>5</v>
      </c>
      <c r="B6" s="4">
        <v>1.26</v>
      </c>
      <c r="C6" s="4">
        <v>1.24</v>
      </c>
      <c r="D6" s="4">
        <v>1.23</v>
      </c>
      <c r="E6" s="4">
        <v>1.25</v>
      </c>
      <c r="F6" s="4">
        <v>1.26</v>
      </c>
      <c r="G6" s="4">
        <v>1.23</v>
      </c>
      <c r="H6" s="4">
        <v>1.18</v>
      </c>
      <c r="I6" s="4">
        <v>1.66</v>
      </c>
      <c r="J6" s="4">
        <v>1.55</v>
      </c>
      <c r="K6" s="4">
        <v>1.57</v>
      </c>
      <c r="L6" s="4">
        <v>1.48</v>
      </c>
      <c r="M6" s="4">
        <v>1.03</v>
      </c>
      <c r="N6" s="4"/>
    </row>
    <row r="7">
      <c r="A7" s="3" t="s">
        <v>6</v>
      </c>
      <c r="B7" s="4">
        <v>1.76</v>
      </c>
      <c r="C7" s="4">
        <v>1.55</v>
      </c>
      <c r="D7" s="4">
        <v>1.46</v>
      </c>
      <c r="E7" s="4">
        <v>1.39</v>
      </c>
      <c r="F7" s="4">
        <v>1.41</v>
      </c>
      <c r="G7" s="4">
        <v>1.46</v>
      </c>
      <c r="H7" s="4">
        <v>1.52</v>
      </c>
      <c r="I7" s="4">
        <v>1.45</v>
      </c>
      <c r="J7" s="4">
        <v>1.61</v>
      </c>
      <c r="K7" s="4">
        <v>1.87</v>
      </c>
      <c r="L7" s="4">
        <v>2.01</v>
      </c>
      <c r="M7" s="4">
        <v>1.86</v>
      </c>
      <c r="N7" s="4"/>
    </row>
    <row r="8">
      <c r="A8" s="3" t="s">
        <v>7</v>
      </c>
      <c r="B8" s="4">
        <v>0.37</v>
      </c>
      <c r="C8" s="4">
        <v>0.42</v>
      </c>
      <c r="D8" s="4">
        <v>0.47</v>
      </c>
      <c r="E8" s="4">
        <v>0.46</v>
      </c>
      <c r="F8" s="4">
        <v>0.49</v>
      </c>
      <c r="G8" s="4">
        <v>0.58</v>
      </c>
      <c r="H8" s="4">
        <v>0.35</v>
      </c>
      <c r="I8" s="4">
        <v>0.43</v>
      </c>
      <c r="J8" s="4">
        <v>0.29</v>
      </c>
      <c r="K8" s="4">
        <v>0.39</v>
      </c>
      <c r="L8" s="4">
        <v>0.33</v>
      </c>
      <c r="M8" s="4">
        <v>0.39</v>
      </c>
      <c r="N8" s="4"/>
    </row>
    <row r="9">
      <c r="A9" s="3" t="s">
        <v>8</v>
      </c>
      <c r="B9" s="4">
        <v>2.22</v>
      </c>
      <c r="C9" s="4">
        <v>2.61</v>
      </c>
      <c r="D9" s="4">
        <v>2.5</v>
      </c>
      <c r="E9" s="4">
        <v>2.56</v>
      </c>
      <c r="F9" s="4">
        <v>2.48</v>
      </c>
      <c r="G9" s="4">
        <v>1.62</v>
      </c>
      <c r="H9" s="4">
        <v>2.42</v>
      </c>
      <c r="I9" s="4">
        <v>2.43</v>
      </c>
      <c r="J9" s="4">
        <v>2.33</v>
      </c>
      <c r="K9" s="4">
        <v>2.54</v>
      </c>
      <c r="L9" s="4">
        <v>2.32</v>
      </c>
      <c r="M9" s="4">
        <v>2.09</v>
      </c>
      <c r="N9" s="4"/>
    </row>
    <row r="10">
      <c r="A10" s="3" t="s">
        <v>9</v>
      </c>
      <c r="B10" s="4">
        <v>1.04</v>
      </c>
      <c r="C10" s="4">
        <v>1.09</v>
      </c>
      <c r="D10" s="4">
        <v>0.92</v>
      </c>
      <c r="E10" s="4">
        <v>0.92</v>
      </c>
      <c r="F10" s="4">
        <v>0.9</v>
      </c>
      <c r="G10" s="4">
        <v>0.9</v>
      </c>
      <c r="H10" s="4">
        <v>0.96</v>
      </c>
      <c r="I10" s="4">
        <v>0.96</v>
      </c>
      <c r="J10" s="4">
        <v>0.91</v>
      </c>
      <c r="K10" s="4">
        <v>0.88</v>
      </c>
      <c r="L10" s="4">
        <v>0.89</v>
      </c>
      <c r="M10" s="4">
        <v>0.93</v>
      </c>
      <c r="N10" s="4"/>
    </row>
    <row r="11">
      <c r="A11" s="3" t="s">
        <v>10</v>
      </c>
      <c r="B11" s="4">
        <v>1.33</v>
      </c>
      <c r="C11" s="4">
        <v>1.66</v>
      </c>
      <c r="D11" s="4">
        <v>1.41</v>
      </c>
      <c r="E11" s="4">
        <v>1.38</v>
      </c>
      <c r="F11" s="4">
        <v>1.28</v>
      </c>
      <c r="G11" s="4">
        <v>1.32</v>
      </c>
      <c r="H11" s="4">
        <v>1.37</v>
      </c>
      <c r="I11" s="4">
        <v>1.31</v>
      </c>
      <c r="J11" s="4">
        <v>1.32</v>
      </c>
      <c r="K11" s="4">
        <v>1.46</v>
      </c>
      <c r="L11" s="4">
        <v>1.08</v>
      </c>
      <c r="M11" s="4">
        <v>1.05</v>
      </c>
      <c r="N11" s="4"/>
    </row>
    <row r="12">
      <c r="A12" s="3" t="s">
        <v>11</v>
      </c>
      <c r="B12" s="4">
        <v>1.0</v>
      </c>
      <c r="C12" s="4">
        <v>0.99</v>
      </c>
      <c r="D12" s="4">
        <v>1.01</v>
      </c>
      <c r="E12" s="4">
        <v>1.01</v>
      </c>
      <c r="F12" s="4">
        <v>0.98</v>
      </c>
      <c r="G12" s="4">
        <v>1.04</v>
      </c>
      <c r="H12" s="4">
        <v>1.08</v>
      </c>
      <c r="I12" s="4">
        <v>1.12</v>
      </c>
      <c r="J12" s="4">
        <v>1.16</v>
      </c>
      <c r="K12" s="4">
        <v>1.24</v>
      </c>
      <c r="L12" s="4">
        <v>1.26</v>
      </c>
      <c r="M12" s="4">
        <v>1.21</v>
      </c>
      <c r="N12" s="4"/>
    </row>
    <row r="13">
      <c r="A13" s="3" t="s">
        <v>12</v>
      </c>
      <c r="B13" s="4">
        <v>2.27</v>
      </c>
      <c r="C13" s="4">
        <v>2.31</v>
      </c>
      <c r="D13" s="4">
        <v>1.81</v>
      </c>
      <c r="E13" s="4">
        <v>2.0</v>
      </c>
      <c r="F13" s="4">
        <v>2.54</v>
      </c>
      <c r="G13" s="4">
        <v>2.62</v>
      </c>
      <c r="H13" s="4">
        <v>2.84</v>
      </c>
      <c r="I13" s="4">
        <v>3.55</v>
      </c>
      <c r="J13" s="4">
        <v>3.83</v>
      </c>
      <c r="K13" s="4">
        <v>3.91</v>
      </c>
      <c r="L13" s="4">
        <v>3.05</v>
      </c>
      <c r="M13" s="4">
        <v>3.58</v>
      </c>
      <c r="N13" s="4"/>
    </row>
    <row r="14">
      <c r="A14" s="3" t="s">
        <v>13</v>
      </c>
      <c r="B14" s="4">
        <v>3.06</v>
      </c>
      <c r="C14" s="4">
        <v>3.0</v>
      </c>
      <c r="D14" s="4">
        <v>2.89</v>
      </c>
      <c r="E14" s="4">
        <v>2.81</v>
      </c>
      <c r="F14" s="4">
        <v>3.27</v>
      </c>
      <c r="G14" s="4">
        <v>4.13</v>
      </c>
      <c r="H14" s="4">
        <v>3.17</v>
      </c>
      <c r="I14" s="4">
        <v>2.85</v>
      </c>
      <c r="J14" s="4">
        <v>3.69</v>
      </c>
      <c r="K14" s="4">
        <v>3.73</v>
      </c>
      <c r="L14" s="4">
        <v>2.1</v>
      </c>
      <c r="M14" s="4">
        <v>1.9</v>
      </c>
      <c r="N14" s="4"/>
    </row>
    <row r="15">
      <c r="A15" s="3" t="s">
        <v>14</v>
      </c>
      <c r="B15" s="4">
        <v>1.457</v>
      </c>
      <c r="C15" s="4">
        <v>1.354</v>
      </c>
      <c r="D15" s="4">
        <v>1.371</v>
      </c>
      <c r="E15" s="4">
        <v>1.363</v>
      </c>
      <c r="F15" s="4">
        <v>1.518</v>
      </c>
      <c r="G15" s="4">
        <v>1.219</v>
      </c>
      <c r="H15" s="4">
        <v>1.501</v>
      </c>
      <c r="I15" s="4">
        <v>1.265</v>
      </c>
      <c r="J15" s="4">
        <v>1.256</v>
      </c>
      <c r="K15" s="4">
        <v>1.245</v>
      </c>
      <c r="L15" s="4">
        <v>1.192</v>
      </c>
      <c r="M15" s="4">
        <v>1.316</v>
      </c>
      <c r="N15" s="4"/>
    </row>
    <row r="16">
      <c r="A16" s="3" t="s">
        <v>15</v>
      </c>
      <c r="B16" s="4">
        <v>1.21</v>
      </c>
      <c r="C16" s="4">
        <v>1.23</v>
      </c>
      <c r="D16" s="4">
        <v>1.37</v>
      </c>
      <c r="E16" s="4">
        <v>1.31</v>
      </c>
      <c r="F16" s="4">
        <v>1.42</v>
      </c>
      <c r="G16" s="4">
        <v>1.26</v>
      </c>
      <c r="H16" s="4">
        <v>1.25</v>
      </c>
      <c r="I16" s="4">
        <v>1.25</v>
      </c>
      <c r="J16" s="4">
        <v>1.36</v>
      </c>
      <c r="K16" s="4">
        <v>1.26</v>
      </c>
      <c r="L16" s="4">
        <v>1.22</v>
      </c>
      <c r="M16" s="4">
        <v>1.25</v>
      </c>
      <c r="N16" s="4"/>
    </row>
    <row r="17">
      <c r="A17" s="3" t="s">
        <v>16</v>
      </c>
      <c r="B17" s="4">
        <v>1.4</v>
      </c>
      <c r="C17" s="4">
        <v>1.3</v>
      </c>
      <c r="D17" s="4">
        <v>1.29</v>
      </c>
      <c r="E17" s="4">
        <v>1.34</v>
      </c>
      <c r="F17" s="4">
        <v>1.4</v>
      </c>
      <c r="G17" s="4">
        <v>1.19</v>
      </c>
      <c r="H17" s="4">
        <v>1.18</v>
      </c>
      <c r="I17" s="4">
        <v>1.2</v>
      </c>
      <c r="J17" s="4">
        <v>1.22</v>
      </c>
      <c r="K17" s="4">
        <v>1.2</v>
      </c>
      <c r="L17" s="4">
        <v>1.18</v>
      </c>
      <c r="M17" s="4">
        <v>1.44</v>
      </c>
      <c r="N17" s="4"/>
    </row>
    <row r="18">
      <c r="A18" s="3" t="s">
        <v>17</v>
      </c>
      <c r="B18" s="4">
        <v>0.97</v>
      </c>
      <c r="C18" s="4">
        <v>0.87</v>
      </c>
      <c r="D18" s="4">
        <v>0.58</v>
      </c>
      <c r="E18" s="4">
        <v>0.99</v>
      </c>
      <c r="F18" s="4">
        <v>1.15</v>
      </c>
      <c r="G18" s="4">
        <v>0.75</v>
      </c>
      <c r="H18" s="4">
        <v>0.87</v>
      </c>
      <c r="I18" s="4">
        <v>0.51</v>
      </c>
      <c r="J18" s="4">
        <v>0.66</v>
      </c>
      <c r="K18" s="4">
        <v>0.72</v>
      </c>
      <c r="L18" s="4">
        <v>0.97</v>
      </c>
      <c r="M18" s="4">
        <v>1.77</v>
      </c>
      <c r="N18" s="4"/>
    </row>
    <row r="19">
      <c r="A19" s="3" t="s">
        <v>18</v>
      </c>
      <c r="B19" s="4">
        <v>1.07</v>
      </c>
      <c r="C19" s="4">
        <v>0.96</v>
      </c>
      <c r="D19" s="4">
        <v>0.93</v>
      </c>
      <c r="E19" s="4">
        <v>0.91</v>
      </c>
      <c r="F19" s="4">
        <v>0.93</v>
      </c>
      <c r="G19" s="4">
        <v>0.98</v>
      </c>
      <c r="H19" s="4">
        <v>0.66</v>
      </c>
      <c r="I19" s="4">
        <v>1.0</v>
      </c>
      <c r="J19" s="4">
        <v>0.74</v>
      </c>
      <c r="K19" s="4">
        <v>0.85</v>
      </c>
      <c r="L19" s="4">
        <v>1.16</v>
      </c>
      <c r="M19" s="4">
        <v>1.5</v>
      </c>
      <c r="N19" s="4"/>
    </row>
    <row r="20">
      <c r="A20" s="3" t="s">
        <v>19</v>
      </c>
      <c r="B20" s="4">
        <v>0.98</v>
      </c>
      <c r="C20" s="4">
        <v>0.83</v>
      </c>
      <c r="D20" s="4">
        <v>0.91</v>
      </c>
      <c r="E20" s="4">
        <v>0.73</v>
      </c>
      <c r="F20" s="4">
        <v>0.89</v>
      </c>
      <c r="G20" s="4">
        <v>0.69</v>
      </c>
      <c r="H20" s="4">
        <v>0.61</v>
      </c>
      <c r="I20" s="4">
        <v>0.71</v>
      </c>
      <c r="J20" s="4">
        <v>0.37</v>
      </c>
      <c r="K20" s="4">
        <v>0.32</v>
      </c>
      <c r="L20" s="4">
        <v>0.39</v>
      </c>
      <c r="M20" s="4">
        <v>0.49</v>
      </c>
      <c r="N20" s="4"/>
    </row>
    <row r="21">
      <c r="A21" s="3" t="s">
        <v>20</v>
      </c>
      <c r="B21" s="4">
        <v>1.1</v>
      </c>
      <c r="C21" s="4">
        <v>1.18</v>
      </c>
      <c r="D21" s="4">
        <v>1.07</v>
      </c>
      <c r="E21" s="4">
        <v>1.12</v>
      </c>
      <c r="F21" s="4">
        <v>1.34</v>
      </c>
      <c r="G21" s="4">
        <v>0.63</v>
      </c>
      <c r="H21" s="4">
        <v>0.73</v>
      </c>
      <c r="I21" s="4">
        <v>0.59</v>
      </c>
      <c r="J21" s="4">
        <v>0.62</v>
      </c>
      <c r="K21" s="4">
        <v>0.69</v>
      </c>
      <c r="L21" s="4">
        <v>0.99</v>
      </c>
      <c r="M21" s="4">
        <v>1.31</v>
      </c>
      <c r="N21" s="4"/>
    </row>
    <row r="22">
      <c r="A22" s="3" t="s">
        <v>21</v>
      </c>
      <c r="B22" s="4">
        <v>0.905</v>
      </c>
      <c r="C22" s="4">
        <v>1.0374</v>
      </c>
      <c r="D22" s="4">
        <v>1.1102</v>
      </c>
      <c r="E22" s="4">
        <v>1.1462</v>
      </c>
      <c r="F22" s="4">
        <v>0.9317</v>
      </c>
      <c r="G22" s="4">
        <v>0.7072</v>
      </c>
      <c r="H22" s="4">
        <v>0.6883</v>
      </c>
      <c r="I22" s="4">
        <v>0.6274</v>
      </c>
      <c r="J22" s="4">
        <v>1.1895</v>
      </c>
      <c r="K22" s="4">
        <v>0.9812</v>
      </c>
      <c r="L22" s="4">
        <v>1.4507</v>
      </c>
      <c r="M22" s="4">
        <v>1.6379</v>
      </c>
      <c r="N22" s="4"/>
    </row>
    <row r="23">
      <c r="A23" s="3" t="s">
        <v>22</v>
      </c>
      <c r="B23" s="4">
        <v>2.89</v>
      </c>
      <c r="C23" s="4">
        <v>2.56</v>
      </c>
      <c r="D23" s="4">
        <v>2.0</v>
      </c>
      <c r="E23" s="4">
        <v>2.04</v>
      </c>
      <c r="F23" s="4">
        <v>1.89</v>
      </c>
      <c r="G23" s="4">
        <v>2.02</v>
      </c>
      <c r="H23" s="4">
        <v>1.79</v>
      </c>
      <c r="I23" s="4">
        <v>1.59</v>
      </c>
      <c r="J23" s="4">
        <v>1.84</v>
      </c>
      <c r="K23" s="4">
        <v>2.28</v>
      </c>
      <c r="L23" s="4">
        <v>1.78</v>
      </c>
      <c r="M23" s="4">
        <v>3.12</v>
      </c>
      <c r="N23" s="4"/>
    </row>
    <row r="24">
      <c r="A24" s="3" t="s">
        <v>23</v>
      </c>
      <c r="B24" s="4">
        <v>0.96</v>
      </c>
      <c r="C24" s="4">
        <v>0.97</v>
      </c>
      <c r="D24" s="4">
        <v>0.98</v>
      </c>
      <c r="E24" s="4">
        <v>0.98</v>
      </c>
      <c r="F24" s="4">
        <v>0.93</v>
      </c>
      <c r="G24" s="4">
        <v>0.85</v>
      </c>
      <c r="H24" s="4">
        <v>0.85</v>
      </c>
      <c r="I24" s="4">
        <v>0.95</v>
      </c>
      <c r="J24" s="4">
        <v>1.0</v>
      </c>
      <c r="K24" s="4">
        <v>1.03</v>
      </c>
      <c r="L24" s="4">
        <v>1.01</v>
      </c>
      <c r="M24" s="4">
        <v>1.04</v>
      </c>
      <c r="N24" s="4"/>
    </row>
    <row r="25">
      <c r="A25" s="3" t="s">
        <v>24</v>
      </c>
      <c r="B25" s="4">
        <v>0.79</v>
      </c>
      <c r="C25" s="4">
        <v>0.72</v>
      </c>
      <c r="D25" s="4">
        <v>0.89</v>
      </c>
      <c r="E25" s="4">
        <v>1.02</v>
      </c>
      <c r="F25" s="4">
        <v>0.85</v>
      </c>
      <c r="G25" s="4">
        <v>0.95</v>
      </c>
      <c r="H25" s="4">
        <v>0.97</v>
      </c>
      <c r="I25" s="4">
        <v>1.22</v>
      </c>
      <c r="J25" s="4">
        <v>1.01</v>
      </c>
      <c r="K25" s="4">
        <v>0.95</v>
      </c>
      <c r="L25" s="4">
        <v>1.17</v>
      </c>
      <c r="M25" s="4">
        <v>0.9</v>
      </c>
      <c r="N25" s="4"/>
    </row>
    <row r="26">
      <c r="A26" s="3" t="s">
        <v>25</v>
      </c>
      <c r="B26" s="4">
        <v>2.32</v>
      </c>
      <c r="C26" s="4">
        <v>2.45</v>
      </c>
      <c r="D26" s="4">
        <v>2.53</v>
      </c>
      <c r="E26" s="4">
        <v>2.56</v>
      </c>
      <c r="F26" s="4">
        <v>2.91</v>
      </c>
      <c r="G26" s="4">
        <v>3.33</v>
      </c>
      <c r="H26" s="4">
        <v>4.17</v>
      </c>
      <c r="I26" s="4">
        <v>4.56</v>
      </c>
      <c r="J26" s="4">
        <v>5.53</v>
      </c>
      <c r="K26" s="4">
        <v>4.06</v>
      </c>
      <c r="L26" s="4">
        <v>2.4</v>
      </c>
      <c r="M26" s="4">
        <v>2.74</v>
      </c>
      <c r="N26" s="4"/>
    </row>
    <row r="27">
      <c r="A27" s="3" t="s">
        <v>26</v>
      </c>
      <c r="B27" s="4">
        <v>1.87</v>
      </c>
      <c r="C27" s="4">
        <v>1.86</v>
      </c>
      <c r="D27" s="4">
        <v>1.68</v>
      </c>
      <c r="E27" s="4">
        <v>1.96</v>
      </c>
      <c r="F27" s="4">
        <v>2.46</v>
      </c>
      <c r="G27" s="4">
        <v>2.12</v>
      </c>
      <c r="H27" s="4">
        <v>2.09</v>
      </c>
      <c r="I27" s="4">
        <v>2.29</v>
      </c>
      <c r="J27" s="4">
        <v>2.55</v>
      </c>
      <c r="K27" s="4">
        <v>2.66</v>
      </c>
      <c r="L27" s="4">
        <v>2.15</v>
      </c>
      <c r="M27" s="4">
        <v>2.31</v>
      </c>
      <c r="N27" s="4"/>
    </row>
    <row r="28">
      <c r="A28" s="3" t="s">
        <v>27</v>
      </c>
      <c r="B28" s="4">
        <v>1.34</v>
      </c>
      <c r="C28" s="4">
        <v>1.55</v>
      </c>
      <c r="D28" s="4">
        <v>1.69</v>
      </c>
      <c r="E28" s="4">
        <v>1.66</v>
      </c>
      <c r="F28" s="4">
        <v>1.71</v>
      </c>
      <c r="G28" s="4">
        <v>1.8</v>
      </c>
      <c r="H28" s="4">
        <v>1.76</v>
      </c>
      <c r="I28" s="4">
        <v>1.76</v>
      </c>
      <c r="J28" s="4">
        <v>1.67</v>
      </c>
      <c r="K28" s="4">
        <v>1.89</v>
      </c>
      <c r="L28" s="4">
        <v>1.8</v>
      </c>
      <c r="M28" s="4">
        <v>1.49</v>
      </c>
      <c r="N28" s="4"/>
    </row>
    <row r="29">
      <c r="A29" s="3" t="s">
        <v>28</v>
      </c>
      <c r="B29" s="4">
        <v>1.83</v>
      </c>
      <c r="C29" s="4">
        <v>2.02</v>
      </c>
      <c r="D29" s="4">
        <v>2.17</v>
      </c>
      <c r="E29" s="4">
        <v>2.73</v>
      </c>
      <c r="F29" s="4">
        <v>1.87</v>
      </c>
      <c r="G29" s="4">
        <v>3.5</v>
      </c>
      <c r="H29" s="4">
        <v>1.53</v>
      </c>
      <c r="I29" s="4">
        <v>1.04</v>
      </c>
      <c r="J29" s="4">
        <v>1.03</v>
      </c>
      <c r="K29" s="4">
        <v>0.89</v>
      </c>
      <c r="L29" s="4">
        <v>1.03</v>
      </c>
      <c r="M29" s="4">
        <v>1.61</v>
      </c>
      <c r="N29" s="4"/>
    </row>
    <row r="30">
      <c r="A30" s="3" t="s">
        <v>29</v>
      </c>
      <c r="B30" s="4">
        <v>0.73</v>
      </c>
      <c r="C30" s="4">
        <v>0.86</v>
      </c>
      <c r="D30" s="4">
        <v>0.89</v>
      </c>
      <c r="E30" s="4">
        <v>0.87</v>
      </c>
      <c r="F30" s="4">
        <v>1.17</v>
      </c>
      <c r="G30" s="4">
        <v>0.89</v>
      </c>
      <c r="H30" s="4">
        <v>0.83</v>
      </c>
      <c r="I30" s="4">
        <v>1.0</v>
      </c>
      <c r="J30" s="4">
        <v>1.6</v>
      </c>
      <c r="K30" s="4">
        <v>0.91</v>
      </c>
      <c r="L30" s="4">
        <v>0.8</v>
      </c>
      <c r="M30" s="4">
        <v>1.45</v>
      </c>
      <c r="N30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10">
        <v>2025.0</v>
      </c>
      <c r="C1" s="10">
        <v>2024.0</v>
      </c>
      <c r="D1" s="10">
        <v>2023.0</v>
      </c>
      <c r="E1" s="10">
        <v>2022.0</v>
      </c>
      <c r="F1" s="10">
        <v>2021.0</v>
      </c>
      <c r="G1" s="10">
        <v>2020.0</v>
      </c>
      <c r="H1" s="10">
        <v>2019.0</v>
      </c>
      <c r="I1" s="10">
        <v>2018.0</v>
      </c>
      <c r="J1" s="10">
        <v>2017.0</v>
      </c>
      <c r="K1" s="10">
        <v>2016.0</v>
      </c>
      <c r="L1" s="10">
        <v>2015.0</v>
      </c>
      <c r="M1" s="10">
        <v>2014.0</v>
      </c>
    </row>
    <row r="2">
      <c r="A2" s="3" t="s">
        <v>1</v>
      </c>
      <c r="B2" s="4">
        <v>0.73</v>
      </c>
      <c r="C2" s="4">
        <v>0.87</v>
      </c>
      <c r="D2" s="4">
        <v>1.09</v>
      </c>
      <c r="E2" s="4">
        <v>1.19</v>
      </c>
      <c r="F2" s="4">
        <v>1.13</v>
      </c>
      <c r="G2" s="4">
        <v>1.09</v>
      </c>
      <c r="H2" s="4">
        <v>1.07</v>
      </c>
      <c r="I2" s="4">
        <v>1.01</v>
      </c>
      <c r="J2" s="4">
        <v>1.2</v>
      </c>
      <c r="K2" s="4">
        <v>1.4</v>
      </c>
      <c r="L2" s="4">
        <v>1.41</v>
      </c>
      <c r="M2" s="4">
        <v>1.33</v>
      </c>
    </row>
    <row r="3">
      <c r="A3" s="3" t="s">
        <v>2</v>
      </c>
      <c r="B3" s="4">
        <v>0.04</v>
      </c>
      <c r="C3" s="4">
        <v>0.06</v>
      </c>
      <c r="D3" s="4">
        <v>0.06</v>
      </c>
      <c r="E3" s="4">
        <v>0.06</v>
      </c>
      <c r="F3" s="4">
        <v>0.03</v>
      </c>
      <c r="G3" s="4">
        <v>0.03</v>
      </c>
      <c r="H3" s="4">
        <v>0.07</v>
      </c>
      <c r="I3" s="4">
        <v>0.06</v>
      </c>
      <c r="J3" s="4">
        <v>0.07</v>
      </c>
      <c r="K3" s="4">
        <v>0.05</v>
      </c>
      <c r="L3" s="4">
        <v>0.09</v>
      </c>
      <c r="M3" s="4">
        <v>0.06</v>
      </c>
    </row>
    <row r="4">
      <c r="A4" s="3" t="s">
        <v>3</v>
      </c>
      <c r="B4" s="4">
        <v>7.88</v>
      </c>
      <c r="C4" s="4">
        <v>8.69</v>
      </c>
      <c r="D4" s="4">
        <v>9.39</v>
      </c>
      <c r="E4" s="4">
        <v>9.12</v>
      </c>
      <c r="F4" s="4">
        <v>8.66</v>
      </c>
      <c r="G4" s="4">
        <v>8.0</v>
      </c>
      <c r="H4" s="4">
        <v>10.99</v>
      </c>
      <c r="I4" s="4">
        <v>9.72</v>
      </c>
      <c r="J4" s="4">
        <v>9.79</v>
      </c>
      <c r="K4" s="4">
        <v>8.88</v>
      </c>
      <c r="L4" s="4">
        <v>9.33</v>
      </c>
      <c r="M4" s="4">
        <v>9.06</v>
      </c>
    </row>
    <row r="5">
      <c r="A5" s="3" t="s">
        <v>4</v>
      </c>
      <c r="B5" s="4">
        <v>4.89</v>
      </c>
      <c r="C5" s="4">
        <v>4.77</v>
      </c>
      <c r="D5" s="4">
        <v>4.56</v>
      </c>
      <c r="E5" s="4">
        <v>3.99</v>
      </c>
      <c r="F5" s="4">
        <v>3.57</v>
      </c>
      <c r="G5" s="4">
        <v>4.04</v>
      </c>
      <c r="H5" s="4">
        <v>4.2</v>
      </c>
      <c r="I5" s="4">
        <v>3.21</v>
      </c>
      <c r="J5" s="4">
        <v>2.99</v>
      </c>
      <c r="K5" s="4">
        <v>2.65</v>
      </c>
      <c r="L5" s="4">
        <v>2.01</v>
      </c>
      <c r="M5" s="4">
        <v>1.66</v>
      </c>
    </row>
    <row r="6">
      <c r="A6" s="3" t="s">
        <v>5</v>
      </c>
      <c r="B6" s="4">
        <v>3.74</v>
      </c>
      <c r="C6" s="4">
        <v>3.82</v>
      </c>
      <c r="D6" s="4">
        <v>3.99</v>
      </c>
      <c r="E6" s="4">
        <v>3.78</v>
      </c>
      <c r="F6" s="4">
        <v>3.57</v>
      </c>
      <c r="G6" s="4">
        <v>4.02</v>
      </c>
      <c r="H6" s="4">
        <v>5.16</v>
      </c>
      <c r="I6" s="4">
        <v>3.42</v>
      </c>
      <c r="J6" s="4">
        <v>4.38</v>
      </c>
      <c r="K6" s="4">
        <v>4.99</v>
      </c>
      <c r="L6" s="4">
        <v>4.71</v>
      </c>
      <c r="M6" s="4">
        <v>5.17</v>
      </c>
    </row>
    <row r="7">
      <c r="A7" s="3" t="s">
        <v>6</v>
      </c>
      <c r="B7" s="4">
        <v>1.2</v>
      </c>
      <c r="C7" s="4">
        <v>1.13</v>
      </c>
      <c r="D7" s="4">
        <v>1.1</v>
      </c>
      <c r="E7" s="4">
        <v>0.93</v>
      </c>
      <c r="F7" s="4">
        <v>0.82</v>
      </c>
      <c r="G7" s="4">
        <v>1.41</v>
      </c>
      <c r="H7" s="4">
        <v>1.26</v>
      </c>
      <c r="I7" s="4">
        <v>0.63</v>
      </c>
      <c r="J7" s="4">
        <v>0.73</v>
      </c>
      <c r="K7" s="4">
        <v>0.56</v>
      </c>
      <c r="L7" s="4">
        <v>0.7</v>
      </c>
      <c r="M7" s="4">
        <v>0.78</v>
      </c>
    </row>
    <row r="8">
      <c r="A8" s="3" t="s">
        <v>7</v>
      </c>
      <c r="B8" s="4">
        <v>1.13</v>
      </c>
      <c r="C8" s="4">
        <v>1.5</v>
      </c>
      <c r="D8" s="4">
        <v>1.82</v>
      </c>
      <c r="E8" s="4">
        <v>2.0</v>
      </c>
      <c r="F8" s="4">
        <v>2.2</v>
      </c>
      <c r="G8" s="4">
        <v>1.52</v>
      </c>
      <c r="H8" s="4">
        <v>1.69</v>
      </c>
      <c r="I8" s="4">
        <v>1.41</v>
      </c>
      <c r="J8" s="4">
        <v>1.52</v>
      </c>
      <c r="K8" s="4">
        <v>1.5</v>
      </c>
      <c r="L8" s="4">
        <v>1.76</v>
      </c>
      <c r="M8" s="4">
        <v>1.27</v>
      </c>
    </row>
    <row r="9">
      <c r="A9" s="3" t="s">
        <v>8</v>
      </c>
      <c r="B9" s="4">
        <v>0.03</v>
      </c>
      <c r="C9" s="4">
        <v>0.03</v>
      </c>
      <c r="D9" s="4">
        <v>0.03</v>
      </c>
      <c r="E9" s="4">
        <v>0.06</v>
      </c>
      <c r="F9" s="4">
        <v>0.06</v>
      </c>
      <c r="G9" s="4">
        <v>0.09</v>
      </c>
      <c r="H9" s="4">
        <v>0.09</v>
      </c>
      <c r="I9" s="4">
        <v>0.01</v>
      </c>
      <c r="J9" s="4">
        <v>0.01</v>
      </c>
      <c r="K9" s="4">
        <v>0.03</v>
      </c>
      <c r="L9" s="4">
        <v>0.02</v>
      </c>
      <c r="M9" s="4">
        <v>0.02</v>
      </c>
    </row>
    <row r="10">
      <c r="A10" s="3" t="s">
        <v>9</v>
      </c>
      <c r="B10" s="4">
        <v>6.27</v>
      </c>
      <c r="C10" s="4">
        <v>7.12</v>
      </c>
      <c r="D10" s="4">
        <v>7.8</v>
      </c>
      <c r="E10" s="4">
        <v>7.58</v>
      </c>
      <c r="F10" s="4">
        <v>7.58</v>
      </c>
      <c r="G10" s="4">
        <v>7.92</v>
      </c>
      <c r="H10" s="4">
        <v>7.43</v>
      </c>
      <c r="I10" s="4">
        <v>9.17</v>
      </c>
      <c r="J10" s="4">
        <v>8.02</v>
      </c>
      <c r="K10" s="4">
        <v>7.89</v>
      </c>
      <c r="L10" s="4">
        <v>8.61</v>
      </c>
      <c r="M10" s="4">
        <v>10.36</v>
      </c>
    </row>
    <row r="11">
      <c r="A11" s="3" t="s">
        <v>10</v>
      </c>
      <c r="B11" s="4">
        <v>0.56</v>
      </c>
      <c r="C11" s="4">
        <v>0.57</v>
      </c>
      <c r="D11" s="4">
        <v>0.54</v>
      </c>
      <c r="E11" s="4">
        <v>0.52</v>
      </c>
      <c r="F11" s="4">
        <v>0.49</v>
      </c>
      <c r="G11" s="4">
        <v>1.64</v>
      </c>
      <c r="H11" s="4">
        <v>1.38</v>
      </c>
      <c r="I11" s="4">
        <v>1.41</v>
      </c>
      <c r="J11" s="4">
        <v>1.57</v>
      </c>
      <c r="K11" s="4">
        <v>1.34</v>
      </c>
      <c r="L11" s="4">
        <v>1.94</v>
      </c>
      <c r="M11" s="4">
        <v>2.36</v>
      </c>
    </row>
    <row r="12">
      <c r="A12" s="3" t="s">
        <v>11</v>
      </c>
      <c r="B12" s="4">
        <v>8.87</v>
      </c>
      <c r="C12" s="4">
        <v>8.92</v>
      </c>
      <c r="D12" s="4">
        <v>7.67</v>
      </c>
      <c r="E12" s="4">
        <v>8.13</v>
      </c>
      <c r="F12" s="4">
        <v>8.31</v>
      </c>
      <c r="G12" s="4">
        <v>9.38</v>
      </c>
      <c r="H12" s="4">
        <v>9.13</v>
      </c>
      <c r="I12" s="4">
        <v>8.63</v>
      </c>
      <c r="J12" s="4">
        <v>8.2</v>
      </c>
      <c r="K12" s="4">
        <v>8.19</v>
      </c>
      <c r="L12" s="4">
        <v>8.35</v>
      </c>
      <c r="M12" s="4">
        <v>8.29</v>
      </c>
    </row>
    <row r="13">
      <c r="A13" s="3" t="s">
        <v>12</v>
      </c>
      <c r="B13" s="4">
        <v>0.47</v>
      </c>
      <c r="C13" s="4">
        <v>0.49</v>
      </c>
      <c r="D13" s="4">
        <v>0.57</v>
      </c>
      <c r="E13" s="4">
        <v>0.56</v>
      </c>
      <c r="F13" s="4">
        <v>0.43</v>
      </c>
      <c r="G13" s="4">
        <v>0.42</v>
      </c>
      <c r="H13" s="4">
        <v>0.28</v>
      </c>
      <c r="I13" s="4">
        <v>0.23</v>
      </c>
      <c r="J13" s="4">
        <v>0.19</v>
      </c>
      <c r="K13" s="4">
        <v>0.2</v>
      </c>
      <c r="L13" s="4">
        <v>0.2</v>
      </c>
      <c r="M13" s="4">
        <v>0.26</v>
      </c>
    </row>
    <row r="14">
      <c r="A14" s="3" t="s">
        <v>13</v>
      </c>
      <c r="B14" s="4">
        <v>0.13</v>
      </c>
      <c r="C14" s="4">
        <v>0.14</v>
      </c>
      <c r="D14" s="4">
        <v>0.23</v>
      </c>
      <c r="E14" s="4">
        <v>0.24</v>
      </c>
      <c r="F14" s="4">
        <v>0.23</v>
      </c>
      <c r="G14" s="4">
        <v>0.21</v>
      </c>
      <c r="H14" s="4">
        <v>0.24</v>
      </c>
      <c r="I14" s="4">
        <v>0.23</v>
      </c>
      <c r="J14" s="4">
        <v>0.25</v>
      </c>
      <c r="K14" s="4">
        <v>0.42</v>
      </c>
      <c r="L14" s="4">
        <v>0.44</v>
      </c>
      <c r="M14" s="4">
        <v>0.46</v>
      </c>
    </row>
    <row r="15">
      <c r="A15" s="3" t="s">
        <v>14</v>
      </c>
      <c r="B15" s="4">
        <v>4.41</v>
      </c>
      <c r="C15" s="4">
        <v>4.91</v>
      </c>
      <c r="D15" s="4">
        <v>4.54</v>
      </c>
      <c r="E15" s="4">
        <v>4.54</v>
      </c>
      <c r="F15" s="4">
        <v>4.67</v>
      </c>
      <c r="G15" s="4">
        <v>5.32</v>
      </c>
      <c r="H15" s="4">
        <v>5.76</v>
      </c>
      <c r="I15" s="4">
        <v>5.86</v>
      </c>
      <c r="J15" s="4">
        <v>6.18</v>
      </c>
      <c r="K15" s="4">
        <v>6.34</v>
      </c>
      <c r="L15" s="4">
        <v>6.09</v>
      </c>
      <c r="M15" s="4">
        <v>6.55</v>
      </c>
    </row>
    <row r="16">
      <c r="A16" s="3" t="s">
        <v>15</v>
      </c>
      <c r="B16" s="4">
        <v>1.33</v>
      </c>
      <c r="C16" s="4">
        <v>1.32</v>
      </c>
      <c r="D16" s="4">
        <v>1.33</v>
      </c>
      <c r="E16" s="4">
        <v>1.5</v>
      </c>
      <c r="F16" s="4">
        <v>1.73</v>
      </c>
      <c r="G16" s="4">
        <v>2.09</v>
      </c>
      <c r="H16" s="4">
        <v>2.02</v>
      </c>
      <c r="I16" s="4">
        <v>1.66</v>
      </c>
      <c r="J16" s="4">
        <v>1.68</v>
      </c>
      <c r="K16" s="4">
        <v>1.99</v>
      </c>
      <c r="L16" s="4">
        <v>2.01</v>
      </c>
      <c r="M16" s="4">
        <v>2.13</v>
      </c>
    </row>
    <row r="17">
      <c r="A17" s="3" t="s">
        <v>16</v>
      </c>
      <c r="B17" s="4">
        <v>1.57</v>
      </c>
      <c r="C17" s="4">
        <v>1.56</v>
      </c>
      <c r="D17" s="4">
        <v>1.57</v>
      </c>
      <c r="E17" s="4">
        <v>1.58</v>
      </c>
      <c r="F17" s="4">
        <v>1.43</v>
      </c>
      <c r="G17" s="4">
        <v>1.56</v>
      </c>
      <c r="H17" s="4">
        <v>1.35</v>
      </c>
      <c r="I17" s="4">
        <v>1.23</v>
      </c>
      <c r="J17" s="4">
        <v>1.35</v>
      </c>
      <c r="K17" s="4">
        <v>1.16</v>
      </c>
      <c r="L17" s="4">
        <v>1.14</v>
      </c>
      <c r="M17" s="4">
        <v>1.21</v>
      </c>
    </row>
    <row r="18">
      <c r="A18" s="3" t="s">
        <v>17</v>
      </c>
      <c r="B18" s="4">
        <v>0.3</v>
      </c>
      <c r="C18" s="4">
        <v>0.36</v>
      </c>
      <c r="D18" s="4">
        <v>0.36</v>
      </c>
      <c r="E18" s="4">
        <v>0.34</v>
      </c>
      <c r="F18" s="4">
        <v>0.33</v>
      </c>
      <c r="G18" s="4">
        <v>0.27</v>
      </c>
      <c r="H18" s="4">
        <v>0.31</v>
      </c>
      <c r="I18" s="4">
        <v>0.34</v>
      </c>
      <c r="J18" s="4">
        <v>0.35</v>
      </c>
      <c r="K18" s="4">
        <v>0.41</v>
      </c>
      <c r="L18" s="4">
        <v>0.54</v>
      </c>
      <c r="M18" s="4">
        <v>0.62</v>
      </c>
    </row>
    <row r="19">
      <c r="A19" s="3" t="s">
        <v>18</v>
      </c>
      <c r="B19" s="4">
        <v>1.15</v>
      </c>
      <c r="C19" s="4">
        <v>1.24</v>
      </c>
      <c r="D19" s="4">
        <v>1.33</v>
      </c>
      <c r="E19" s="4">
        <v>1.33</v>
      </c>
      <c r="F19" s="4">
        <v>1.38</v>
      </c>
      <c r="G19" s="4">
        <v>1.41</v>
      </c>
      <c r="H19" s="4">
        <v>1.26</v>
      </c>
      <c r="I19" s="4">
        <v>1.13</v>
      </c>
      <c r="J19" s="4">
        <v>1.04</v>
      </c>
      <c r="K19" s="4">
        <v>0.95</v>
      </c>
      <c r="L19" s="4">
        <v>0.96</v>
      </c>
      <c r="M19" s="4">
        <v>0.73</v>
      </c>
    </row>
    <row r="20">
      <c r="A20" s="3" t="s">
        <v>19</v>
      </c>
      <c r="B20" s="4">
        <v>1.41</v>
      </c>
      <c r="C20" s="4">
        <v>1.42</v>
      </c>
      <c r="D20" s="4">
        <v>1.52</v>
      </c>
      <c r="E20" s="4">
        <v>1.77</v>
      </c>
      <c r="F20" s="4">
        <v>1.87</v>
      </c>
      <c r="G20" s="4">
        <v>2.14</v>
      </c>
      <c r="H20" s="4">
        <v>2.3</v>
      </c>
      <c r="I20" s="4">
        <v>2.27</v>
      </c>
      <c r="J20" s="4">
        <v>2.26</v>
      </c>
      <c r="K20" s="4">
        <v>2.33</v>
      </c>
      <c r="L20" s="4">
        <v>2.39</v>
      </c>
      <c r="M20" s="4">
        <v>2.32</v>
      </c>
    </row>
    <row r="21">
      <c r="A21" s="3" t="s">
        <v>20</v>
      </c>
      <c r="B21" s="4">
        <v>0.41</v>
      </c>
      <c r="C21" s="4">
        <v>0.41</v>
      </c>
      <c r="D21" s="4">
        <v>0.44</v>
      </c>
      <c r="E21" s="4">
        <v>0.34</v>
      </c>
      <c r="F21" s="4">
        <v>0.32</v>
      </c>
      <c r="G21" s="4">
        <v>0.65</v>
      </c>
      <c r="H21" s="4">
        <v>0.7</v>
      </c>
      <c r="I21" s="4">
        <v>0.62</v>
      </c>
      <c r="J21" s="4">
        <v>0.7</v>
      </c>
      <c r="K21" s="4">
        <v>0.72</v>
      </c>
      <c r="L21" s="4">
        <v>0.68</v>
      </c>
      <c r="M21" s="4">
        <v>0.68</v>
      </c>
    </row>
    <row r="22">
      <c r="A22" s="3" t="s">
        <v>21</v>
      </c>
      <c r="B22" s="4">
        <v>13.98</v>
      </c>
      <c r="C22" s="4">
        <v>15.19</v>
      </c>
      <c r="D22" s="4">
        <v>15.55</v>
      </c>
      <c r="E22" s="4">
        <v>16.51</v>
      </c>
      <c r="F22" s="4">
        <v>16.55</v>
      </c>
      <c r="G22" s="4">
        <v>15.69</v>
      </c>
      <c r="H22" s="4">
        <v>15.56</v>
      </c>
      <c r="I22" s="4">
        <v>14.68</v>
      </c>
      <c r="J22" s="4">
        <v>14.83</v>
      </c>
      <c r="K22" s="4">
        <v>15.42</v>
      </c>
      <c r="L22" s="4">
        <v>15.7</v>
      </c>
      <c r="M22" s="4">
        <v>15.23</v>
      </c>
    </row>
    <row r="23">
      <c r="A23" s="3" t="s">
        <v>22</v>
      </c>
      <c r="B23" s="4">
        <v>0.27</v>
      </c>
      <c r="C23" s="4">
        <v>0.34</v>
      </c>
      <c r="D23" s="4">
        <v>0.39</v>
      </c>
      <c r="E23" s="4">
        <v>0.39</v>
      </c>
      <c r="F23" s="4">
        <v>0.39</v>
      </c>
      <c r="G23" s="4">
        <v>0.43</v>
      </c>
      <c r="H23" s="4">
        <v>0.4</v>
      </c>
      <c r="I23" s="4">
        <v>0.41</v>
      </c>
      <c r="J23" s="4">
        <v>0.33</v>
      </c>
      <c r="K23" s="4">
        <v>0.33</v>
      </c>
      <c r="L23" s="4">
        <v>0.42</v>
      </c>
      <c r="M23" s="4">
        <v>0.3</v>
      </c>
    </row>
    <row r="24">
      <c r="A24" s="3" t="s">
        <v>23</v>
      </c>
      <c r="B24" s="4">
        <v>0.54</v>
      </c>
      <c r="C24" s="4">
        <v>1.16</v>
      </c>
      <c r="D24" s="4">
        <v>2.77</v>
      </c>
      <c r="E24" s="4">
        <v>3.13</v>
      </c>
      <c r="F24" s="4">
        <v>2.08</v>
      </c>
      <c r="G24" s="4">
        <v>1.58</v>
      </c>
      <c r="H24" s="4">
        <v>1.51</v>
      </c>
      <c r="I24" s="4">
        <v>0.82</v>
      </c>
      <c r="J24" s="4">
        <v>1.28</v>
      </c>
      <c r="K24" s="4">
        <v>0.78</v>
      </c>
      <c r="L24" s="4">
        <v>1.23</v>
      </c>
      <c r="M24" s="4">
        <v>0.84</v>
      </c>
    </row>
    <row r="25">
      <c r="A25" s="3" t="s">
        <v>24</v>
      </c>
      <c r="B25" s="4">
        <v>0.98</v>
      </c>
      <c r="C25" s="4">
        <v>0.89</v>
      </c>
      <c r="D25" s="4">
        <v>0.76</v>
      </c>
      <c r="E25" s="4">
        <v>0.6</v>
      </c>
      <c r="F25" s="4">
        <v>1.1</v>
      </c>
      <c r="G25" s="4">
        <v>1.59</v>
      </c>
      <c r="H25" s="4">
        <v>1.37</v>
      </c>
      <c r="I25" s="4">
        <v>1.51</v>
      </c>
      <c r="J25" s="4">
        <v>2.32</v>
      </c>
      <c r="K25" s="4">
        <v>1.94</v>
      </c>
      <c r="L25" s="4">
        <v>2.21</v>
      </c>
      <c r="M25" s="4">
        <v>1.69</v>
      </c>
    </row>
    <row r="26">
      <c r="A26" s="3" t="s">
        <v>25</v>
      </c>
      <c r="B26" s="4">
        <v>0.69</v>
      </c>
      <c r="C26" s="4">
        <v>0.67</v>
      </c>
      <c r="D26" s="4">
        <v>0.59</v>
      </c>
      <c r="E26" s="4">
        <v>0.58</v>
      </c>
      <c r="F26" s="4">
        <v>0.5</v>
      </c>
      <c r="G26" s="4">
        <v>0.42</v>
      </c>
      <c r="H26" s="4">
        <v>0.26</v>
      </c>
      <c r="I26" s="4">
        <v>0.26</v>
      </c>
      <c r="J26" s="4">
        <v>0.19</v>
      </c>
      <c r="K26" s="4">
        <v>0.22</v>
      </c>
      <c r="L26" s="4">
        <v>0.26</v>
      </c>
      <c r="M26" s="4">
        <v>0.27</v>
      </c>
    </row>
    <row r="27">
      <c r="A27" s="3" t="s">
        <v>26</v>
      </c>
      <c r="B27" s="4">
        <v>0.02</v>
      </c>
      <c r="C27" s="4">
        <v>0.06</v>
      </c>
      <c r="D27" s="4">
        <v>0.06</v>
      </c>
      <c r="E27" s="4">
        <v>0.06</v>
      </c>
      <c r="F27" s="4">
        <v>0.07</v>
      </c>
      <c r="G27" s="4">
        <v>0.11</v>
      </c>
      <c r="H27" s="4">
        <v>0.07</v>
      </c>
      <c r="I27" s="4">
        <v>0.09</v>
      </c>
      <c r="J27" s="4">
        <v>0.07</v>
      </c>
      <c r="K27" s="4">
        <v>0.07</v>
      </c>
      <c r="L27" s="4">
        <v>0.06</v>
      </c>
      <c r="M27" s="4">
        <v>0.01</v>
      </c>
    </row>
    <row r="28">
      <c r="A28" s="3" t="s">
        <v>27</v>
      </c>
      <c r="B28" s="4">
        <v>1.56</v>
      </c>
      <c r="C28" s="4">
        <v>1.4</v>
      </c>
      <c r="D28" s="4">
        <v>0.63</v>
      </c>
      <c r="E28" s="4">
        <v>0.06</v>
      </c>
      <c r="F28" s="4">
        <v>0.58</v>
      </c>
      <c r="G28" s="4">
        <v>0.35</v>
      </c>
      <c r="H28" s="4">
        <v>0.39</v>
      </c>
      <c r="I28" s="4">
        <v>0.33</v>
      </c>
      <c r="J28" s="4">
        <v>0.44</v>
      </c>
      <c r="K28" s="4">
        <v>0.03</v>
      </c>
      <c r="L28" s="4">
        <v>0.03</v>
      </c>
      <c r="M28" s="4">
        <v>0.32</v>
      </c>
    </row>
    <row r="29">
      <c r="A29" s="3" t="s">
        <v>28</v>
      </c>
      <c r="B29" s="4">
        <v>0.09</v>
      </c>
      <c r="C29" s="4">
        <v>0.12</v>
      </c>
      <c r="D29" s="4">
        <v>0.19</v>
      </c>
      <c r="E29" s="4">
        <v>0.21</v>
      </c>
      <c r="F29" s="4">
        <v>0.0</v>
      </c>
      <c r="G29" s="4">
        <v>0.13</v>
      </c>
      <c r="H29" s="4">
        <v>0.24</v>
      </c>
      <c r="I29" s="4">
        <v>0.25</v>
      </c>
      <c r="J29" s="4">
        <v>0.19</v>
      </c>
      <c r="K29" s="4">
        <v>0.07</v>
      </c>
      <c r="L29" s="4">
        <v>0.08</v>
      </c>
      <c r="M29" s="4">
        <v>0.33</v>
      </c>
    </row>
    <row r="30">
      <c r="A30" s="3" t="s">
        <v>29</v>
      </c>
      <c r="B30" s="4">
        <v>0.33</v>
      </c>
      <c r="C30" s="4">
        <v>0.17</v>
      </c>
      <c r="D30" s="4">
        <v>0.18</v>
      </c>
      <c r="E30" s="4">
        <v>0.2</v>
      </c>
      <c r="F30" s="4">
        <v>0.4</v>
      </c>
      <c r="G30" s="4">
        <v>0.55</v>
      </c>
      <c r="H30" s="4">
        <v>0.86</v>
      </c>
      <c r="I30" s="4">
        <v>0.71</v>
      </c>
      <c r="J30" s="4">
        <v>0.31</v>
      </c>
      <c r="K30" s="4">
        <v>0.34</v>
      </c>
      <c r="L30" s="4">
        <v>0.4</v>
      </c>
      <c r="M30" s="4">
        <v>0.41</v>
      </c>
    </row>
  </sheetData>
  <drawing r:id="rId1"/>
</worksheet>
</file>