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zed" sheetId="2" r:id="rId6"/>
  </sheets>
  <definedNames/>
  <calcPr/>
</workbook>
</file>

<file path=xl/sharedStrings.xml><?xml version="1.0" encoding="utf-8"?>
<sst xmlns="http://schemas.openxmlformats.org/spreadsheetml/2006/main" count="89" uniqueCount="46">
  <si>
    <t>(P/S)2025</t>
  </si>
  <si>
    <t>(P/S)2024</t>
  </si>
  <si>
    <t>(P/S)2023</t>
  </si>
  <si>
    <t>(P/S)2022</t>
  </si>
  <si>
    <t>(P/S)2021</t>
  </si>
  <si>
    <t>(P/S)2020</t>
  </si>
  <si>
    <t>(P/S)2019</t>
  </si>
  <si>
    <t>(P/S)2018</t>
  </si>
  <si>
    <t>(P/S)2017</t>
  </si>
  <si>
    <t>(P/S)2016</t>
  </si>
  <si>
    <t>(P/S)2015</t>
  </si>
  <si>
    <t>(P/S)2014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</si>
  <si>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</si>
  <si>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</si>
  <si>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</si>
  <si>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</si>
  <si>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</si>
  <si>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</si>
  <si>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</si>
  <si>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</si>
  <si>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</si>
  <si>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</si>
  <si>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</si>
  <si>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</si>
  <si>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</si>
  <si>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</si>
  <si>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</si>
  <si>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</si>
  <si>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</si>
  <si>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</si>
  <si>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</si>
  <si>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</si>
  <si>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</si>
  <si>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</si>
  <si>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</si>
  <si>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</si>
  <si>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</si>
  <si>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</si>
  <si>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</si>
  <si>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</si>
  <si>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</si>
  <si>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</si>
  <si>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</si>
  <si>
    <t>percentile min</t>
  </si>
  <si>
    <t>percentile 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</si>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</sst>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top style="thin">
        <color rgb="FF000000"/>
      </top>
      <bottom style="thin">
        <color rgb="FF363A3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1" numFmtId="0" xfId="0" applyFont="1"/>
    <xf borderId="0" fillId="0" fontId="1" numFmtId="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1" fillId="0" fontId="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2638425</xdr:colOff>
      <xdr:row>37</xdr:row>
      <xdr:rowOff>114300</xdr:rowOff>
    </xdr:from>
    <xdr:ext cx="10458450" cy="6467475"/>
    <xdr:pic>
      <xdr:nvPicPr>
        <xdr:cNvPr id="115664986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</row>
    <row r="2">
      <c r="A2" s="1" t="s">
        <v>12</v>
      </c>
      <c r="B2" s="3">
        <v>8.22</v>
      </c>
      <c r="C2" s="3">
        <v>8.7525</v>
      </c>
      <c r="D2" s="3">
        <v>6.55</v>
      </c>
      <c r="E2" s="3">
        <v>8.7525</v>
      </c>
      <c r="F2" s="3">
        <v>8.7525</v>
      </c>
      <c r="G2" s="3">
        <v>4.3</v>
      </c>
      <c r="H2" s="3">
        <v>7.17</v>
      </c>
      <c r="I2" s="3">
        <v>6.49</v>
      </c>
      <c r="J2" s="3">
        <v>8.34</v>
      </c>
      <c r="K2" s="3">
        <v>7.22</v>
      </c>
      <c r="L2" s="3">
        <v>8.7525</v>
      </c>
      <c r="M2" s="3">
        <v>8.05</v>
      </c>
    </row>
    <row r="3">
      <c r="A3" s="1" t="s">
        <v>13</v>
      </c>
      <c r="B3" s="3">
        <v>6.61</v>
      </c>
      <c r="C3" s="3">
        <v>7.69</v>
      </c>
      <c r="D3" s="3">
        <v>7.68</v>
      </c>
      <c r="E3" s="3">
        <v>8.7525</v>
      </c>
      <c r="F3" s="3">
        <v>8.7525</v>
      </c>
      <c r="G3" s="3">
        <v>7.91</v>
      </c>
      <c r="H3" s="3">
        <v>7.44</v>
      </c>
      <c r="I3" s="3">
        <v>6.39</v>
      </c>
      <c r="J3" s="3">
        <v>6.82</v>
      </c>
      <c r="K3" s="3">
        <v>5.84</v>
      </c>
      <c r="L3" s="3">
        <v>5.47</v>
      </c>
      <c r="M3" s="3">
        <v>4.12</v>
      </c>
    </row>
    <row r="4">
      <c r="A4" s="1" t="s">
        <v>14</v>
      </c>
      <c r="B4" s="3">
        <v>2.68</v>
      </c>
      <c r="C4" s="3">
        <v>2.87</v>
      </c>
      <c r="D4" s="3">
        <v>3.02</v>
      </c>
      <c r="E4" s="3">
        <v>3.39</v>
      </c>
      <c r="F4" s="3">
        <v>3.3</v>
      </c>
      <c r="G4" s="3">
        <v>1.68</v>
      </c>
      <c r="H4" s="3">
        <v>3.56</v>
      </c>
      <c r="I4" s="3">
        <v>2.8</v>
      </c>
      <c r="J4" s="3">
        <v>2.6</v>
      </c>
      <c r="K4" s="3">
        <v>2.56</v>
      </c>
      <c r="L4" s="3">
        <v>3.72</v>
      </c>
      <c r="M4" s="3">
        <v>2.23</v>
      </c>
    </row>
    <row r="5">
      <c r="A5" s="1" t="s">
        <v>15</v>
      </c>
      <c r="B5" s="3">
        <v>2.39</v>
      </c>
      <c r="C5" s="3">
        <v>2.37</v>
      </c>
      <c r="D5" s="3">
        <v>2.46</v>
      </c>
      <c r="E5" s="3">
        <v>3.97</v>
      </c>
      <c r="F5" s="3">
        <v>2.54</v>
      </c>
      <c r="G5" s="3">
        <v>1.34</v>
      </c>
      <c r="H5" s="3">
        <v>2.63</v>
      </c>
      <c r="I5" s="3">
        <v>2.51</v>
      </c>
      <c r="J5" s="3">
        <v>2.65</v>
      </c>
      <c r="K5" s="3">
        <v>2.87</v>
      </c>
      <c r="L5" s="3">
        <v>2.91</v>
      </c>
      <c r="M5" s="3">
        <v>2.09</v>
      </c>
    </row>
    <row r="6">
      <c r="A6" s="1" t="s">
        <v>16</v>
      </c>
      <c r="B6" s="3">
        <v>7.97</v>
      </c>
      <c r="C6" s="3">
        <v>8.14</v>
      </c>
      <c r="D6" s="3">
        <v>8.2</v>
      </c>
      <c r="E6" s="3">
        <v>8.7525</v>
      </c>
      <c r="F6" s="3">
        <v>8.7525</v>
      </c>
      <c r="G6" s="3">
        <v>5.04</v>
      </c>
      <c r="H6" s="3">
        <v>8.7525</v>
      </c>
      <c r="I6" s="3">
        <v>7.57</v>
      </c>
      <c r="J6" s="3">
        <v>6.44</v>
      </c>
      <c r="K6" s="3">
        <v>5.08</v>
      </c>
      <c r="L6" s="3">
        <v>3.81</v>
      </c>
      <c r="M6" s="3">
        <v>2.05</v>
      </c>
    </row>
    <row r="7">
      <c r="A7" s="1" t="s">
        <v>17</v>
      </c>
      <c r="B7" s="3">
        <v>8.7525</v>
      </c>
      <c r="C7" s="3">
        <v>7.27</v>
      </c>
      <c r="D7" s="3">
        <v>4.02</v>
      </c>
      <c r="E7" s="3">
        <v>3.34</v>
      </c>
      <c r="F7" s="3">
        <v>2.16</v>
      </c>
      <c r="G7" s="3">
        <v>1.4</v>
      </c>
      <c r="H7" s="3">
        <v>1.87</v>
      </c>
      <c r="I7" s="3">
        <v>3.33</v>
      </c>
      <c r="J7" s="3">
        <v>4.03</v>
      </c>
      <c r="K7" s="3">
        <v>3.98</v>
      </c>
      <c r="L7" s="3">
        <v>3.78</v>
      </c>
      <c r="M7" s="3">
        <v>1.4</v>
      </c>
    </row>
    <row r="8">
      <c r="A8" s="1" t="s">
        <v>18</v>
      </c>
      <c r="B8" s="3">
        <v>5.8</v>
      </c>
      <c r="C8" s="3">
        <v>4.71</v>
      </c>
      <c r="D8" s="4">
        <v>3.05</v>
      </c>
      <c r="E8" s="3">
        <v>3.62</v>
      </c>
      <c r="F8" s="3">
        <v>2.82</v>
      </c>
      <c r="G8" s="3">
        <v>2.75</v>
      </c>
      <c r="H8" s="3">
        <v>1.65</v>
      </c>
      <c r="I8" s="4">
        <v>1.9</v>
      </c>
      <c r="J8" s="3">
        <v>1.46</v>
      </c>
      <c r="K8" s="3">
        <v>1.45</v>
      </c>
      <c r="L8" s="3">
        <v>1.64</v>
      </c>
      <c r="M8" s="3">
        <v>1.46</v>
      </c>
    </row>
    <row r="9">
      <c r="A9" s="1" t="s">
        <v>19</v>
      </c>
      <c r="B9" s="3">
        <v>3.69</v>
      </c>
      <c r="C9" s="3">
        <v>3.81</v>
      </c>
      <c r="D9" s="3">
        <v>2.91</v>
      </c>
      <c r="E9" s="3">
        <v>3.69</v>
      </c>
      <c r="F9" s="3">
        <v>3.54</v>
      </c>
      <c r="G9" s="3">
        <v>1.68</v>
      </c>
      <c r="H9" s="3">
        <v>2.44</v>
      </c>
      <c r="I9" s="3">
        <v>2.66</v>
      </c>
      <c r="J9" s="3">
        <v>2.62</v>
      </c>
      <c r="K9" s="3">
        <v>3.69</v>
      </c>
      <c r="L9" s="3">
        <v>3.53</v>
      </c>
      <c r="M9" s="3">
        <v>3.26</v>
      </c>
    </row>
    <row r="10">
      <c r="A10" s="1" t="s">
        <v>20</v>
      </c>
      <c r="B10" s="3">
        <v>4.66</v>
      </c>
      <c r="C10" s="3">
        <v>4.26</v>
      </c>
      <c r="D10" s="3">
        <v>5.56</v>
      </c>
      <c r="E10" s="3">
        <v>6.38</v>
      </c>
      <c r="F10" s="3">
        <v>6.81</v>
      </c>
      <c r="G10" s="3">
        <v>4.12</v>
      </c>
      <c r="H10" s="3">
        <v>6.37</v>
      </c>
      <c r="I10" s="3">
        <v>6.12</v>
      </c>
      <c r="J10" s="3">
        <v>5.33</v>
      </c>
      <c r="K10" s="3">
        <v>4.5</v>
      </c>
      <c r="L10" s="3">
        <v>5.29</v>
      </c>
      <c r="M10" s="3">
        <v>4.37</v>
      </c>
    </row>
    <row r="11">
      <c r="A11" s="1" t="s">
        <v>21</v>
      </c>
      <c r="B11" s="3">
        <v>8.41</v>
      </c>
      <c r="C11" s="3">
        <v>8.61</v>
      </c>
      <c r="D11" s="3">
        <v>8.7525</v>
      </c>
      <c r="E11" s="3">
        <v>8.7525</v>
      </c>
      <c r="F11" s="3">
        <v>8.7525</v>
      </c>
      <c r="G11" s="3">
        <v>8.7525</v>
      </c>
      <c r="H11" s="3">
        <v>8.7525</v>
      </c>
      <c r="I11" s="3">
        <v>8.12</v>
      </c>
      <c r="J11" s="3">
        <v>5.93</v>
      </c>
      <c r="K11" s="3">
        <v>5.84</v>
      </c>
      <c r="L11" s="3">
        <v>5.91</v>
      </c>
      <c r="M11" s="3">
        <v>4.47</v>
      </c>
    </row>
    <row r="12">
      <c r="A12" s="1" t="s">
        <v>22</v>
      </c>
      <c r="B12" s="3">
        <v>5.15</v>
      </c>
      <c r="C12" s="3">
        <v>4.82</v>
      </c>
      <c r="D12" s="3">
        <v>5.06</v>
      </c>
      <c r="E12" s="3">
        <v>5.32</v>
      </c>
      <c r="F12" s="3">
        <v>4.51</v>
      </c>
      <c r="G12" s="3">
        <v>2.48</v>
      </c>
      <c r="H12" s="3">
        <v>3.57</v>
      </c>
      <c r="I12" s="3">
        <v>2.88</v>
      </c>
      <c r="J12" s="3">
        <v>2.65</v>
      </c>
      <c r="K12" s="3">
        <v>2.32</v>
      </c>
      <c r="L12" s="3">
        <v>3.33</v>
      </c>
      <c r="M12" s="3">
        <v>2.91</v>
      </c>
    </row>
    <row r="13">
      <c r="A13" s="1" t="s">
        <v>23</v>
      </c>
      <c r="B13" s="3">
        <v>3.99</v>
      </c>
      <c r="C13" s="3">
        <v>4.04</v>
      </c>
      <c r="D13" s="3">
        <v>4.03</v>
      </c>
      <c r="E13" s="3">
        <v>6.58</v>
      </c>
      <c r="F13" s="3">
        <v>5.78</v>
      </c>
      <c r="G13" s="3">
        <v>2.99</v>
      </c>
      <c r="H13" s="3">
        <v>3.9</v>
      </c>
      <c r="I13" s="3">
        <v>3.5</v>
      </c>
      <c r="J13" s="3">
        <v>3.41</v>
      </c>
      <c r="K13" s="3">
        <v>4.46</v>
      </c>
      <c r="L13" s="3">
        <v>4.76</v>
      </c>
      <c r="M13" s="3">
        <v>3.74</v>
      </c>
    </row>
    <row r="14">
      <c r="A14" s="1" t="s">
        <v>24</v>
      </c>
      <c r="B14" s="3">
        <v>6.81</v>
      </c>
      <c r="C14" s="3">
        <v>7.55</v>
      </c>
      <c r="D14" s="3">
        <v>6.72</v>
      </c>
      <c r="E14" s="3">
        <v>5.09</v>
      </c>
      <c r="F14" s="3">
        <v>5.46</v>
      </c>
      <c r="G14" s="3">
        <v>4.28</v>
      </c>
      <c r="H14" s="3">
        <v>7.52</v>
      </c>
      <c r="I14" s="3">
        <v>7.19</v>
      </c>
      <c r="J14" s="3">
        <v>7.96</v>
      </c>
      <c r="K14" s="3">
        <v>6.74</v>
      </c>
      <c r="L14" s="3">
        <v>6.72</v>
      </c>
      <c r="M14" s="3">
        <v>7.95</v>
      </c>
    </row>
    <row r="15">
      <c r="A15" s="1" t="s">
        <v>25</v>
      </c>
      <c r="B15" s="3">
        <v>6.57</v>
      </c>
      <c r="C15" s="3">
        <v>6.31</v>
      </c>
      <c r="D15" s="3">
        <v>8.17</v>
      </c>
      <c r="E15" s="3">
        <v>8.7525</v>
      </c>
      <c r="F15" s="3">
        <v>8.7525</v>
      </c>
      <c r="G15" s="3">
        <v>7.41</v>
      </c>
      <c r="H15" s="3">
        <v>8.52</v>
      </c>
      <c r="I15" s="3">
        <v>7.95</v>
      </c>
      <c r="J15" s="3">
        <v>7.19</v>
      </c>
      <c r="K15" s="3">
        <v>6.12</v>
      </c>
      <c r="L15" s="3">
        <v>7.61</v>
      </c>
      <c r="M15" s="3">
        <v>5.0</v>
      </c>
    </row>
    <row r="16">
      <c r="A16" s="1" t="s">
        <v>26</v>
      </c>
      <c r="B16" s="3">
        <v>1.88</v>
      </c>
      <c r="C16" s="3">
        <v>2.35</v>
      </c>
      <c r="D16" s="3">
        <v>1.66</v>
      </c>
      <c r="E16" s="3">
        <v>1.59</v>
      </c>
      <c r="F16" s="3">
        <v>1.47</v>
      </c>
      <c r="G16" s="3">
        <v>0.78</v>
      </c>
      <c r="H16" s="3">
        <v>1.44</v>
      </c>
      <c r="I16" s="3">
        <v>1.54</v>
      </c>
      <c r="J16" s="3">
        <v>1.35</v>
      </c>
      <c r="K16" s="3">
        <v>1.12</v>
      </c>
      <c r="L16" s="3">
        <v>1.74</v>
      </c>
      <c r="M16" s="3">
        <v>1.39</v>
      </c>
    </row>
    <row r="17">
      <c r="A17" s="1" t="s">
        <v>27</v>
      </c>
      <c r="B17" s="3">
        <v>1.87</v>
      </c>
      <c r="C17" s="3">
        <v>1.55</v>
      </c>
      <c r="D17" s="3">
        <v>1.06</v>
      </c>
      <c r="E17" s="3">
        <v>0.99</v>
      </c>
      <c r="F17" s="3">
        <v>1.19</v>
      </c>
      <c r="G17" s="3">
        <v>0.5935</v>
      </c>
      <c r="H17" s="3">
        <v>0.7</v>
      </c>
      <c r="I17" s="3">
        <v>0.87</v>
      </c>
      <c r="J17" s="3">
        <v>0.83</v>
      </c>
      <c r="K17" s="3">
        <v>0.86</v>
      </c>
      <c r="L17" s="3">
        <v>0.98</v>
      </c>
      <c r="M17" s="3">
        <v>0.78</v>
      </c>
    </row>
    <row r="18">
      <c r="A18" s="1" t="s">
        <v>28</v>
      </c>
      <c r="B18" s="3">
        <v>2.37</v>
      </c>
      <c r="C18" s="3">
        <v>2.8</v>
      </c>
      <c r="D18" s="3">
        <v>2.13</v>
      </c>
      <c r="E18" s="3">
        <v>2.58</v>
      </c>
      <c r="F18" s="3">
        <v>2.94</v>
      </c>
      <c r="G18" s="3">
        <v>1.71</v>
      </c>
      <c r="H18" s="3">
        <v>2.34</v>
      </c>
      <c r="I18" s="3">
        <v>3.35</v>
      </c>
      <c r="J18" s="3">
        <v>2.67</v>
      </c>
      <c r="K18" s="3">
        <v>1.95</v>
      </c>
      <c r="L18" s="3">
        <v>2.2</v>
      </c>
      <c r="M18" s="3">
        <v>1.34</v>
      </c>
    </row>
    <row r="19">
      <c r="A19" s="1" t="s">
        <v>29</v>
      </c>
      <c r="B19" s="3">
        <v>1.84</v>
      </c>
      <c r="C19" s="3">
        <v>1.82</v>
      </c>
      <c r="D19" s="3">
        <v>0.96</v>
      </c>
      <c r="E19" s="3">
        <v>0.99</v>
      </c>
      <c r="F19" s="3">
        <v>0.93</v>
      </c>
      <c r="G19" s="3">
        <v>0.76</v>
      </c>
      <c r="H19" s="3">
        <v>1.34</v>
      </c>
      <c r="I19" s="3">
        <v>1.59</v>
      </c>
      <c r="J19" s="3">
        <v>1.67</v>
      </c>
      <c r="K19" s="3">
        <v>1.45</v>
      </c>
      <c r="L19" s="3">
        <v>1.51</v>
      </c>
      <c r="M19" s="3">
        <v>1.25</v>
      </c>
    </row>
    <row r="20">
      <c r="A20" s="1" t="s">
        <v>30</v>
      </c>
      <c r="B20" s="3">
        <v>5.9</v>
      </c>
      <c r="C20" s="3">
        <v>5.62</v>
      </c>
      <c r="D20" s="3">
        <v>3.45</v>
      </c>
      <c r="E20" s="3">
        <v>3.63</v>
      </c>
      <c r="F20" s="3">
        <v>2.85</v>
      </c>
      <c r="G20" s="3">
        <v>2.2</v>
      </c>
      <c r="H20" s="3">
        <v>2.96</v>
      </c>
      <c r="I20" s="3">
        <v>3.39</v>
      </c>
      <c r="J20" s="3">
        <v>4.01</v>
      </c>
      <c r="K20" s="3">
        <v>3.52</v>
      </c>
      <c r="L20" s="3">
        <v>4.3</v>
      </c>
      <c r="M20" s="3">
        <v>3.51</v>
      </c>
    </row>
    <row r="21">
      <c r="A21" s="1" t="s">
        <v>31</v>
      </c>
      <c r="B21" s="3">
        <v>1.79</v>
      </c>
      <c r="C21" s="3">
        <v>2.24</v>
      </c>
      <c r="D21" s="3">
        <v>1.8</v>
      </c>
      <c r="E21" s="3">
        <v>2.55</v>
      </c>
      <c r="F21" s="3">
        <v>2.77</v>
      </c>
      <c r="G21" s="3">
        <v>1.18</v>
      </c>
      <c r="H21" s="3">
        <v>1.42</v>
      </c>
      <c r="I21" s="3">
        <v>1.33</v>
      </c>
      <c r="J21" s="3">
        <v>1.28</v>
      </c>
      <c r="K21" s="3">
        <v>1.12</v>
      </c>
      <c r="L21" s="3">
        <v>0.65</v>
      </c>
      <c r="M21" s="3">
        <v>0.63</v>
      </c>
    </row>
    <row r="22">
      <c r="A22" s="1" t="s">
        <v>32</v>
      </c>
      <c r="B22" s="3">
        <v>1.4</v>
      </c>
      <c r="C22" s="3">
        <v>1.53</v>
      </c>
      <c r="D22" s="3">
        <v>1.33</v>
      </c>
      <c r="E22" s="3">
        <v>1.52</v>
      </c>
      <c r="F22" s="3">
        <v>1.17</v>
      </c>
      <c r="G22" s="3">
        <v>0.65</v>
      </c>
      <c r="H22" s="3">
        <v>1.13</v>
      </c>
      <c r="I22" s="3">
        <v>0.97</v>
      </c>
      <c r="J22" s="3">
        <v>1.01</v>
      </c>
      <c r="K22" s="3">
        <v>0.68</v>
      </c>
      <c r="L22" s="3">
        <v>0.96</v>
      </c>
      <c r="M22" s="3">
        <v>0.76</v>
      </c>
    </row>
    <row r="23">
      <c r="A23" s="1" t="s">
        <v>33</v>
      </c>
      <c r="B23" s="3">
        <v>7.92</v>
      </c>
      <c r="C23" s="3">
        <v>8.02</v>
      </c>
      <c r="D23" s="3">
        <v>5.37</v>
      </c>
      <c r="E23" s="3">
        <v>5.68</v>
      </c>
      <c r="F23" s="3">
        <v>4.28</v>
      </c>
      <c r="G23" s="3">
        <v>2.57</v>
      </c>
      <c r="H23" s="3">
        <v>3.96</v>
      </c>
      <c r="I23" s="3">
        <v>4.5</v>
      </c>
      <c r="J23" s="3">
        <v>5.27</v>
      </c>
      <c r="K23" s="3">
        <v>6.92</v>
      </c>
      <c r="L23" s="3">
        <v>7.72</v>
      </c>
      <c r="M23" s="3">
        <v>7.38</v>
      </c>
    </row>
    <row r="24">
      <c r="A24" s="1" t="s">
        <v>34</v>
      </c>
      <c r="B24" s="3">
        <v>0.5935</v>
      </c>
      <c r="C24" s="3">
        <v>0.87</v>
      </c>
      <c r="D24" s="3">
        <v>0.5935</v>
      </c>
      <c r="E24" s="3">
        <v>0.6</v>
      </c>
      <c r="F24" s="3">
        <v>0.5935</v>
      </c>
      <c r="G24" s="3">
        <v>0.5935</v>
      </c>
      <c r="H24" s="3">
        <v>0.5935</v>
      </c>
      <c r="I24" s="3">
        <v>0.5935</v>
      </c>
      <c r="J24" s="3">
        <v>0.5935</v>
      </c>
      <c r="K24" s="3">
        <v>0.5935</v>
      </c>
      <c r="L24" s="3">
        <v>0.67</v>
      </c>
      <c r="M24" s="3">
        <v>0.5935</v>
      </c>
    </row>
    <row r="25">
      <c r="A25" s="1" t="s">
        <v>35</v>
      </c>
      <c r="B25" s="3">
        <v>0.88</v>
      </c>
      <c r="C25" s="3">
        <v>0.85</v>
      </c>
      <c r="D25" s="3">
        <v>0.5935</v>
      </c>
      <c r="E25" s="3">
        <v>0.65</v>
      </c>
      <c r="F25" s="3">
        <v>0.62</v>
      </c>
      <c r="G25" s="3">
        <v>0.5935</v>
      </c>
      <c r="H25" s="3">
        <v>0.5935</v>
      </c>
      <c r="I25" s="3">
        <v>0.5935</v>
      </c>
      <c r="J25" s="3">
        <v>0.5935</v>
      </c>
      <c r="K25" s="3">
        <v>0.5935</v>
      </c>
      <c r="L25" s="3">
        <v>0.5935</v>
      </c>
      <c r="M25" s="3">
        <v>0.5935</v>
      </c>
    </row>
    <row r="26">
      <c r="A26" s="1" t="s">
        <v>36</v>
      </c>
      <c r="B26" s="3">
        <v>5.11</v>
      </c>
      <c r="C26" s="3">
        <v>5.84</v>
      </c>
      <c r="D26" s="3">
        <v>5.2</v>
      </c>
      <c r="E26" s="3">
        <v>7.14</v>
      </c>
      <c r="F26" s="3">
        <v>7.16</v>
      </c>
      <c r="G26" s="3">
        <v>4.36</v>
      </c>
      <c r="H26" s="3">
        <v>5.12</v>
      </c>
      <c r="I26" s="3">
        <v>4.42</v>
      </c>
      <c r="J26" s="3">
        <v>4.06</v>
      </c>
      <c r="K26" s="3">
        <v>4.56</v>
      </c>
      <c r="L26" s="3">
        <v>5.27</v>
      </c>
      <c r="M26" s="3">
        <v>5.1</v>
      </c>
    </row>
    <row r="27">
      <c r="A27" s="1" t="s">
        <v>37</v>
      </c>
      <c r="B27" s="3">
        <v>2.37</v>
      </c>
      <c r="C27" s="3">
        <v>2.12</v>
      </c>
      <c r="D27" s="3">
        <v>1.82</v>
      </c>
      <c r="E27" s="3">
        <v>2.95</v>
      </c>
      <c r="F27" s="3">
        <v>2.29</v>
      </c>
      <c r="G27" s="3">
        <v>1.34</v>
      </c>
      <c r="H27" s="3">
        <v>1.98</v>
      </c>
      <c r="I27" s="3">
        <v>1.83</v>
      </c>
      <c r="J27" s="3">
        <v>1.38</v>
      </c>
      <c r="K27" s="3">
        <v>1.56</v>
      </c>
      <c r="L27" s="3">
        <v>2.67</v>
      </c>
      <c r="M27" s="3">
        <v>2.23</v>
      </c>
    </row>
    <row r="28">
      <c r="A28" s="1" t="s">
        <v>38</v>
      </c>
      <c r="B28" s="3">
        <v>4.51</v>
      </c>
      <c r="C28" s="3">
        <v>6.63</v>
      </c>
      <c r="D28" s="3">
        <v>5.52</v>
      </c>
      <c r="E28" s="3">
        <v>7.84</v>
      </c>
      <c r="F28" s="3">
        <v>6.4</v>
      </c>
      <c r="G28" s="3">
        <v>3.94</v>
      </c>
      <c r="H28" s="3">
        <v>5.11</v>
      </c>
      <c r="I28" s="3">
        <v>5.18</v>
      </c>
      <c r="J28" s="3">
        <v>3.09</v>
      </c>
      <c r="K28" s="3">
        <v>2.67</v>
      </c>
      <c r="L28" s="3">
        <v>2.92</v>
      </c>
      <c r="M28" s="3">
        <v>2.13</v>
      </c>
    </row>
    <row r="29">
      <c r="A29" s="1" t="s">
        <v>39</v>
      </c>
      <c r="B29" s="3">
        <v>8.7525</v>
      </c>
      <c r="C29" s="3">
        <v>8.7525</v>
      </c>
      <c r="D29" s="3">
        <v>5.93</v>
      </c>
      <c r="E29" s="3">
        <v>8.7525</v>
      </c>
      <c r="F29" s="3">
        <v>8.7525</v>
      </c>
      <c r="G29" s="3">
        <v>4.89</v>
      </c>
      <c r="H29" s="3">
        <v>4.55</v>
      </c>
      <c r="I29" s="3">
        <v>5.33</v>
      </c>
      <c r="J29" s="3">
        <v>4.87</v>
      </c>
      <c r="K29" s="3">
        <v>3.32</v>
      </c>
      <c r="L29" s="3">
        <v>2.14</v>
      </c>
      <c r="M29" s="3">
        <v>1.44</v>
      </c>
    </row>
    <row r="30">
      <c r="A30" s="1" t="s">
        <v>40</v>
      </c>
      <c r="B30" s="3">
        <v>4.46</v>
      </c>
      <c r="C30" s="3">
        <v>3.97</v>
      </c>
      <c r="D30" s="3">
        <v>3.48</v>
      </c>
      <c r="E30" s="3">
        <v>3.62</v>
      </c>
      <c r="F30" s="3">
        <v>4.35</v>
      </c>
      <c r="G30" s="3">
        <v>2.21</v>
      </c>
      <c r="H30" s="3">
        <v>2.64</v>
      </c>
      <c r="I30" s="3">
        <v>3.5</v>
      </c>
      <c r="J30" s="3">
        <v>4.32</v>
      </c>
      <c r="K30" s="3">
        <v>3.52</v>
      </c>
      <c r="L30" s="3">
        <v>3.24</v>
      </c>
      <c r="M30" s="3">
        <v>2.77</v>
      </c>
    </row>
    <row r="34">
      <c r="A34" s="5" t="s">
        <v>41</v>
      </c>
      <c r="B34" s="6">
        <f>MIN(B2:N30)</f>
        <v>0.5935</v>
      </c>
    </row>
    <row r="35">
      <c r="A35" s="5" t="s">
        <v>42</v>
      </c>
      <c r="B35" s="6">
        <f>MAX(B2:N30)</f>
        <v>8.7525</v>
      </c>
    </row>
    <row r="38">
      <c r="A38" s="5" t="s">
        <v>43</v>
      </c>
      <c r="B38" s="6">
        <f>PERCENTILE(B2:M30, 0.05)</f>
        <v>0.595775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5" t="s">
        <v>44</v>
      </c>
      <c r="B39" s="6">
        <f>PERCENTILE(B2:M30, 0.95)</f>
        <v>8.7525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5"/>
      <c r="B42" s="6">
        <f t="shared" ref="B42:N42" si="1">MEDIAN(B2, $B$38, $B$39)</f>
        <v>8.22</v>
      </c>
      <c r="C42" s="6">
        <f t="shared" si="1"/>
        <v>8.7525</v>
      </c>
      <c r="D42" s="6">
        <f t="shared" si="1"/>
        <v>6.55</v>
      </c>
      <c r="E42" s="6">
        <f t="shared" si="1"/>
        <v>8.7525</v>
      </c>
      <c r="F42" s="6">
        <f t="shared" si="1"/>
        <v>8.7525</v>
      </c>
      <c r="G42" s="6">
        <f t="shared" si="1"/>
        <v>4.3</v>
      </c>
      <c r="H42" s="6">
        <f t="shared" si="1"/>
        <v>7.17</v>
      </c>
      <c r="I42" s="6">
        <f t="shared" si="1"/>
        <v>6.49</v>
      </c>
      <c r="J42" s="6">
        <f t="shared" si="1"/>
        <v>8.34</v>
      </c>
      <c r="K42" s="6">
        <f t="shared" si="1"/>
        <v>7.22</v>
      </c>
      <c r="L42" s="6">
        <f t="shared" si="1"/>
        <v>8.7525</v>
      </c>
      <c r="M42" s="6">
        <f t="shared" si="1"/>
        <v>8.05</v>
      </c>
      <c r="N42" s="6">
        <f t="shared" si="1"/>
        <v>4.6741375</v>
      </c>
    </row>
    <row r="43">
      <c r="A43" s="5"/>
      <c r="B43" s="6">
        <f t="shared" ref="B43:N43" si="2">MEDIAN(B3, $B$38, $B$39)</f>
        <v>6.61</v>
      </c>
      <c r="C43" s="6">
        <f t="shared" si="2"/>
        <v>7.69</v>
      </c>
      <c r="D43" s="6">
        <f t="shared" si="2"/>
        <v>7.68</v>
      </c>
      <c r="E43" s="6">
        <f t="shared" si="2"/>
        <v>8.7525</v>
      </c>
      <c r="F43" s="6">
        <f t="shared" si="2"/>
        <v>8.7525</v>
      </c>
      <c r="G43" s="6">
        <f t="shared" si="2"/>
        <v>7.91</v>
      </c>
      <c r="H43" s="6">
        <f t="shared" si="2"/>
        <v>7.44</v>
      </c>
      <c r="I43" s="6">
        <f t="shared" si="2"/>
        <v>6.39</v>
      </c>
      <c r="J43" s="6">
        <f t="shared" si="2"/>
        <v>6.82</v>
      </c>
      <c r="K43" s="6">
        <f t="shared" si="2"/>
        <v>5.84</v>
      </c>
      <c r="L43" s="6">
        <f t="shared" si="2"/>
        <v>5.47</v>
      </c>
      <c r="M43" s="6">
        <f t="shared" si="2"/>
        <v>4.12</v>
      </c>
      <c r="N43" s="6">
        <f t="shared" si="2"/>
        <v>4.6741375</v>
      </c>
    </row>
    <row r="44">
      <c r="A44" s="5"/>
      <c r="B44" s="6">
        <f t="shared" ref="B44:N44" si="3">MEDIAN(B4, $B$38, $B$39)</f>
        <v>2.68</v>
      </c>
      <c r="C44" s="6">
        <f t="shared" si="3"/>
        <v>2.87</v>
      </c>
      <c r="D44" s="6">
        <f t="shared" si="3"/>
        <v>3.02</v>
      </c>
      <c r="E44" s="6">
        <f t="shared" si="3"/>
        <v>3.39</v>
      </c>
      <c r="F44" s="6">
        <f t="shared" si="3"/>
        <v>3.3</v>
      </c>
      <c r="G44" s="6">
        <f t="shared" si="3"/>
        <v>1.68</v>
      </c>
      <c r="H44" s="6">
        <f t="shared" si="3"/>
        <v>3.56</v>
      </c>
      <c r="I44" s="6">
        <f t="shared" si="3"/>
        <v>2.8</v>
      </c>
      <c r="J44" s="6">
        <f t="shared" si="3"/>
        <v>2.6</v>
      </c>
      <c r="K44" s="6">
        <f t="shared" si="3"/>
        <v>2.56</v>
      </c>
      <c r="L44" s="6">
        <f t="shared" si="3"/>
        <v>3.72</v>
      </c>
      <c r="M44" s="6">
        <f t="shared" si="3"/>
        <v>2.23</v>
      </c>
      <c r="N44" s="6">
        <f t="shared" si="3"/>
        <v>4.6741375</v>
      </c>
    </row>
    <row r="45">
      <c r="A45" s="5"/>
      <c r="B45" s="6">
        <f t="shared" ref="B45:N45" si="4">MEDIAN(B5, $B$38, $B$39)</f>
        <v>2.39</v>
      </c>
      <c r="C45" s="6">
        <f t="shared" si="4"/>
        <v>2.37</v>
      </c>
      <c r="D45" s="6">
        <f t="shared" si="4"/>
        <v>2.46</v>
      </c>
      <c r="E45" s="6">
        <f t="shared" si="4"/>
        <v>3.97</v>
      </c>
      <c r="F45" s="6">
        <f t="shared" si="4"/>
        <v>2.54</v>
      </c>
      <c r="G45" s="6">
        <f t="shared" si="4"/>
        <v>1.34</v>
      </c>
      <c r="H45" s="6">
        <f t="shared" si="4"/>
        <v>2.63</v>
      </c>
      <c r="I45" s="6">
        <f t="shared" si="4"/>
        <v>2.51</v>
      </c>
      <c r="J45" s="6">
        <f t="shared" si="4"/>
        <v>2.65</v>
      </c>
      <c r="K45" s="6">
        <f t="shared" si="4"/>
        <v>2.87</v>
      </c>
      <c r="L45" s="6">
        <f t="shared" si="4"/>
        <v>2.91</v>
      </c>
      <c r="M45" s="6">
        <f t="shared" si="4"/>
        <v>2.09</v>
      </c>
      <c r="N45" s="6">
        <f t="shared" si="4"/>
        <v>4.6741375</v>
      </c>
    </row>
    <row r="46">
      <c r="A46" s="5"/>
      <c r="B46" s="6">
        <f t="shared" ref="B46:N46" si="5">MEDIAN(B6, $B$38, $B$39)</f>
        <v>7.97</v>
      </c>
      <c r="C46" s="6">
        <f t="shared" si="5"/>
        <v>8.14</v>
      </c>
      <c r="D46" s="6">
        <f t="shared" si="5"/>
        <v>8.2</v>
      </c>
      <c r="E46" s="6">
        <f t="shared" si="5"/>
        <v>8.7525</v>
      </c>
      <c r="F46" s="6">
        <f t="shared" si="5"/>
        <v>8.7525</v>
      </c>
      <c r="G46" s="6">
        <f t="shared" si="5"/>
        <v>5.04</v>
      </c>
      <c r="H46" s="6">
        <f t="shared" si="5"/>
        <v>8.7525</v>
      </c>
      <c r="I46" s="6">
        <f t="shared" si="5"/>
        <v>7.57</v>
      </c>
      <c r="J46" s="6">
        <f t="shared" si="5"/>
        <v>6.44</v>
      </c>
      <c r="K46" s="6">
        <f t="shared" si="5"/>
        <v>5.08</v>
      </c>
      <c r="L46" s="6">
        <f t="shared" si="5"/>
        <v>3.81</v>
      </c>
      <c r="M46" s="6">
        <f t="shared" si="5"/>
        <v>2.05</v>
      </c>
      <c r="N46" s="6">
        <f t="shared" si="5"/>
        <v>4.6741375</v>
      </c>
    </row>
    <row r="47">
      <c r="A47" s="5"/>
      <c r="B47" s="6">
        <f t="shared" ref="B47:N47" si="6">MEDIAN(B7, $B$38, $B$39)</f>
        <v>8.7525</v>
      </c>
      <c r="C47" s="6">
        <f t="shared" si="6"/>
        <v>7.27</v>
      </c>
      <c r="D47" s="6">
        <f t="shared" si="6"/>
        <v>4.02</v>
      </c>
      <c r="E47" s="6">
        <f t="shared" si="6"/>
        <v>3.34</v>
      </c>
      <c r="F47" s="6">
        <f t="shared" si="6"/>
        <v>2.16</v>
      </c>
      <c r="G47" s="6">
        <f t="shared" si="6"/>
        <v>1.4</v>
      </c>
      <c r="H47" s="6">
        <f t="shared" si="6"/>
        <v>1.87</v>
      </c>
      <c r="I47" s="6">
        <f t="shared" si="6"/>
        <v>3.33</v>
      </c>
      <c r="J47" s="6">
        <f t="shared" si="6"/>
        <v>4.03</v>
      </c>
      <c r="K47" s="6">
        <f t="shared" si="6"/>
        <v>3.98</v>
      </c>
      <c r="L47" s="6">
        <f t="shared" si="6"/>
        <v>3.78</v>
      </c>
      <c r="M47" s="6">
        <f t="shared" si="6"/>
        <v>1.4</v>
      </c>
      <c r="N47" s="6">
        <f t="shared" si="6"/>
        <v>4.6741375</v>
      </c>
    </row>
    <row r="48">
      <c r="A48" s="5"/>
      <c r="B48" s="6">
        <f t="shared" ref="B48:N48" si="7">MEDIAN(B8, $B$38, $B$39)</f>
        <v>5.8</v>
      </c>
      <c r="C48" s="6">
        <f t="shared" si="7"/>
        <v>4.71</v>
      </c>
      <c r="D48" s="7">
        <f t="shared" si="7"/>
        <v>3.05</v>
      </c>
      <c r="E48" s="6">
        <f t="shared" si="7"/>
        <v>3.62</v>
      </c>
      <c r="F48" s="6">
        <f t="shared" si="7"/>
        <v>2.82</v>
      </c>
      <c r="G48" s="6">
        <f t="shared" si="7"/>
        <v>2.75</v>
      </c>
      <c r="H48" s="6">
        <f t="shared" si="7"/>
        <v>1.65</v>
      </c>
      <c r="I48" s="7">
        <f t="shared" si="7"/>
        <v>1.9</v>
      </c>
      <c r="J48" s="6">
        <f t="shared" si="7"/>
        <v>1.46</v>
      </c>
      <c r="K48" s="6">
        <f t="shared" si="7"/>
        <v>1.45</v>
      </c>
      <c r="L48" s="6">
        <f t="shared" si="7"/>
        <v>1.64</v>
      </c>
      <c r="M48" s="6">
        <f t="shared" si="7"/>
        <v>1.46</v>
      </c>
      <c r="N48" s="6">
        <f t="shared" si="7"/>
        <v>4.6741375</v>
      </c>
    </row>
    <row r="49">
      <c r="A49" s="5"/>
      <c r="B49" s="6">
        <f t="shared" ref="B49:N49" si="8">MEDIAN(B9, $B$38, $B$39)</f>
        <v>3.69</v>
      </c>
      <c r="C49" s="6">
        <f t="shared" si="8"/>
        <v>3.81</v>
      </c>
      <c r="D49" s="6">
        <f t="shared" si="8"/>
        <v>2.91</v>
      </c>
      <c r="E49" s="6">
        <f t="shared" si="8"/>
        <v>3.69</v>
      </c>
      <c r="F49" s="6">
        <f t="shared" si="8"/>
        <v>3.54</v>
      </c>
      <c r="G49" s="6">
        <f t="shared" si="8"/>
        <v>1.68</v>
      </c>
      <c r="H49" s="6">
        <f t="shared" si="8"/>
        <v>2.44</v>
      </c>
      <c r="I49" s="6">
        <f t="shared" si="8"/>
        <v>2.66</v>
      </c>
      <c r="J49" s="6">
        <f t="shared" si="8"/>
        <v>2.62</v>
      </c>
      <c r="K49" s="6">
        <f t="shared" si="8"/>
        <v>3.69</v>
      </c>
      <c r="L49" s="6">
        <f t="shared" si="8"/>
        <v>3.53</v>
      </c>
      <c r="M49" s="6">
        <f t="shared" si="8"/>
        <v>3.26</v>
      </c>
      <c r="N49" s="6">
        <f t="shared" si="8"/>
        <v>4.6741375</v>
      </c>
    </row>
    <row r="50">
      <c r="A50" s="5"/>
      <c r="B50" s="6">
        <f t="shared" ref="B50:N50" si="9">MEDIAN(B10, $B$38, $B$39)</f>
        <v>4.66</v>
      </c>
      <c r="C50" s="6">
        <f t="shared" si="9"/>
        <v>4.26</v>
      </c>
      <c r="D50" s="6">
        <f t="shared" si="9"/>
        <v>5.56</v>
      </c>
      <c r="E50" s="6">
        <f t="shared" si="9"/>
        <v>6.38</v>
      </c>
      <c r="F50" s="6">
        <f t="shared" si="9"/>
        <v>6.81</v>
      </c>
      <c r="G50" s="6">
        <f t="shared" si="9"/>
        <v>4.12</v>
      </c>
      <c r="H50" s="6">
        <f t="shared" si="9"/>
        <v>6.37</v>
      </c>
      <c r="I50" s="6">
        <f t="shared" si="9"/>
        <v>6.12</v>
      </c>
      <c r="J50" s="6">
        <f t="shared" si="9"/>
        <v>5.33</v>
      </c>
      <c r="K50" s="6">
        <f t="shared" si="9"/>
        <v>4.5</v>
      </c>
      <c r="L50" s="6">
        <f t="shared" si="9"/>
        <v>5.29</v>
      </c>
      <c r="M50" s="6">
        <f t="shared" si="9"/>
        <v>4.37</v>
      </c>
      <c r="N50" s="6">
        <f t="shared" si="9"/>
        <v>4.6741375</v>
      </c>
    </row>
    <row r="51">
      <c r="A51" s="5"/>
      <c r="B51" s="6">
        <f t="shared" ref="B51:N51" si="10">MEDIAN(B11, $B$38, $B$39)</f>
        <v>8.41</v>
      </c>
      <c r="C51" s="6">
        <f t="shared" si="10"/>
        <v>8.61</v>
      </c>
      <c r="D51" s="6">
        <f t="shared" si="10"/>
        <v>8.7525</v>
      </c>
      <c r="E51" s="6">
        <f t="shared" si="10"/>
        <v>8.7525</v>
      </c>
      <c r="F51" s="6">
        <f t="shared" si="10"/>
        <v>8.7525</v>
      </c>
      <c r="G51" s="6">
        <f t="shared" si="10"/>
        <v>8.7525</v>
      </c>
      <c r="H51" s="6">
        <f t="shared" si="10"/>
        <v>8.7525</v>
      </c>
      <c r="I51" s="6">
        <f t="shared" si="10"/>
        <v>8.12</v>
      </c>
      <c r="J51" s="6">
        <f t="shared" si="10"/>
        <v>5.93</v>
      </c>
      <c r="K51" s="6">
        <f t="shared" si="10"/>
        <v>5.84</v>
      </c>
      <c r="L51" s="6">
        <f t="shared" si="10"/>
        <v>5.91</v>
      </c>
      <c r="M51" s="6">
        <f t="shared" si="10"/>
        <v>4.47</v>
      </c>
      <c r="N51" s="6">
        <f t="shared" si="10"/>
        <v>4.6741375</v>
      </c>
    </row>
    <row r="52">
      <c r="A52" s="5"/>
      <c r="B52" s="6">
        <f t="shared" ref="B52:N52" si="11">MEDIAN(B12, $B$38, $B$39)</f>
        <v>5.15</v>
      </c>
      <c r="C52" s="6">
        <f t="shared" si="11"/>
        <v>4.82</v>
      </c>
      <c r="D52" s="6">
        <f t="shared" si="11"/>
        <v>5.06</v>
      </c>
      <c r="E52" s="6">
        <f t="shared" si="11"/>
        <v>5.32</v>
      </c>
      <c r="F52" s="6">
        <f t="shared" si="11"/>
        <v>4.51</v>
      </c>
      <c r="G52" s="6">
        <f t="shared" si="11"/>
        <v>2.48</v>
      </c>
      <c r="H52" s="6">
        <f t="shared" si="11"/>
        <v>3.57</v>
      </c>
      <c r="I52" s="6">
        <f t="shared" si="11"/>
        <v>2.88</v>
      </c>
      <c r="J52" s="6">
        <f t="shared" si="11"/>
        <v>2.65</v>
      </c>
      <c r="K52" s="6">
        <f t="shared" si="11"/>
        <v>2.32</v>
      </c>
      <c r="L52" s="6">
        <f t="shared" si="11"/>
        <v>3.33</v>
      </c>
      <c r="M52" s="6">
        <f t="shared" si="11"/>
        <v>2.91</v>
      </c>
      <c r="N52" s="6">
        <f t="shared" si="11"/>
        <v>4.6741375</v>
      </c>
    </row>
    <row r="53">
      <c r="A53" s="5"/>
      <c r="B53" s="6">
        <f t="shared" ref="B53:N53" si="12">MEDIAN(B13, $B$38, $B$39)</f>
        <v>3.99</v>
      </c>
      <c r="C53" s="6">
        <f t="shared" si="12"/>
        <v>4.04</v>
      </c>
      <c r="D53" s="6">
        <f t="shared" si="12"/>
        <v>4.03</v>
      </c>
      <c r="E53" s="6">
        <f t="shared" si="12"/>
        <v>6.58</v>
      </c>
      <c r="F53" s="6">
        <f t="shared" si="12"/>
        <v>5.78</v>
      </c>
      <c r="G53" s="6">
        <f t="shared" si="12"/>
        <v>2.99</v>
      </c>
      <c r="H53" s="6">
        <f t="shared" si="12"/>
        <v>3.9</v>
      </c>
      <c r="I53" s="6">
        <f t="shared" si="12"/>
        <v>3.5</v>
      </c>
      <c r="J53" s="6">
        <f t="shared" si="12"/>
        <v>3.41</v>
      </c>
      <c r="K53" s="6">
        <f t="shared" si="12"/>
        <v>4.46</v>
      </c>
      <c r="L53" s="6">
        <f t="shared" si="12"/>
        <v>4.76</v>
      </c>
      <c r="M53" s="6">
        <f t="shared" si="12"/>
        <v>3.74</v>
      </c>
      <c r="N53" s="6">
        <f t="shared" si="12"/>
        <v>4.6741375</v>
      </c>
    </row>
    <row r="54">
      <c r="A54" s="5"/>
      <c r="B54" s="6">
        <f t="shared" ref="B54:N54" si="13">MEDIAN(B14, $B$38, $B$39)</f>
        <v>6.81</v>
      </c>
      <c r="C54" s="6">
        <f t="shared" si="13"/>
        <v>7.55</v>
      </c>
      <c r="D54" s="6">
        <f t="shared" si="13"/>
        <v>6.72</v>
      </c>
      <c r="E54" s="6">
        <f t="shared" si="13"/>
        <v>5.09</v>
      </c>
      <c r="F54" s="6">
        <f t="shared" si="13"/>
        <v>5.46</v>
      </c>
      <c r="G54" s="6">
        <f t="shared" si="13"/>
        <v>4.28</v>
      </c>
      <c r="H54" s="6">
        <f t="shared" si="13"/>
        <v>7.52</v>
      </c>
      <c r="I54" s="6">
        <f t="shared" si="13"/>
        <v>7.19</v>
      </c>
      <c r="J54" s="6">
        <f t="shared" si="13"/>
        <v>7.96</v>
      </c>
      <c r="K54" s="6">
        <f t="shared" si="13"/>
        <v>6.74</v>
      </c>
      <c r="L54" s="6">
        <f t="shared" si="13"/>
        <v>6.72</v>
      </c>
      <c r="M54" s="6">
        <f t="shared" si="13"/>
        <v>7.95</v>
      </c>
      <c r="N54" s="6">
        <f t="shared" si="13"/>
        <v>4.6741375</v>
      </c>
    </row>
    <row r="55">
      <c r="A55" s="5"/>
      <c r="B55" s="6">
        <f t="shared" ref="B55:N55" si="14">MEDIAN(B15, $B$38, $B$39)</f>
        <v>6.57</v>
      </c>
      <c r="C55" s="6">
        <f t="shared" si="14"/>
        <v>6.31</v>
      </c>
      <c r="D55" s="6">
        <f t="shared" si="14"/>
        <v>8.17</v>
      </c>
      <c r="E55" s="6">
        <f t="shared" si="14"/>
        <v>8.7525</v>
      </c>
      <c r="F55" s="6">
        <f t="shared" si="14"/>
        <v>8.7525</v>
      </c>
      <c r="G55" s="6">
        <f t="shared" si="14"/>
        <v>7.41</v>
      </c>
      <c r="H55" s="6">
        <f t="shared" si="14"/>
        <v>8.52</v>
      </c>
      <c r="I55" s="6">
        <f t="shared" si="14"/>
        <v>7.95</v>
      </c>
      <c r="J55" s="6">
        <f t="shared" si="14"/>
        <v>7.19</v>
      </c>
      <c r="K55" s="6">
        <f t="shared" si="14"/>
        <v>6.12</v>
      </c>
      <c r="L55" s="6">
        <f t="shared" si="14"/>
        <v>7.61</v>
      </c>
      <c r="M55" s="6">
        <f t="shared" si="14"/>
        <v>5</v>
      </c>
      <c r="N55" s="6">
        <f t="shared" si="14"/>
        <v>4.6741375</v>
      </c>
    </row>
    <row r="56">
      <c r="A56" s="5"/>
      <c r="B56" s="6">
        <f t="shared" ref="B56:N56" si="15">MEDIAN(B16, $B$38, $B$39)</f>
        <v>1.88</v>
      </c>
      <c r="C56" s="6">
        <f t="shared" si="15"/>
        <v>2.35</v>
      </c>
      <c r="D56" s="6">
        <f t="shared" si="15"/>
        <v>1.66</v>
      </c>
      <c r="E56" s="6">
        <f t="shared" si="15"/>
        <v>1.59</v>
      </c>
      <c r="F56" s="6">
        <f t="shared" si="15"/>
        <v>1.47</v>
      </c>
      <c r="G56" s="6">
        <f t="shared" si="15"/>
        <v>0.78</v>
      </c>
      <c r="H56" s="6">
        <f t="shared" si="15"/>
        <v>1.44</v>
      </c>
      <c r="I56" s="6">
        <f t="shared" si="15"/>
        <v>1.54</v>
      </c>
      <c r="J56" s="6">
        <f t="shared" si="15"/>
        <v>1.35</v>
      </c>
      <c r="K56" s="6">
        <f t="shared" si="15"/>
        <v>1.12</v>
      </c>
      <c r="L56" s="6">
        <f t="shared" si="15"/>
        <v>1.74</v>
      </c>
      <c r="M56" s="6">
        <f t="shared" si="15"/>
        <v>1.39</v>
      </c>
      <c r="N56" s="6">
        <f t="shared" si="15"/>
        <v>4.6741375</v>
      </c>
    </row>
    <row r="57">
      <c r="A57" s="5"/>
      <c r="B57" s="6">
        <f t="shared" ref="B57:N57" si="16">MEDIAN(B17, $B$38, $B$39)</f>
        <v>1.87</v>
      </c>
      <c r="C57" s="6">
        <f t="shared" si="16"/>
        <v>1.55</v>
      </c>
      <c r="D57" s="6">
        <f t="shared" si="16"/>
        <v>1.06</v>
      </c>
      <c r="E57" s="6">
        <f t="shared" si="16"/>
        <v>0.99</v>
      </c>
      <c r="F57" s="6">
        <f t="shared" si="16"/>
        <v>1.19</v>
      </c>
      <c r="G57" s="6">
        <f t="shared" si="16"/>
        <v>0.595775</v>
      </c>
      <c r="H57" s="6">
        <f t="shared" si="16"/>
        <v>0.7</v>
      </c>
      <c r="I57" s="6">
        <f t="shared" si="16"/>
        <v>0.87</v>
      </c>
      <c r="J57" s="6">
        <f t="shared" si="16"/>
        <v>0.83</v>
      </c>
      <c r="K57" s="6">
        <f t="shared" si="16"/>
        <v>0.86</v>
      </c>
      <c r="L57" s="6">
        <f t="shared" si="16"/>
        <v>0.98</v>
      </c>
      <c r="M57" s="6">
        <f t="shared" si="16"/>
        <v>0.78</v>
      </c>
      <c r="N57" s="6">
        <f t="shared" si="16"/>
        <v>4.6741375</v>
      </c>
    </row>
    <row r="58">
      <c r="A58" s="5"/>
      <c r="B58" s="6">
        <f t="shared" ref="B58:N58" si="17">MEDIAN(B18, $B$38, $B$39)</f>
        <v>2.37</v>
      </c>
      <c r="C58" s="6">
        <f t="shared" si="17"/>
        <v>2.8</v>
      </c>
      <c r="D58" s="6">
        <f t="shared" si="17"/>
        <v>2.13</v>
      </c>
      <c r="E58" s="6">
        <f t="shared" si="17"/>
        <v>2.58</v>
      </c>
      <c r="F58" s="6">
        <f t="shared" si="17"/>
        <v>2.94</v>
      </c>
      <c r="G58" s="6">
        <f t="shared" si="17"/>
        <v>1.71</v>
      </c>
      <c r="H58" s="6">
        <f t="shared" si="17"/>
        <v>2.34</v>
      </c>
      <c r="I58" s="6">
        <f t="shared" si="17"/>
        <v>3.35</v>
      </c>
      <c r="J58" s="6">
        <f t="shared" si="17"/>
        <v>2.67</v>
      </c>
      <c r="K58" s="6">
        <f t="shared" si="17"/>
        <v>1.95</v>
      </c>
      <c r="L58" s="6">
        <f t="shared" si="17"/>
        <v>2.2</v>
      </c>
      <c r="M58" s="6">
        <f t="shared" si="17"/>
        <v>1.34</v>
      </c>
      <c r="N58" s="6">
        <f t="shared" si="17"/>
        <v>4.6741375</v>
      </c>
    </row>
    <row r="59">
      <c r="A59" s="5"/>
      <c r="B59" s="6">
        <f t="shared" ref="B59:N59" si="18">MEDIAN(B19, $B$38, $B$39)</f>
        <v>1.84</v>
      </c>
      <c r="C59" s="6">
        <f t="shared" si="18"/>
        <v>1.82</v>
      </c>
      <c r="D59" s="6">
        <f t="shared" si="18"/>
        <v>0.96</v>
      </c>
      <c r="E59" s="6">
        <f t="shared" si="18"/>
        <v>0.99</v>
      </c>
      <c r="F59" s="6">
        <f t="shared" si="18"/>
        <v>0.93</v>
      </c>
      <c r="G59" s="6">
        <f t="shared" si="18"/>
        <v>0.76</v>
      </c>
      <c r="H59" s="6">
        <f t="shared" si="18"/>
        <v>1.34</v>
      </c>
      <c r="I59" s="6">
        <f t="shared" si="18"/>
        <v>1.59</v>
      </c>
      <c r="J59" s="6">
        <f t="shared" si="18"/>
        <v>1.67</v>
      </c>
      <c r="K59" s="6">
        <f t="shared" si="18"/>
        <v>1.45</v>
      </c>
      <c r="L59" s="6">
        <f t="shared" si="18"/>
        <v>1.51</v>
      </c>
      <c r="M59" s="6">
        <f t="shared" si="18"/>
        <v>1.25</v>
      </c>
      <c r="N59" s="6">
        <f t="shared" si="18"/>
        <v>4.6741375</v>
      </c>
    </row>
    <row r="60">
      <c r="A60" s="5"/>
      <c r="B60" s="6">
        <f t="shared" ref="B60:N60" si="19">MEDIAN(B20, $B$38, $B$39)</f>
        <v>5.9</v>
      </c>
      <c r="C60" s="6">
        <f t="shared" si="19"/>
        <v>5.62</v>
      </c>
      <c r="D60" s="6">
        <f t="shared" si="19"/>
        <v>3.45</v>
      </c>
      <c r="E60" s="6">
        <f t="shared" si="19"/>
        <v>3.63</v>
      </c>
      <c r="F60" s="6">
        <f t="shared" si="19"/>
        <v>2.85</v>
      </c>
      <c r="G60" s="6">
        <f t="shared" si="19"/>
        <v>2.2</v>
      </c>
      <c r="H60" s="6">
        <f t="shared" si="19"/>
        <v>2.96</v>
      </c>
      <c r="I60" s="6">
        <f t="shared" si="19"/>
        <v>3.39</v>
      </c>
      <c r="J60" s="6">
        <f t="shared" si="19"/>
        <v>4.01</v>
      </c>
      <c r="K60" s="6">
        <f t="shared" si="19"/>
        <v>3.52</v>
      </c>
      <c r="L60" s="6">
        <f t="shared" si="19"/>
        <v>4.3</v>
      </c>
      <c r="M60" s="6">
        <f t="shared" si="19"/>
        <v>3.51</v>
      </c>
      <c r="N60" s="6">
        <f t="shared" si="19"/>
        <v>4.6741375</v>
      </c>
    </row>
    <row r="61">
      <c r="A61" s="5"/>
      <c r="B61" s="6">
        <f t="shared" ref="B61:N61" si="20">MEDIAN(B21, $B$38, $B$39)</f>
        <v>1.79</v>
      </c>
      <c r="C61" s="6">
        <f t="shared" si="20"/>
        <v>2.24</v>
      </c>
      <c r="D61" s="6">
        <f t="shared" si="20"/>
        <v>1.8</v>
      </c>
      <c r="E61" s="6">
        <f t="shared" si="20"/>
        <v>2.55</v>
      </c>
      <c r="F61" s="6">
        <f t="shared" si="20"/>
        <v>2.77</v>
      </c>
      <c r="G61" s="6">
        <f t="shared" si="20"/>
        <v>1.18</v>
      </c>
      <c r="H61" s="6">
        <f t="shared" si="20"/>
        <v>1.42</v>
      </c>
      <c r="I61" s="6">
        <f t="shared" si="20"/>
        <v>1.33</v>
      </c>
      <c r="J61" s="6">
        <f t="shared" si="20"/>
        <v>1.28</v>
      </c>
      <c r="K61" s="6">
        <f t="shared" si="20"/>
        <v>1.12</v>
      </c>
      <c r="L61" s="6">
        <f t="shared" si="20"/>
        <v>0.65</v>
      </c>
      <c r="M61" s="6">
        <f t="shared" si="20"/>
        <v>0.63</v>
      </c>
      <c r="N61" s="6">
        <f t="shared" si="20"/>
        <v>4.6741375</v>
      </c>
    </row>
    <row r="62">
      <c r="A62" s="5"/>
      <c r="B62" s="6">
        <f t="shared" ref="B62:N62" si="21">MEDIAN(B22, $B$38, $B$39)</f>
        <v>1.4</v>
      </c>
      <c r="C62" s="6">
        <f t="shared" si="21"/>
        <v>1.53</v>
      </c>
      <c r="D62" s="6">
        <f t="shared" si="21"/>
        <v>1.33</v>
      </c>
      <c r="E62" s="6">
        <f t="shared" si="21"/>
        <v>1.52</v>
      </c>
      <c r="F62" s="6">
        <f t="shared" si="21"/>
        <v>1.17</v>
      </c>
      <c r="G62" s="6">
        <f t="shared" si="21"/>
        <v>0.65</v>
      </c>
      <c r="H62" s="6">
        <f t="shared" si="21"/>
        <v>1.13</v>
      </c>
      <c r="I62" s="6">
        <f t="shared" si="21"/>
        <v>0.97</v>
      </c>
      <c r="J62" s="6">
        <f t="shared" si="21"/>
        <v>1.01</v>
      </c>
      <c r="K62" s="6">
        <f t="shared" si="21"/>
        <v>0.68</v>
      </c>
      <c r="L62" s="6">
        <f t="shared" si="21"/>
        <v>0.96</v>
      </c>
      <c r="M62" s="6">
        <f t="shared" si="21"/>
        <v>0.76</v>
      </c>
      <c r="N62" s="6">
        <f t="shared" si="21"/>
        <v>4.6741375</v>
      </c>
    </row>
    <row r="63">
      <c r="A63" s="5"/>
      <c r="B63" s="6">
        <f t="shared" ref="B63:N63" si="22">MEDIAN(B23, $B$38, $B$39)</f>
        <v>7.92</v>
      </c>
      <c r="C63" s="6">
        <f t="shared" si="22"/>
        <v>8.02</v>
      </c>
      <c r="D63" s="6">
        <f t="shared" si="22"/>
        <v>5.37</v>
      </c>
      <c r="E63" s="6">
        <f t="shared" si="22"/>
        <v>5.68</v>
      </c>
      <c r="F63" s="6">
        <f t="shared" si="22"/>
        <v>4.28</v>
      </c>
      <c r="G63" s="6">
        <f t="shared" si="22"/>
        <v>2.57</v>
      </c>
      <c r="H63" s="6">
        <f t="shared" si="22"/>
        <v>3.96</v>
      </c>
      <c r="I63" s="6">
        <f t="shared" si="22"/>
        <v>4.5</v>
      </c>
      <c r="J63" s="6">
        <f t="shared" si="22"/>
        <v>5.27</v>
      </c>
      <c r="K63" s="6">
        <f t="shared" si="22"/>
        <v>6.92</v>
      </c>
      <c r="L63" s="6">
        <f t="shared" si="22"/>
        <v>7.72</v>
      </c>
      <c r="M63" s="6">
        <f t="shared" si="22"/>
        <v>7.38</v>
      </c>
      <c r="N63" s="6">
        <f t="shared" si="22"/>
        <v>4.6741375</v>
      </c>
    </row>
    <row r="64">
      <c r="A64" s="5"/>
      <c r="B64" s="6">
        <f t="shared" ref="B64:N64" si="23">MEDIAN(B24, $B$38, $B$39)</f>
        <v>0.595775</v>
      </c>
      <c r="C64" s="6">
        <f t="shared" si="23"/>
        <v>0.87</v>
      </c>
      <c r="D64" s="6">
        <f t="shared" si="23"/>
        <v>0.595775</v>
      </c>
      <c r="E64" s="6">
        <f t="shared" si="23"/>
        <v>0.6</v>
      </c>
      <c r="F64" s="6">
        <f t="shared" si="23"/>
        <v>0.595775</v>
      </c>
      <c r="G64" s="6">
        <f t="shared" si="23"/>
        <v>0.595775</v>
      </c>
      <c r="H64" s="6">
        <f t="shared" si="23"/>
        <v>0.595775</v>
      </c>
      <c r="I64" s="6">
        <f t="shared" si="23"/>
        <v>0.595775</v>
      </c>
      <c r="J64" s="6">
        <f t="shared" si="23"/>
        <v>0.595775</v>
      </c>
      <c r="K64" s="6">
        <f t="shared" si="23"/>
        <v>0.595775</v>
      </c>
      <c r="L64" s="6">
        <f t="shared" si="23"/>
        <v>0.67</v>
      </c>
      <c r="M64" s="6">
        <f t="shared" si="23"/>
        <v>0.595775</v>
      </c>
      <c r="N64" s="6">
        <f t="shared" si="23"/>
        <v>4.6741375</v>
      </c>
    </row>
    <row r="65">
      <c r="A65" s="5"/>
      <c r="B65" s="6">
        <f t="shared" ref="B65:N65" si="24">MEDIAN(B25, $B$38, $B$39)</f>
        <v>0.88</v>
      </c>
      <c r="C65" s="6">
        <f t="shared" si="24"/>
        <v>0.85</v>
      </c>
      <c r="D65" s="6">
        <f t="shared" si="24"/>
        <v>0.595775</v>
      </c>
      <c r="E65" s="6">
        <f t="shared" si="24"/>
        <v>0.65</v>
      </c>
      <c r="F65" s="6">
        <f t="shared" si="24"/>
        <v>0.62</v>
      </c>
      <c r="G65" s="6">
        <f t="shared" si="24"/>
        <v>0.595775</v>
      </c>
      <c r="H65" s="6">
        <f t="shared" si="24"/>
        <v>0.595775</v>
      </c>
      <c r="I65" s="6">
        <f t="shared" si="24"/>
        <v>0.595775</v>
      </c>
      <c r="J65" s="6">
        <f t="shared" si="24"/>
        <v>0.595775</v>
      </c>
      <c r="K65" s="6">
        <f t="shared" si="24"/>
        <v>0.595775</v>
      </c>
      <c r="L65" s="6">
        <f t="shared" si="24"/>
        <v>0.595775</v>
      </c>
      <c r="M65" s="6">
        <f t="shared" si="24"/>
        <v>0.595775</v>
      </c>
      <c r="N65" s="6">
        <f t="shared" si="24"/>
        <v>4.6741375</v>
      </c>
    </row>
    <row r="66">
      <c r="A66" s="5"/>
      <c r="B66" s="6">
        <f t="shared" ref="B66:N66" si="25">MEDIAN(B26, $B$38, $B$39)</f>
        <v>5.11</v>
      </c>
      <c r="C66" s="6">
        <f t="shared" si="25"/>
        <v>5.84</v>
      </c>
      <c r="D66" s="6">
        <f t="shared" si="25"/>
        <v>5.2</v>
      </c>
      <c r="E66" s="6">
        <f t="shared" si="25"/>
        <v>7.14</v>
      </c>
      <c r="F66" s="6">
        <f t="shared" si="25"/>
        <v>7.16</v>
      </c>
      <c r="G66" s="6">
        <f t="shared" si="25"/>
        <v>4.36</v>
      </c>
      <c r="H66" s="6">
        <f t="shared" si="25"/>
        <v>5.12</v>
      </c>
      <c r="I66" s="6">
        <f t="shared" si="25"/>
        <v>4.42</v>
      </c>
      <c r="J66" s="6">
        <f t="shared" si="25"/>
        <v>4.06</v>
      </c>
      <c r="K66" s="6">
        <f t="shared" si="25"/>
        <v>4.56</v>
      </c>
      <c r="L66" s="6">
        <f t="shared" si="25"/>
        <v>5.27</v>
      </c>
      <c r="M66" s="6">
        <f t="shared" si="25"/>
        <v>5.1</v>
      </c>
      <c r="N66" s="6">
        <f t="shared" si="25"/>
        <v>4.6741375</v>
      </c>
    </row>
    <row r="67">
      <c r="A67" s="5"/>
      <c r="B67" s="6">
        <f t="shared" ref="B67:N67" si="26">MEDIAN(B27, $B$38, $B$39)</f>
        <v>2.37</v>
      </c>
      <c r="C67" s="6">
        <f t="shared" si="26"/>
        <v>2.12</v>
      </c>
      <c r="D67" s="6">
        <f t="shared" si="26"/>
        <v>1.82</v>
      </c>
      <c r="E67" s="6">
        <f t="shared" si="26"/>
        <v>2.95</v>
      </c>
      <c r="F67" s="6">
        <f t="shared" si="26"/>
        <v>2.29</v>
      </c>
      <c r="G67" s="6">
        <f t="shared" si="26"/>
        <v>1.34</v>
      </c>
      <c r="H67" s="6">
        <f t="shared" si="26"/>
        <v>1.98</v>
      </c>
      <c r="I67" s="6">
        <f t="shared" si="26"/>
        <v>1.83</v>
      </c>
      <c r="J67" s="6">
        <f t="shared" si="26"/>
        <v>1.38</v>
      </c>
      <c r="K67" s="6">
        <f t="shared" si="26"/>
        <v>1.56</v>
      </c>
      <c r="L67" s="6">
        <f t="shared" si="26"/>
        <v>2.67</v>
      </c>
      <c r="M67" s="6">
        <f t="shared" si="26"/>
        <v>2.23</v>
      </c>
      <c r="N67" s="6">
        <f t="shared" si="26"/>
        <v>4.6741375</v>
      </c>
    </row>
    <row r="68">
      <c r="A68" s="5"/>
      <c r="B68" s="6">
        <f t="shared" ref="B68:N68" si="27">MEDIAN(B28, $B$38, $B$39)</f>
        <v>4.51</v>
      </c>
      <c r="C68" s="6">
        <f t="shared" si="27"/>
        <v>6.63</v>
      </c>
      <c r="D68" s="6">
        <f t="shared" si="27"/>
        <v>5.52</v>
      </c>
      <c r="E68" s="6">
        <f t="shared" si="27"/>
        <v>7.84</v>
      </c>
      <c r="F68" s="6">
        <f t="shared" si="27"/>
        <v>6.4</v>
      </c>
      <c r="G68" s="6">
        <f t="shared" si="27"/>
        <v>3.94</v>
      </c>
      <c r="H68" s="6">
        <f t="shared" si="27"/>
        <v>5.11</v>
      </c>
      <c r="I68" s="6">
        <f t="shared" si="27"/>
        <v>5.18</v>
      </c>
      <c r="J68" s="6">
        <f t="shared" si="27"/>
        <v>3.09</v>
      </c>
      <c r="K68" s="6">
        <f t="shared" si="27"/>
        <v>2.67</v>
      </c>
      <c r="L68" s="6">
        <f t="shared" si="27"/>
        <v>2.92</v>
      </c>
      <c r="M68" s="6">
        <f t="shared" si="27"/>
        <v>2.13</v>
      </c>
      <c r="N68" s="6">
        <f t="shared" si="27"/>
        <v>4.6741375</v>
      </c>
    </row>
    <row r="69">
      <c r="A69" s="5"/>
      <c r="B69" s="6">
        <f t="shared" ref="B69:N69" si="28">MEDIAN(B29, $B$38, $B$39)</f>
        <v>8.7525</v>
      </c>
      <c r="C69" s="6">
        <f t="shared" si="28"/>
        <v>8.7525</v>
      </c>
      <c r="D69" s="6">
        <f t="shared" si="28"/>
        <v>5.93</v>
      </c>
      <c r="E69" s="6">
        <f t="shared" si="28"/>
        <v>8.7525</v>
      </c>
      <c r="F69" s="6">
        <f t="shared" si="28"/>
        <v>8.7525</v>
      </c>
      <c r="G69" s="6">
        <f t="shared" si="28"/>
        <v>4.89</v>
      </c>
      <c r="H69" s="6">
        <f t="shared" si="28"/>
        <v>4.55</v>
      </c>
      <c r="I69" s="6">
        <f t="shared" si="28"/>
        <v>5.33</v>
      </c>
      <c r="J69" s="6">
        <f t="shared" si="28"/>
        <v>4.87</v>
      </c>
      <c r="K69" s="6">
        <f t="shared" si="28"/>
        <v>3.32</v>
      </c>
      <c r="L69" s="6">
        <f t="shared" si="28"/>
        <v>2.14</v>
      </c>
      <c r="M69" s="6">
        <f t="shared" si="28"/>
        <v>1.44</v>
      </c>
      <c r="N69" s="6">
        <f t="shared" si="28"/>
        <v>4.6741375</v>
      </c>
    </row>
    <row r="70">
      <c r="A70" s="5"/>
      <c r="B70" s="6">
        <f t="shared" ref="B70:N70" si="29">MEDIAN(B30, $B$38, $B$39)</f>
        <v>4.46</v>
      </c>
      <c r="C70" s="6">
        <f t="shared" si="29"/>
        <v>3.97</v>
      </c>
      <c r="D70" s="6">
        <f t="shared" si="29"/>
        <v>3.48</v>
      </c>
      <c r="E70" s="6">
        <f t="shared" si="29"/>
        <v>3.62</v>
      </c>
      <c r="F70" s="6">
        <f t="shared" si="29"/>
        <v>4.35</v>
      </c>
      <c r="G70" s="6">
        <f t="shared" si="29"/>
        <v>2.21</v>
      </c>
      <c r="H70" s="6">
        <f t="shared" si="29"/>
        <v>2.64</v>
      </c>
      <c r="I70" s="6">
        <f t="shared" si="29"/>
        <v>3.5</v>
      </c>
      <c r="J70" s="6">
        <f t="shared" si="29"/>
        <v>4.32</v>
      </c>
      <c r="K70" s="6">
        <f t="shared" si="29"/>
        <v>3.52</v>
      </c>
      <c r="L70" s="6">
        <f t="shared" si="29"/>
        <v>3.24</v>
      </c>
      <c r="M70" s="6">
        <f t="shared" si="29"/>
        <v>2.77</v>
      </c>
      <c r="N70" s="6">
        <f t="shared" si="29"/>
        <v>4.6741375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P1" s="8" t="s">
        <v>45</v>
      </c>
    </row>
    <row r="2">
      <c r="A2" s="1" t="s">
        <v>12</v>
      </c>
      <c r="B2" s="3">
        <f>(Sheet1!$B$35 - Sheet1!B2) / (Sheet1!$B$35 - Sheet1!$B$34)</f>
        <v>0.06526535115</v>
      </c>
      <c r="C2" s="3">
        <f>(Sheet1!$B$35 - Sheet1!C2) / (Sheet1!$B$35 - Sheet1!$B$34)</f>
        <v>0</v>
      </c>
      <c r="D2" s="3">
        <f>(Sheet1!$B$35 - Sheet1!D2) / (Sheet1!$B$35 - Sheet1!$B$34)</f>
        <v>0.2699472975</v>
      </c>
      <c r="E2" s="3">
        <f>(Sheet1!$B$35 - Sheet1!E2) / (Sheet1!$B$35 - Sheet1!$B$34)</f>
        <v>0</v>
      </c>
      <c r="F2" s="3">
        <f>(Sheet1!$B$35 - Sheet1!F2) / (Sheet1!$B$35 - Sheet1!$B$34)</f>
        <v>0</v>
      </c>
      <c r="G2" s="3">
        <f>(Sheet1!$B$35 - Sheet1!G2) / (Sheet1!$B$35 - Sheet1!$B$34)</f>
        <v>0.5457163868</v>
      </c>
      <c r="H2" s="3">
        <f>(Sheet1!$B$35 - Sheet1!H2) / (Sheet1!$B$35 - Sheet1!$B$34)</f>
        <v>0.1939575928</v>
      </c>
      <c r="I2" s="3">
        <f>(Sheet1!$B$35 - Sheet1!I2) / (Sheet1!$B$35 - Sheet1!$B$34)</f>
        <v>0.2773011398</v>
      </c>
      <c r="J2" s="3">
        <f>(Sheet1!$B$35 - Sheet1!J2) / (Sheet1!$B$35 - Sheet1!$B$34)</f>
        <v>0.05055766638</v>
      </c>
      <c r="K2" s="3">
        <f>(Sheet1!$B$35 - Sheet1!K2) / (Sheet1!$B$35 - Sheet1!$B$34)</f>
        <v>0.1878293909</v>
      </c>
      <c r="L2" s="3">
        <f>(Sheet1!$B$35 - Sheet1!L2) / (Sheet1!$B$35 - Sheet1!$B$34)</f>
        <v>0</v>
      </c>
      <c r="M2" s="3">
        <f>(Sheet1!$B$35 - Sheet1!M2) / (Sheet1!$B$35 - Sheet1!$B$34)</f>
        <v>0.0861012379</v>
      </c>
      <c r="P2" s="9">
        <f>IFERROR(__xludf.DUMMYFUNCTION("FLATTEN(B2:M30)"),0.06526535114597364)</f>
        <v>0.06526535115</v>
      </c>
    </row>
    <row r="3">
      <c r="A3" s="1" t="s">
        <v>13</v>
      </c>
      <c r="B3" s="3">
        <f>(Sheet1!$B$35 - Sheet1!B3) / (Sheet1!$B$35 - Sheet1!$B$34)</f>
        <v>0.2625934551</v>
      </c>
      <c r="C3" s="3">
        <f>(Sheet1!$B$35 - Sheet1!C3) / (Sheet1!$B$35 - Sheet1!$B$34)</f>
        <v>0.1302242922</v>
      </c>
      <c r="D3" s="3">
        <f>(Sheet1!$B$35 - Sheet1!D3) / (Sheet1!$B$35 - Sheet1!$B$34)</f>
        <v>0.1314499326</v>
      </c>
      <c r="E3" s="3">
        <f>(Sheet1!$B$35 - Sheet1!E3) / (Sheet1!$B$35 - Sheet1!$B$34)</f>
        <v>0</v>
      </c>
      <c r="F3" s="3">
        <f>(Sheet1!$B$35 - Sheet1!F3) / (Sheet1!$B$35 - Sheet1!$B$34)</f>
        <v>0</v>
      </c>
      <c r="G3" s="3">
        <f>(Sheet1!$B$35 - Sheet1!G3) / (Sheet1!$B$35 - Sheet1!$B$34)</f>
        <v>0.1032602035</v>
      </c>
      <c r="H3" s="3">
        <f>(Sheet1!$B$35 - Sheet1!H3) / (Sheet1!$B$35 - Sheet1!$B$34)</f>
        <v>0.1608653021</v>
      </c>
      <c r="I3" s="3">
        <f>(Sheet1!$B$35 - Sheet1!I3) / (Sheet1!$B$35 - Sheet1!$B$34)</f>
        <v>0.2895575438</v>
      </c>
      <c r="J3" s="3">
        <f>(Sheet1!$B$35 - Sheet1!J3) / (Sheet1!$B$35 - Sheet1!$B$34)</f>
        <v>0.2368550067</v>
      </c>
      <c r="K3" s="3">
        <f>(Sheet1!$B$35 - Sheet1!K3) / (Sheet1!$B$35 - Sheet1!$B$34)</f>
        <v>0.3569677657</v>
      </c>
      <c r="L3" s="3">
        <f>(Sheet1!$B$35 - Sheet1!L3) / (Sheet1!$B$35 - Sheet1!$B$34)</f>
        <v>0.4023164604</v>
      </c>
      <c r="M3" s="3">
        <f>(Sheet1!$B$35 - Sheet1!M3) / (Sheet1!$B$35 - Sheet1!$B$34)</f>
        <v>0.567777914</v>
      </c>
      <c r="P3" s="3">
        <f>IFERROR(__xludf.DUMMYFUNCTION("""COMPUTED_VALUE"""),0.0)</f>
        <v>0</v>
      </c>
    </row>
    <row r="4">
      <c r="A4" s="1" t="s">
        <v>14</v>
      </c>
      <c r="B4" s="3">
        <f>(Sheet1!$B$35 - Sheet1!B4) / (Sheet1!$B$35 - Sheet1!$B$34)</f>
        <v>0.7442701311</v>
      </c>
      <c r="C4" s="3">
        <f>(Sheet1!$B$35 - Sheet1!C4) / (Sheet1!$B$35 - Sheet1!$B$34)</f>
        <v>0.7209829636</v>
      </c>
      <c r="D4" s="3">
        <f>(Sheet1!$B$35 - Sheet1!D4) / (Sheet1!$B$35 - Sheet1!$B$34)</f>
        <v>0.7025983576</v>
      </c>
      <c r="E4" s="3">
        <f>(Sheet1!$B$35 - Sheet1!E4) / (Sheet1!$B$35 - Sheet1!$B$34)</f>
        <v>0.6572496629</v>
      </c>
      <c r="F4" s="3">
        <f>(Sheet1!$B$35 - Sheet1!F4) / (Sheet1!$B$35 - Sheet1!$B$34)</f>
        <v>0.6682804265</v>
      </c>
      <c r="G4" s="3">
        <f>(Sheet1!$B$35 - Sheet1!G4) / (Sheet1!$B$35 - Sheet1!$B$34)</f>
        <v>0.8668341709</v>
      </c>
      <c r="H4" s="3">
        <f>(Sheet1!$B$35 - Sheet1!H4) / (Sheet1!$B$35 - Sheet1!$B$34)</f>
        <v>0.6364137762</v>
      </c>
      <c r="I4" s="3">
        <f>(Sheet1!$B$35 - Sheet1!I4) / (Sheet1!$B$35 - Sheet1!$B$34)</f>
        <v>0.7295624464</v>
      </c>
      <c r="J4" s="3">
        <f>(Sheet1!$B$35 - Sheet1!J4) / (Sheet1!$B$35 - Sheet1!$B$34)</f>
        <v>0.7540752543</v>
      </c>
      <c r="K4" s="3">
        <f>(Sheet1!$B$35 - Sheet1!K4) / (Sheet1!$B$35 - Sheet1!$B$34)</f>
        <v>0.7589778159</v>
      </c>
      <c r="L4" s="3">
        <f>(Sheet1!$B$35 - Sheet1!L4) / (Sheet1!$B$35 - Sheet1!$B$34)</f>
        <v>0.6168035298</v>
      </c>
      <c r="M4" s="3">
        <f>(Sheet1!$B$35 - Sheet1!M4) / (Sheet1!$B$35 - Sheet1!$B$34)</f>
        <v>0.799423949</v>
      </c>
      <c r="P4" s="3">
        <f>IFERROR(__xludf.DUMMYFUNCTION("""COMPUTED_VALUE"""),0.2699472974629244)</f>
        <v>0.2699472975</v>
      </c>
    </row>
    <row r="5">
      <c r="A5" s="1" t="s">
        <v>15</v>
      </c>
      <c r="B5" s="3">
        <f>(Sheet1!$B$35 - Sheet1!B5) / (Sheet1!$B$35 - Sheet1!$B$34)</f>
        <v>0.7798137027</v>
      </c>
      <c r="C5" s="3">
        <f>(Sheet1!$B$35 - Sheet1!C5) / (Sheet1!$B$35 - Sheet1!$B$34)</f>
        <v>0.7822649835</v>
      </c>
      <c r="D5" s="3">
        <f>(Sheet1!$B$35 - Sheet1!D5) / (Sheet1!$B$35 - Sheet1!$B$34)</f>
        <v>0.7712342199</v>
      </c>
      <c r="E5" s="3">
        <f>(Sheet1!$B$35 - Sheet1!E5) / (Sheet1!$B$35 - Sheet1!$B$34)</f>
        <v>0.5861625199</v>
      </c>
      <c r="F5" s="3">
        <f>(Sheet1!$B$35 - Sheet1!F5) / (Sheet1!$B$35 - Sheet1!$B$34)</f>
        <v>0.7614290967</v>
      </c>
      <c r="G5" s="3">
        <f>(Sheet1!$B$35 - Sheet1!G5) / (Sheet1!$B$35 - Sheet1!$B$34)</f>
        <v>0.9085059444</v>
      </c>
      <c r="H5" s="3">
        <f>(Sheet1!$B$35 - Sheet1!H5) / (Sheet1!$B$35 - Sheet1!$B$34)</f>
        <v>0.7503983331</v>
      </c>
      <c r="I5" s="3">
        <f>(Sheet1!$B$35 - Sheet1!I5) / (Sheet1!$B$35 - Sheet1!$B$34)</f>
        <v>0.7651060179</v>
      </c>
      <c r="J5" s="3">
        <f>(Sheet1!$B$35 - Sheet1!J5) / (Sheet1!$B$35 - Sheet1!$B$34)</f>
        <v>0.7479470523</v>
      </c>
      <c r="K5" s="3">
        <f>(Sheet1!$B$35 - Sheet1!K5) / (Sheet1!$B$35 - Sheet1!$B$34)</f>
        <v>0.7209829636</v>
      </c>
      <c r="L5" s="3">
        <f>(Sheet1!$B$35 - Sheet1!L5) / (Sheet1!$B$35 - Sheet1!$B$34)</f>
        <v>0.716080402</v>
      </c>
      <c r="M5" s="3">
        <f>(Sheet1!$B$35 - Sheet1!M5) / (Sheet1!$B$35 - Sheet1!$B$34)</f>
        <v>0.8165829146</v>
      </c>
      <c r="P5" s="3">
        <f>IFERROR(__xludf.DUMMYFUNCTION("""COMPUTED_VALUE"""),0.0)</f>
        <v>0</v>
      </c>
    </row>
    <row r="6">
      <c r="A6" s="1" t="s">
        <v>16</v>
      </c>
      <c r="B6" s="3">
        <f>(Sheet1!$B$35 - Sheet1!B6) / (Sheet1!$B$35 - Sheet1!$B$34)</f>
        <v>0.09590636107</v>
      </c>
      <c r="C6" s="3">
        <f>(Sheet1!$B$35 - Sheet1!C6) / (Sheet1!$B$35 - Sheet1!$B$34)</f>
        <v>0.07507047432</v>
      </c>
      <c r="D6" s="3">
        <f>(Sheet1!$B$35 - Sheet1!D6) / (Sheet1!$B$35 - Sheet1!$B$34)</f>
        <v>0.06771663194</v>
      </c>
      <c r="E6" s="3">
        <f>(Sheet1!$B$35 - Sheet1!E6) / (Sheet1!$B$35 - Sheet1!$B$34)</f>
        <v>0</v>
      </c>
      <c r="F6" s="3">
        <f>(Sheet1!$B$35 - Sheet1!F6) / (Sheet1!$B$35 - Sheet1!$B$34)</f>
        <v>0</v>
      </c>
      <c r="G6" s="3">
        <f>(Sheet1!$B$35 - Sheet1!G6) / (Sheet1!$B$35 - Sheet1!$B$34)</f>
        <v>0.4550189974</v>
      </c>
      <c r="H6" s="3">
        <f>(Sheet1!$B$35 - Sheet1!H6) / (Sheet1!$B$35 - Sheet1!$B$34)</f>
        <v>0</v>
      </c>
      <c r="I6" s="3">
        <f>(Sheet1!$B$35 - Sheet1!I6) / (Sheet1!$B$35 - Sheet1!$B$34)</f>
        <v>0.144931977</v>
      </c>
      <c r="J6" s="3">
        <f>(Sheet1!$B$35 - Sheet1!J6) / (Sheet1!$B$35 - Sheet1!$B$34)</f>
        <v>0.2834293418</v>
      </c>
      <c r="K6" s="3">
        <f>(Sheet1!$B$35 - Sheet1!K6) / (Sheet1!$B$35 - Sheet1!$B$34)</f>
        <v>0.4501164358</v>
      </c>
      <c r="L6" s="3">
        <f>(Sheet1!$B$35 - Sheet1!L6) / (Sheet1!$B$35 - Sheet1!$B$34)</f>
        <v>0.6057727663</v>
      </c>
      <c r="M6" s="3">
        <f>(Sheet1!$B$35 - Sheet1!M6) / (Sheet1!$B$35 - Sheet1!$B$34)</f>
        <v>0.8214854762</v>
      </c>
      <c r="P6" s="3">
        <f>IFERROR(__xludf.DUMMYFUNCTION("""COMPUTED_VALUE"""),0.0)</f>
        <v>0</v>
      </c>
    </row>
    <row r="7">
      <c r="A7" s="1" t="s">
        <v>17</v>
      </c>
      <c r="B7" s="3">
        <f>(Sheet1!$B$35 - Sheet1!B7) / (Sheet1!$B$35 - Sheet1!$B$34)</f>
        <v>0</v>
      </c>
      <c r="C7" s="3">
        <f>(Sheet1!$B$35 - Sheet1!C7) / (Sheet1!$B$35 - Sheet1!$B$34)</f>
        <v>0.1817011889</v>
      </c>
      <c r="D7" s="3">
        <f>(Sheet1!$B$35 - Sheet1!D7) / (Sheet1!$B$35 - Sheet1!$B$34)</f>
        <v>0.5800343179</v>
      </c>
      <c r="E7" s="3">
        <f>(Sheet1!$B$35 - Sheet1!E7) / (Sheet1!$B$35 - Sheet1!$B$34)</f>
        <v>0.6633778649</v>
      </c>
      <c r="F7" s="3">
        <f>(Sheet1!$B$35 - Sheet1!F7) / (Sheet1!$B$35 - Sheet1!$B$34)</f>
        <v>0.8080034318</v>
      </c>
      <c r="G7" s="3">
        <f>(Sheet1!$B$35 - Sheet1!G7) / (Sheet1!$B$35 - Sheet1!$B$34)</f>
        <v>0.901152102</v>
      </c>
      <c r="H7" s="3">
        <f>(Sheet1!$B$35 - Sheet1!H7) / (Sheet1!$B$35 - Sheet1!$B$34)</f>
        <v>0.8435470033</v>
      </c>
      <c r="I7" s="3">
        <f>(Sheet1!$B$35 - Sheet1!I7) / (Sheet1!$B$35 - Sheet1!$B$34)</f>
        <v>0.6646035053</v>
      </c>
      <c r="J7" s="3">
        <f>(Sheet1!$B$35 - Sheet1!J7) / (Sheet1!$B$35 - Sheet1!$B$34)</f>
        <v>0.5788086775</v>
      </c>
      <c r="K7" s="3">
        <f>(Sheet1!$B$35 - Sheet1!K7) / (Sheet1!$B$35 - Sheet1!$B$34)</f>
        <v>0.5849368795</v>
      </c>
      <c r="L7" s="3">
        <f>(Sheet1!$B$35 - Sheet1!L7) / (Sheet1!$B$35 - Sheet1!$B$34)</f>
        <v>0.6094496875</v>
      </c>
      <c r="M7" s="3">
        <f>(Sheet1!$B$35 - Sheet1!M7) / (Sheet1!$B$35 - Sheet1!$B$34)</f>
        <v>0.901152102</v>
      </c>
      <c r="P7" s="3">
        <f>IFERROR(__xludf.DUMMYFUNCTION("""COMPUTED_VALUE"""),0.5457163868121093)</f>
        <v>0.5457163868</v>
      </c>
    </row>
    <row r="8">
      <c r="A8" s="1" t="s">
        <v>18</v>
      </c>
      <c r="B8" s="3">
        <f>(Sheet1!$B$35 - Sheet1!B8) / (Sheet1!$B$35 - Sheet1!$B$34)</f>
        <v>0.3618703272</v>
      </c>
      <c r="C8" s="3">
        <f>(Sheet1!$B$35 - Sheet1!C8) / (Sheet1!$B$35 - Sheet1!$B$34)</f>
        <v>0.4954651305</v>
      </c>
      <c r="D8" s="3">
        <f>(Sheet1!$B$35 - Sheet1!D8) / (Sheet1!$B$35 - Sheet1!$B$34)</f>
        <v>0.6989214365</v>
      </c>
      <c r="E8" s="3">
        <f>(Sheet1!$B$35 - Sheet1!E8) / (Sheet1!$B$35 - Sheet1!$B$34)</f>
        <v>0.6290599338</v>
      </c>
      <c r="F8" s="3">
        <f>(Sheet1!$B$35 - Sheet1!F8) / (Sheet1!$B$35 - Sheet1!$B$34)</f>
        <v>0.7271111656</v>
      </c>
      <c r="G8" s="3">
        <f>(Sheet1!$B$35 - Sheet1!G8) / (Sheet1!$B$35 - Sheet1!$B$34)</f>
        <v>0.7356906484</v>
      </c>
      <c r="H8" s="3">
        <f>(Sheet1!$B$35 - Sheet1!H8) / (Sheet1!$B$35 - Sheet1!$B$34)</f>
        <v>0.870511092</v>
      </c>
      <c r="I8" s="3">
        <f>(Sheet1!$B$35 - Sheet1!I8) / (Sheet1!$B$35 - Sheet1!$B$34)</f>
        <v>0.8398700821</v>
      </c>
      <c r="J8" s="3">
        <f>(Sheet1!$B$35 - Sheet1!J8) / (Sheet1!$B$35 - Sheet1!$B$34)</f>
        <v>0.8937982596</v>
      </c>
      <c r="K8" s="3">
        <f>(Sheet1!$B$35 - Sheet1!K8) / (Sheet1!$B$35 - Sheet1!$B$34)</f>
        <v>0.8950239</v>
      </c>
      <c r="L8" s="3">
        <f>(Sheet1!$B$35 - Sheet1!L8) / (Sheet1!$B$35 - Sheet1!$B$34)</f>
        <v>0.8717367324</v>
      </c>
      <c r="M8" s="3">
        <f>(Sheet1!$B$35 - Sheet1!M8) / (Sheet1!$B$35 - Sheet1!$B$34)</f>
        <v>0.8937982596</v>
      </c>
      <c r="P8" s="3">
        <f>IFERROR(__xludf.DUMMYFUNCTION("""COMPUTED_VALUE"""),0.19395759284226005)</f>
        <v>0.1939575928</v>
      </c>
    </row>
    <row r="9">
      <c r="A9" s="1" t="s">
        <v>19</v>
      </c>
      <c r="B9" s="3">
        <f>(Sheet1!$B$35 - Sheet1!B9) / (Sheet1!$B$35 - Sheet1!$B$34)</f>
        <v>0.620480451</v>
      </c>
      <c r="C9" s="3">
        <f>(Sheet1!$B$35 - Sheet1!C9) / (Sheet1!$B$35 - Sheet1!$B$34)</f>
        <v>0.6057727663</v>
      </c>
      <c r="D9" s="3">
        <f>(Sheet1!$B$35 - Sheet1!D9) / (Sheet1!$B$35 - Sheet1!$B$34)</f>
        <v>0.716080402</v>
      </c>
      <c r="E9" s="3">
        <f>(Sheet1!$B$35 - Sheet1!E9) / (Sheet1!$B$35 - Sheet1!$B$34)</f>
        <v>0.620480451</v>
      </c>
      <c r="F9" s="3">
        <f>(Sheet1!$B$35 - Sheet1!F9) / (Sheet1!$B$35 - Sheet1!$B$34)</f>
        <v>0.638865057</v>
      </c>
      <c r="G9" s="3">
        <f>(Sheet1!$B$35 - Sheet1!G9) / (Sheet1!$B$35 - Sheet1!$B$34)</f>
        <v>0.8668341709</v>
      </c>
      <c r="H9" s="3">
        <f>(Sheet1!$B$35 - Sheet1!H9) / (Sheet1!$B$35 - Sheet1!$B$34)</f>
        <v>0.7736855007</v>
      </c>
      <c r="I9" s="3">
        <f>(Sheet1!$B$35 - Sheet1!I9) / (Sheet1!$B$35 - Sheet1!$B$34)</f>
        <v>0.7467214119</v>
      </c>
      <c r="J9" s="3">
        <f>(Sheet1!$B$35 - Sheet1!J9) / (Sheet1!$B$35 - Sheet1!$B$34)</f>
        <v>0.7516239735</v>
      </c>
      <c r="K9" s="3">
        <f>(Sheet1!$B$35 - Sheet1!K9) / (Sheet1!$B$35 - Sheet1!$B$34)</f>
        <v>0.620480451</v>
      </c>
      <c r="L9" s="3">
        <f>(Sheet1!$B$35 - Sheet1!L9) / (Sheet1!$B$35 - Sheet1!$B$34)</f>
        <v>0.6400906974</v>
      </c>
      <c r="M9" s="3">
        <f>(Sheet1!$B$35 - Sheet1!M9) / (Sheet1!$B$35 - Sheet1!$B$34)</f>
        <v>0.6731829881</v>
      </c>
      <c r="P9" s="3">
        <f>IFERROR(__xludf.DUMMYFUNCTION("""COMPUTED_VALUE"""),0.27730113984556926)</f>
        <v>0.2773011398</v>
      </c>
    </row>
    <row r="10">
      <c r="A10" s="1" t="s">
        <v>20</v>
      </c>
      <c r="B10" s="3">
        <f>(Sheet1!$B$35 - Sheet1!B10) / (Sheet1!$B$35 - Sheet1!$B$34)</f>
        <v>0.5015933325</v>
      </c>
      <c r="C10" s="3">
        <f>(Sheet1!$B$35 - Sheet1!C10) / (Sheet1!$B$35 - Sheet1!$B$34)</f>
        <v>0.5506189484</v>
      </c>
      <c r="D10" s="3">
        <f>(Sheet1!$B$35 - Sheet1!D10) / (Sheet1!$B$35 - Sheet1!$B$34)</f>
        <v>0.3912856968</v>
      </c>
      <c r="E10" s="3">
        <f>(Sheet1!$B$35 - Sheet1!E10) / (Sheet1!$B$35 - Sheet1!$B$34)</f>
        <v>0.2907831842</v>
      </c>
      <c r="F10" s="3">
        <f>(Sheet1!$B$35 - Sheet1!F10) / (Sheet1!$B$35 - Sheet1!$B$34)</f>
        <v>0.2380806471</v>
      </c>
      <c r="G10" s="3">
        <f>(Sheet1!$B$35 - Sheet1!G10) / (Sheet1!$B$35 - Sheet1!$B$34)</f>
        <v>0.567777914</v>
      </c>
      <c r="H10" s="3">
        <f>(Sheet1!$B$35 - Sheet1!H10) / (Sheet1!$B$35 - Sheet1!$B$34)</f>
        <v>0.2920088246</v>
      </c>
      <c r="I10" s="3">
        <f>(Sheet1!$B$35 - Sheet1!I10) / (Sheet1!$B$35 - Sheet1!$B$34)</f>
        <v>0.3226498345</v>
      </c>
      <c r="J10" s="3">
        <f>(Sheet1!$B$35 - Sheet1!J10) / (Sheet1!$B$35 - Sheet1!$B$34)</f>
        <v>0.4194754259</v>
      </c>
      <c r="K10" s="3">
        <f>(Sheet1!$B$35 - Sheet1!K10) / (Sheet1!$B$35 - Sheet1!$B$34)</f>
        <v>0.5212035789</v>
      </c>
      <c r="L10" s="3">
        <f>(Sheet1!$B$35 - Sheet1!L10) / (Sheet1!$B$35 - Sheet1!$B$34)</f>
        <v>0.4243779875</v>
      </c>
      <c r="M10" s="3">
        <f>(Sheet1!$B$35 - Sheet1!M10) / (Sheet1!$B$35 - Sheet1!$B$34)</f>
        <v>0.537136904</v>
      </c>
      <c r="P10" s="3">
        <f>IFERROR(__xludf.DUMMYFUNCTION("""COMPUTED_VALUE"""),0.05055766638068387)</f>
        <v>0.05055766638</v>
      </c>
    </row>
    <row r="11">
      <c r="A11" s="1" t="s">
        <v>21</v>
      </c>
      <c r="B11" s="3">
        <f>(Sheet1!$B$35 - Sheet1!B11) / (Sheet1!$B$35 - Sheet1!$B$34)</f>
        <v>0.0419781836</v>
      </c>
      <c r="C11" s="3">
        <f>(Sheet1!$B$35 - Sheet1!C11) / (Sheet1!$B$35 - Sheet1!$B$34)</f>
        <v>0.01746537566</v>
      </c>
      <c r="D11" s="3">
        <f>(Sheet1!$B$35 - Sheet1!D11) / (Sheet1!$B$35 - Sheet1!$B$34)</f>
        <v>0</v>
      </c>
      <c r="E11" s="3">
        <f>(Sheet1!$B$35 - Sheet1!E11) / (Sheet1!$B$35 - Sheet1!$B$34)</f>
        <v>0</v>
      </c>
      <c r="F11" s="3">
        <f>(Sheet1!$B$35 - Sheet1!F11) / (Sheet1!$B$35 - Sheet1!$B$34)</f>
        <v>0</v>
      </c>
      <c r="G11" s="3">
        <f>(Sheet1!$B$35 - Sheet1!G11) / (Sheet1!$B$35 - Sheet1!$B$34)</f>
        <v>0</v>
      </c>
      <c r="H11" s="3">
        <f>(Sheet1!$B$35 - Sheet1!H11) / (Sheet1!$B$35 - Sheet1!$B$34)</f>
        <v>0</v>
      </c>
      <c r="I11" s="3">
        <f>(Sheet1!$B$35 - Sheet1!I11) / (Sheet1!$B$35 - Sheet1!$B$34)</f>
        <v>0.07752175512</v>
      </c>
      <c r="J11" s="3">
        <f>(Sheet1!$B$35 - Sheet1!J11) / (Sheet1!$B$35 - Sheet1!$B$34)</f>
        <v>0.3459370021</v>
      </c>
      <c r="K11" s="3">
        <f>(Sheet1!$B$35 - Sheet1!K11) / (Sheet1!$B$35 - Sheet1!$B$34)</f>
        <v>0.3569677657</v>
      </c>
      <c r="L11" s="3">
        <f>(Sheet1!$B$35 - Sheet1!L11) / (Sheet1!$B$35 - Sheet1!$B$34)</f>
        <v>0.3483882829</v>
      </c>
      <c r="M11" s="3">
        <f>(Sheet1!$B$35 - Sheet1!M11) / (Sheet1!$B$35 - Sheet1!$B$34)</f>
        <v>0.5248805001</v>
      </c>
      <c r="P11" s="3">
        <f>IFERROR(__xludf.DUMMYFUNCTION("""COMPUTED_VALUE"""),0.18782939085672262)</f>
        <v>0.1878293909</v>
      </c>
    </row>
    <row r="12">
      <c r="A12" s="1" t="s">
        <v>22</v>
      </c>
      <c r="B12" s="3">
        <f>(Sheet1!$B$35 - Sheet1!B12) / (Sheet1!$B$35 - Sheet1!$B$34)</f>
        <v>0.4415369531</v>
      </c>
      <c r="C12" s="3">
        <f>(Sheet1!$B$35 - Sheet1!C12) / (Sheet1!$B$35 - Sheet1!$B$34)</f>
        <v>0.4819830862</v>
      </c>
      <c r="D12" s="3">
        <f>(Sheet1!$B$35 - Sheet1!D12) / (Sheet1!$B$35 - Sheet1!$B$34)</f>
        <v>0.4525677166</v>
      </c>
      <c r="E12" s="3">
        <f>(Sheet1!$B$35 - Sheet1!E12) / (Sheet1!$B$35 - Sheet1!$B$34)</f>
        <v>0.4207010663</v>
      </c>
      <c r="F12" s="3">
        <f>(Sheet1!$B$35 - Sheet1!F12) / (Sheet1!$B$35 - Sheet1!$B$34)</f>
        <v>0.5199779385</v>
      </c>
      <c r="G12" s="3">
        <f>(Sheet1!$B$35 - Sheet1!G12) / (Sheet1!$B$35 - Sheet1!$B$34)</f>
        <v>0.7687829391</v>
      </c>
      <c r="H12" s="3">
        <f>(Sheet1!$B$35 - Sheet1!H12) / (Sheet1!$B$35 - Sheet1!$B$34)</f>
        <v>0.6351881358</v>
      </c>
      <c r="I12" s="3">
        <f>(Sheet1!$B$35 - Sheet1!I12) / (Sheet1!$B$35 - Sheet1!$B$34)</f>
        <v>0.7197573232</v>
      </c>
      <c r="J12" s="3">
        <f>(Sheet1!$B$35 - Sheet1!J12) / (Sheet1!$B$35 - Sheet1!$B$34)</f>
        <v>0.7479470523</v>
      </c>
      <c r="K12" s="3">
        <f>(Sheet1!$B$35 - Sheet1!K12) / (Sheet1!$B$35 - Sheet1!$B$34)</f>
        <v>0.7883931854</v>
      </c>
      <c r="L12" s="3">
        <f>(Sheet1!$B$35 - Sheet1!L12) / (Sheet1!$B$35 - Sheet1!$B$34)</f>
        <v>0.6646035053</v>
      </c>
      <c r="M12" s="3">
        <f>(Sheet1!$B$35 - Sheet1!M12) / (Sheet1!$B$35 - Sheet1!$B$34)</f>
        <v>0.716080402</v>
      </c>
      <c r="P12" s="3">
        <f>IFERROR(__xludf.DUMMYFUNCTION("""COMPUTED_VALUE"""),0.0)</f>
        <v>0</v>
      </c>
    </row>
    <row r="13">
      <c r="A13" s="1" t="s">
        <v>23</v>
      </c>
      <c r="B13" s="3">
        <f>(Sheet1!$B$35 - Sheet1!B13) / (Sheet1!$B$35 - Sheet1!$B$34)</f>
        <v>0.5837112391</v>
      </c>
      <c r="C13" s="3">
        <f>(Sheet1!$B$35 - Sheet1!C13) / (Sheet1!$B$35 - Sheet1!$B$34)</f>
        <v>0.5775830371</v>
      </c>
      <c r="D13" s="3">
        <f>(Sheet1!$B$35 - Sheet1!D13) / (Sheet1!$B$35 - Sheet1!$B$34)</f>
        <v>0.5788086775</v>
      </c>
      <c r="E13" s="3">
        <f>(Sheet1!$B$35 - Sheet1!E13) / (Sheet1!$B$35 - Sheet1!$B$34)</f>
        <v>0.2662703763</v>
      </c>
      <c r="F13" s="3">
        <f>(Sheet1!$B$35 - Sheet1!F13) / (Sheet1!$B$35 - Sheet1!$B$34)</f>
        <v>0.364321608</v>
      </c>
      <c r="G13" s="3">
        <f>(Sheet1!$B$35 - Sheet1!G13) / (Sheet1!$B$35 - Sheet1!$B$34)</f>
        <v>0.7062752788</v>
      </c>
      <c r="H13" s="3">
        <f>(Sheet1!$B$35 - Sheet1!H13) / (Sheet1!$B$35 - Sheet1!$B$34)</f>
        <v>0.5947420027</v>
      </c>
      <c r="I13" s="3">
        <f>(Sheet1!$B$35 - Sheet1!I13) / (Sheet1!$B$35 - Sheet1!$B$34)</f>
        <v>0.6437676186</v>
      </c>
      <c r="J13" s="3">
        <f>(Sheet1!$B$35 - Sheet1!J13) / (Sheet1!$B$35 - Sheet1!$B$34)</f>
        <v>0.6547983822</v>
      </c>
      <c r="K13" s="3">
        <f>(Sheet1!$B$35 - Sheet1!K13) / (Sheet1!$B$35 - Sheet1!$B$34)</f>
        <v>0.5261061405</v>
      </c>
      <c r="L13" s="3">
        <f>(Sheet1!$B$35 - Sheet1!L13) / (Sheet1!$B$35 - Sheet1!$B$34)</f>
        <v>0.4893369285</v>
      </c>
      <c r="M13" s="3">
        <f>(Sheet1!$B$35 - Sheet1!M13) / (Sheet1!$B$35 - Sheet1!$B$34)</f>
        <v>0.6143522491</v>
      </c>
      <c r="P13" s="3">
        <f>IFERROR(__xludf.DUMMYFUNCTION("""COMPUTED_VALUE"""),0.08610123789680094)</f>
        <v>0.0861012379</v>
      </c>
    </row>
    <row r="14">
      <c r="A14" s="1" t="s">
        <v>24</v>
      </c>
      <c r="B14" s="3">
        <f>(Sheet1!$B$35 - Sheet1!B14) / (Sheet1!$B$35 - Sheet1!$B$34)</f>
        <v>0.2380806471</v>
      </c>
      <c r="C14" s="3">
        <f>(Sheet1!$B$35 - Sheet1!C14) / (Sheet1!$B$35 - Sheet1!$B$34)</f>
        <v>0.1473832578</v>
      </c>
      <c r="D14" s="3">
        <f>(Sheet1!$B$35 - Sheet1!D14) / (Sheet1!$B$35 - Sheet1!$B$34)</f>
        <v>0.2491114107</v>
      </c>
      <c r="E14" s="3">
        <f>(Sheet1!$B$35 - Sheet1!E14) / (Sheet1!$B$35 - Sheet1!$B$34)</f>
        <v>0.4488907954</v>
      </c>
      <c r="F14" s="3">
        <f>(Sheet1!$B$35 - Sheet1!F14) / (Sheet1!$B$35 - Sheet1!$B$34)</f>
        <v>0.4035421007</v>
      </c>
      <c r="G14" s="3">
        <f>(Sheet1!$B$35 - Sheet1!G14) / (Sheet1!$B$35 - Sheet1!$B$34)</f>
        <v>0.5481676676</v>
      </c>
      <c r="H14" s="3">
        <f>(Sheet1!$B$35 - Sheet1!H14) / (Sheet1!$B$35 - Sheet1!$B$34)</f>
        <v>0.1510601789</v>
      </c>
      <c r="I14" s="3">
        <f>(Sheet1!$B$35 - Sheet1!I14) / (Sheet1!$B$35 - Sheet1!$B$34)</f>
        <v>0.191506312</v>
      </c>
      <c r="J14" s="3">
        <f>(Sheet1!$B$35 - Sheet1!J14) / (Sheet1!$B$35 - Sheet1!$B$34)</f>
        <v>0.09713200147</v>
      </c>
      <c r="K14" s="3">
        <f>(Sheet1!$B$35 - Sheet1!K14) / (Sheet1!$B$35 - Sheet1!$B$34)</f>
        <v>0.2466601299</v>
      </c>
      <c r="L14" s="3">
        <f>(Sheet1!$B$35 - Sheet1!L14) / (Sheet1!$B$35 - Sheet1!$B$34)</f>
        <v>0.2491114107</v>
      </c>
      <c r="M14" s="3">
        <f>(Sheet1!$B$35 - Sheet1!M14) / (Sheet1!$B$35 - Sheet1!$B$34)</f>
        <v>0.09835764187</v>
      </c>
      <c r="P14" s="3">
        <f>IFERROR(__xludf.DUMMYFUNCTION("""COMPUTED_VALUE"""),0.26259345508027937)</f>
        <v>0.2625934551</v>
      </c>
    </row>
    <row r="15">
      <c r="A15" s="1" t="s">
        <v>25</v>
      </c>
      <c r="B15" s="3">
        <f>(Sheet1!$B$35 - Sheet1!B15) / (Sheet1!$B$35 - Sheet1!$B$34)</f>
        <v>0.2674960167</v>
      </c>
      <c r="C15" s="3">
        <f>(Sheet1!$B$35 - Sheet1!C15) / (Sheet1!$B$35 - Sheet1!$B$34)</f>
        <v>0.299362667</v>
      </c>
      <c r="D15" s="3">
        <f>(Sheet1!$B$35 - Sheet1!D15) / (Sheet1!$B$35 - Sheet1!$B$34)</f>
        <v>0.07139355313</v>
      </c>
      <c r="E15" s="3">
        <f>(Sheet1!$B$35 - Sheet1!E15) / (Sheet1!$B$35 - Sheet1!$B$34)</f>
        <v>0</v>
      </c>
      <c r="F15" s="3">
        <f>(Sheet1!$B$35 - Sheet1!F15) / (Sheet1!$B$35 - Sheet1!$B$34)</f>
        <v>0</v>
      </c>
      <c r="G15" s="3">
        <f>(Sheet1!$B$35 - Sheet1!G15) / (Sheet1!$B$35 - Sheet1!$B$34)</f>
        <v>0.1645422233</v>
      </c>
      <c r="H15" s="3">
        <f>(Sheet1!$B$35 - Sheet1!H15) / (Sheet1!$B$35 - Sheet1!$B$34)</f>
        <v>0.02849613923</v>
      </c>
      <c r="I15" s="3">
        <f>(Sheet1!$B$35 - Sheet1!I15) / (Sheet1!$B$35 - Sheet1!$B$34)</f>
        <v>0.09835764187</v>
      </c>
      <c r="J15" s="3">
        <f>(Sheet1!$B$35 - Sheet1!J15) / (Sheet1!$B$35 - Sheet1!$B$34)</f>
        <v>0.191506312</v>
      </c>
      <c r="K15" s="3">
        <f>(Sheet1!$B$35 - Sheet1!K15) / (Sheet1!$B$35 - Sheet1!$B$34)</f>
        <v>0.3226498345</v>
      </c>
      <c r="L15" s="3">
        <f>(Sheet1!$B$35 - Sheet1!L15) / (Sheet1!$B$35 - Sheet1!$B$34)</f>
        <v>0.1400294154</v>
      </c>
      <c r="M15" s="3">
        <f>(Sheet1!$B$35 - Sheet1!M15) / (Sheet1!$B$35 - Sheet1!$B$34)</f>
        <v>0.459921559</v>
      </c>
      <c r="P15" s="3">
        <f>IFERROR(__xludf.DUMMYFUNCTION("""COMPUTED_VALUE"""),0.13022429219267057)</f>
        <v>0.1302242922</v>
      </c>
    </row>
    <row r="16">
      <c r="A16" s="1" t="s">
        <v>26</v>
      </c>
      <c r="B16" s="3">
        <f>(Sheet1!$B$35 - Sheet1!B16) / (Sheet1!$B$35 - Sheet1!$B$34)</f>
        <v>0.8423213629</v>
      </c>
      <c r="C16" s="3">
        <f>(Sheet1!$B$35 - Sheet1!C16) / (Sheet1!$B$35 - Sheet1!$B$34)</f>
        <v>0.7847162642</v>
      </c>
      <c r="D16" s="3">
        <f>(Sheet1!$B$35 - Sheet1!D16) / (Sheet1!$B$35 - Sheet1!$B$34)</f>
        <v>0.8692854516</v>
      </c>
      <c r="E16" s="3">
        <f>(Sheet1!$B$35 - Sheet1!E16) / (Sheet1!$B$35 - Sheet1!$B$34)</f>
        <v>0.8778649344</v>
      </c>
      <c r="F16" s="3">
        <f>(Sheet1!$B$35 - Sheet1!F16) / (Sheet1!$B$35 - Sheet1!$B$34)</f>
        <v>0.8925726192</v>
      </c>
      <c r="G16" s="3">
        <f>(Sheet1!$B$35 - Sheet1!G16) / (Sheet1!$B$35 - Sheet1!$B$34)</f>
        <v>0.9771418066</v>
      </c>
      <c r="H16" s="3">
        <f>(Sheet1!$B$35 - Sheet1!H16) / (Sheet1!$B$35 - Sheet1!$B$34)</f>
        <v>0.8962495404</v>
      </c>
      <c r="I16" s="3">
        <f>(Sheet1!$B$35 - Sheet1!I16) / (Sheet1!$B$35 - Sheet1!$B$34)</f>
        <v>0.8839931364</v>
      </c>
      <c r="J16" s="3">
        <f>(Sheet1!$B$35 - Sheet1!J16) / (Sheet1!$B$35 - Sheet1!$B$34)</f>
        <v>0.907280304</v>
      </c>
      <c r="K16" s="3">
        <f>(Sheet1!$B$35 - Sheet1!K16) / (Sheet1!$B$35 - Sheet1!$B$34)</f>
        <v>0.9354700331</v>
      </c>
      <c r="L16" s="3">
        <f>(Sheet1!$B$35 - Sheet1!L16) / (Sheet1!$B$35 - Sheet1!$B$34)</f>
        <v>0.8594803285</v>
      </c>
      <c r="M16" s="3">
        <f>(Sheet1!$B$35 - Sheet1!M16) / (Sheet1!$B$35 - Sheet1!$B$34)</f>
        <v>0.9023777424</v>
      </c>
      <c r="P16" s="3">
        <f>IFERROR(__xludf.DUMMYFUNCTION("""COMPUTED_VALUE"""),0.13144993258977816)</f>
        <v>0.1314499326</v>
      </c>
    </row>
    <row r="17">
      <c r="A17" s="1" t="s">
        <v>27</v>
      </c>
      <c r="B17" s="3">
        <f>(Sheet1!$B$35 - Sheet1!B17) / (Sheet1!$B$35 - Sheet1!$B$34)</f>
        <v>0.8435470033</v>
      </c>
      <c r="C17" s="3">
        <f>(Sheet1!$B$35 - Sheet1!C17) / (Sheet1!$B$35 - Sheet1!$B$34)</f>
        <v>0.882767496</v>
      </c>
      <c r="D17" s="3">
        <f>(Sheet1!$B$35 - Sheet1!D17) / (Sheet1!$B$35 - Sheet1!$B$34)</f>
        <v>0.9428238755</v>
      </c>
      <c r="E17" s="3">
        <f>(Sheet1!$B$35 - Sheet1!E17) / (Sheet1!$B$35 - Sheet1!$B$34)</f>
        <v>0.9514033583</v>
      </c>
      <c r="F17" s="3">
        <f>(Sheet1!$B$35 - Sheet1!F17) / (Sheet1!$B$35 - Sheet1!$B$34)</f>
        <v>0.9268905503</v>
      </c>
      <c r="G17" s="3">
        <f>(Sheet1!$B$35 - Sheet1!G17) / (Sheet1!$B$35 - Sheet1!$B$34)</f>
        <v>1</v>
      </c>
      <c r="H17" s="3">
        <f>(Sheet1!$B$35 - Sheet1!H17) / (Sheet1!$B$35 - Sheet1!$B$34)</f>
        <v>0.9869469298</v>
      </c>
      <c r="I17" s="3">
        <f>(Sheet1!$B$35 - Sheet1!I17) / (Sheet1!$B$35 - Sheet1!$B$34)</f>
        <v>0.966111043</v>
      </c>
      <c r="J17" s="3">
        <f>(Sheet1!$B$35 - Sheet1!J17) / (Sheet1!$B$35 - Sheet1!$B$34)</f>
        <v>0.9710136046</v>
      </c>
      <c r="K17" s="3">
        <f>(Sheet1!$B$35 - Sheet1!K17) / (Sheet1!$B$35 - Sheet1!$B$34)</f>
        <v>0.9673366834</v>
      </c>
      <c r="L17" s="3">
        <f>(Sheet1!$B$35 - Sheet1!L17) / (Sheet1!$B$35 - Sheet1!$B$34)</f>
        <v>0.9526289987</v>
      </c>
      <c r="M17" s="3">
        <f>(Sheet1!$B$35 - Sheet1!M17) / (Sheet1!$B$35 - Sheet1!$B$34)</f>
        <v>0.9771418066</v>
      </c>
      <c r="P17" s="3">
        <f>IFERROR(__xludf.DUMMYFUNCTION("""COMPUTED_VALUE"""),0.0)</f>
        <v>0</v>
      </c>
    </row>
    <row r="18">
      <c r="A18" s="1" t="s">
        <v>28</v>
      </c>
      <c r="B18" s="3">
        <f>(Sheet1!$B$35 - Sheet1!B18) / (Sheet1!$B$35 - Sheet1!$B$34)</f>
        <v>0.7822649835</v>
      </c>
      <c r="C18" s="3">
        <f>(Sheet1!$B$35 - Sheet1!C18) / (Sheet1!$B$35 - Sheet1!$B$34)</f>
        <v>0.7295624464</v>
      </c>
      <c r="D18" s="3">
        <f>(Sheet1!$B$35 - Sheet1!D18) / (Sheet1!$B$35 - Sheet1!$B$34)</f>
        <v>0.811680353</v>
      </c>
      <c r="E18" s="3">
        <f>(Sheet1!$B$35 - Sheet1!E18) / (Sheet1!$B$35 - Sheet1!$B$34)</f>
        <v>0.7565265351</v>
      </c>
      <c r="F18" s="3">
        <f>(Sheet1!$B$35 - Sheet1!F18) / (Sheet1!$B$35 - Sheet1!$B$34)</f>
        <v>0.7124034808</v>
      </c>
      <c r="G18" s="3">
        <f>(Sheet1!$B$35 - Sheet1!G18) / (Sheet1!$B$35 - Sheet1!$B$34)</f>
        <v>0.8631572497</v>
      </c>
      <c r="H18" s="3">
        <f>(Sheet1!$B$35 - Sheet1!H18) / (Sheet1!$B$35 - Sheet1!$B$34)</f>
        <v>0.7859419046</v>
      </c>
      <c r="I18" s="3">
        <f>(Sheet1!$B$35 - Sheet1!I18) / (Sheet1!$B$35 - Sheet1!$B$34)</f>
        <v>0.6621522245</v>
      </c>
      <c r="J18" s="3">
        <f>(Sheet1!$B$35 - Sheet1!J18) / (Sheet1!$B$35 - Sheet1!$B$34)</f>
        <v>0.7454957715</v>
      </c>
      <c r="K18" s="3">
        <f>(Sheet1!$B$35 - Sheet1!K18) / (Sheet1!$B$35 - Sheet1!$B$34)</f>
        <v>0.8337418801</v>
      </c>
      <c r="L18" s="3">
        <f>(Sheet1!$B$35 - Sheet1!L18) / (Sheet1!$B$35 - Sheet1!$B$34)</f>
        <v>0.8031008702</v>
      </c>
      <c r="M18" s="3">
        <f>(Sheet1!$B$35 - Sheet1!M18) / (Sheet1!$B$35 - Sheet1!$B$34)</f>
        <v>0.9085059444</v>
      </c>
      <c r="P18" s="3">
        <f>IFERROR(__xludf.DUMMYFUNCTION("""COMPUTED_VALUE"""),0.0)</f>
        <v>0</v>
      </c>
    </row>
    <row r="19">
      <c r="A19" s="1" t="s">
        <v>29</v>
      </c>
      <c r="B19" s="3">
        <f>(Sheet1!$B$35 - Sheet1!B19) / (Sheet1!$B$35 - Sheet1!$B$34)</f>
        <v>0.8472239245</v>
      </c>
      <c r="C19" s="3">
        <f>(Sheet1!$B$35 - Sheet1!C19) / (Sheet1!$B$35 - Sheet1!$B$34)</f>
        <v>0.8496752053</v>
      </c>
      <c r="D19" s="3">
        <f>(Sheet1!$B$35 - Sheet1!D19) / (Sheet1!$B$35 - Sheet1!$B$34)</f>
        <v>0.9550802794</v>
      </c>
      <c r="E19" s="3">
        <f>(Sheet1!$B$35 - Sheet1!E19) / (Sheet1!$B$35 - Sheet1!$B$34)</f>
        <v>0.9514033583</v>
      </c>
      <c r="F19" s="3">
        <f>(Sheet1!$B$35 - Sheet1!F19) / (Sheet1!$B$35 - Sheet1!$B$34)</f>
        <v>0.9587572006</v>
      </c>
      <c r="G19" s="3">
        <f>(Sheet1!$B$35 - Sheet1!G19) / (Sheet1!$B$35 - Sheet1!$B$34)</f>
        <v>0.9795930874</v>
      </c>
      <c r="H19" s="3">
        <f>(Sheet1!$B$35 - Sheet1!H19) / (Sheet1!$B$35 - Sheet1!$B$34)</f>
        <v>0.9085059444</v>
      </c>
      <c r="I19" s="3">
        <f>(Sheet1!$B$35 - Sheet1!I19) / (Sheet1!$B$35 - Sheet1!$B$34)</f>
        <v>0.8778649344</v>
      </c>
      <c r="J19" s="3">
        <f>(Sheet1!$B$35 - Sheet1!J19) / (Sheet1!$B$35 - Sheet1!$B$34)</f>
        <v>0.8680598113</v>
      </c>
      <c r="K19" s="3">
        <f>(Sheet1!$B$35 - Sheet1!K19) / (Sheet1!$B$35 - Sheet1!$B$34)</f>
        <v>0.8950239</v>
      </c>
      <c r="L19" s="3">
        <f>(Sheet1!$B$35 - Sheet1!L19) / (Sheet1!$B$35 - Sheet1!$B$34)</f>
        <v>0.8876700576</v>
      </c>
      <c r="M19" s="3">
        <f>(Sheet1!$B$35 - Sheet1!M19) / (Sheet1!$B$35 - Sheet1!$B$34)</f>
        <v>0.9195367079</v>
      </c>
      <c r="P19" s="3">
        <f>IFERROR(__xludf.DUMMYFUNCTION("""COMPUTED_VALUE"""),0.10326020345630585)</f>
        <v>0.1032602035</v>
      </c>
    </row>
    <row r="20">
      <c r="A20" s="1" t="s">
        <v>30</v>
      </c>
      <c r="B20" s="3">
        <f>(Sheet1!$B$35 - Sheet1!B20) / (Sheet1!$B$35 - Sheet1!$B$34)</f>
        <v>0.3496139233</v>
      </c>
      <c r="C20" s="3">
        <f>(Sheet1!$B$35 - Sheet1!C20) / (Sheet1!$B$35 - Sheet1!$B$34)</f>
        <v>0.3839318544</v>
      </c>
      <c r="D20" s="3">
        <f>(Sheet1!$B$35 - Sheet1!D20) / (Sheet1!$B$35 - Sheet1!$B$34)</f>
        <v>0.6498958206</v>
      </c>
      <c r="E20" s="3">
        <f>(Sheet1!$B$35 - Sheet1!E20) / (Sheet1!$B$35 - Sheet1!$B$34)</f>
        <v>0.6278342934</v>
      </c>
      <c r="F20" s="3">
        <f>(Sheet1!$B$35 - Sheet1!F20) / (Sheet1!$B$35 - Sheet1!$B$34)</f>
        <v>0.7234342444</v>
      </c>
      <c r="G20" s="3">
        <f>(Sheet1!$B$35 - Sheet1!G20) / (Sheet1!$B$35 - Sheet1!$B$34)</f>
        <v>0.8031008702</v>
      </c>
      <c r="H20" s="3">
        <f>(Sheet1!$B$35 - Sheet1!H20) / (Sheet1!$B$35 - Sheet1!$B$34)</f>
        <v>0.7099522</v>
      </c>
      <c r="I20" s="3">
        <f>(Sheet1!$B$35 - Sheet1!I20) / (Sheet1!$B$35 - Sheet1!$B$34)</f>
        <v>0.6572496629</v>
      </c>
      <c r="J20" s="3">
        <f>(Sheet1!$B$35 - Sheet1!J20) / (Sheet1!$B$35 - Sheet1!$B$34)</f>
        <v>0.5812599583</v>
      </c>
      <c r="K20" s="3">
        <f>(Sheet1!$B$35 - Sheet1!K20) / (Sheet1!$B$35 - Sheet1!$B$34)</f>
        <v>0.6413163378</v>
      </c>
      <c r="L20" s="3">
        <f>(Sheet1!$B$35 - Sheet1!L20) / (Sheet1!$B$35 - Sheet1!$B$34)</f>
        <v>0.5457163868</v>
      </c>
      <c r="M20" s="3">
        <f>(Sheet1!$B$35 - Sheet1!M20) / (Sheet1!$B$35 - Sheet1!$B$34)</f>
        <v>0.6425419782</v>
      </c>
      <c r="P20" s="3">
        <f>IFERROR(__xludf.DUMMYFUNCTION("""COMPUTED_VALUE"""),0.1608653021203578)</f>
        <v>0.1608653021</v>
      </c>
    </row>
    <row r="21">
      <c r="A21" s="1" t="s">
        <v>31</v>
      </c>
      <c r="B21" s="3">
        <f>(Sheet1!$B$35 - Sheet1!B21) / (Sheet1!$B$35 - Sheet1!$B$34)</f>
        <v>0.8533521265</v>
      </c>
      <c r="C21" s="3">
        <f>(Sheet1!$B$35 - Sheet1!C21) / (Sheet1!$B$35 - Sheet1!$B$34)</f>
        <v>0.7981983086</v>
      </c>
      <c r="D21" s="3">
        <f>(Sheet1!$B$35 - Sheet1!D21) / (Sheet1!$B$35 - Sheet1!$B$34)</f>
        <v>0.8521264861</v>
      </c>
      <c r="E21" s="3">
        <f>(Sheet1!$B$35 - Sheet1!E21) / (Sheet1!$B$35 - Sheet1!$B$34)</f>
        <v>0.7602034563</v>
      </c>
      <c r="F21" s="3">
        <f>(Sheet1!$B$35 - Sheet1!F21) / (Sheet1!$B$35 - Sheet1!$B$34)</f>
        <v>0.7332393676</v>
      </c>
      <c r="G21" s="3">
        <f>(Sheet1!$B$35 - Sheet1!G21) / (Sheet1!$B$35 - Sheet1!$B$34)</f>
        <v>0.9281161907</v>
      </c>
      <c r="H21" s="3">
        <f>(Sheet1!$B$35 - Sheet1!H21) / (Sheet1!$B$35 - Sheet1!$B$34)</f>
        <v>0.8987008212</v>
      </c>
      <c r="I21" s="3">
        <f>(Sheet1!$B$35 - Sheet1!I21) / (Sheet1!$B$35 - Sheet1!$B$34)</f>
        <v>0.9097315848</v>
      </c>
      <c r="J21" s="3">
        <f>(Sheet1!$B$35 - Sheet1!J21) / (Sheet1!$B$35 - Sheet1!$B$34)</f>
        <v>0.9158597867</v>
      </c>
      <c r="K21" s="3">
        <f>(Sheet1!$B$35 - Sheet1!K21) / (Sheet1!$B$35 - Sheet1!$B$34)</f>
        <v>0.9354700331</v>
      </c>
      <c r="L21" s="3">
        <f>(Sheet1!$B$35 - Sheet1!L21) / (Sheet1!$B$35 - Sheet1!$B$34)</f>
        <v>0.9930751318</v>
      </c>
      <c r="M21" s="3">
        <f>(Sheet1!$B$35 - Sheet1!M21) / (Sheet1!$B$35 - Sheet1!$B$34)</f>
        <v>0.9955264126</v>
      </c>
      <c r="P21" s="3">
        <f>IFERROR(__xludf.DUMMYFUNCTION("""COMPUTED_VALUE"""),0.2895575438166442)</f>
        <v>0.2895575438</v>
      </c>
    </row>
    <row r="22">
      <c r="A22" s="1" t="s">
        <v>32</v>
      </c>
      <c r="B22" s="3">
        <f>(Sheet1!$B$35 - Sheet1!B22) / (Sheet1!$B$35 - Sheet1!$B$34)</f>
        <v>0.901152102</v>
      </c>
      <c r="C22" s="3">
        <f>(Sheet1!$B$35 - Sheet1!C22) / (Sheet1!$B$35 - Sheet1!$B$34)</f>
        <v>0.8852187768</v>
      </c>
      <c r="D22" s="3">
        <f>(Sheet1!$B$35 - Sheet1!D22) / (Sheet1!$B$35 - Sheet1!$B$34)</f>
        <v>0.9097315848</v>
      </c>
      <c r="E22" s="3">
        <f>(Sheet1!$B$35 - Sheet1!E22) / (Sheet1!$B$35 - Sheet1!$B$34)</f>
        <v>0.8864444172</v>
      </c>
      <c r="F22" s="3">
        <f>(Sheet1!$B$35 - Sheet1!F22) / (Sheet1!$B$35 - Sheet1!$B$34)</f>
        <v>0.9293418311</v>
      </c>
      <c r="G22" s="3">
        <f>(Sheet1!$B$35 - Sheet1!G22) / (Sheet1!$B$35 - Sheet1!$B$34)</f>
        <v>0.9930751318</v>
      </c>
      <c r="H22" s="3">
        <f>(Sheet1!$B$35 - Sheet1!H22) / (Sheet1!$B$35 - Sheet1!$B$34)</f>
        <v>0.9342443927</v>
      </c>
      <c r="I22" s="3">
        <f>(Sheet1!$B$35 - Sheet1!I22) / (Sheet1!$B$35 - Sheet1!$B$34)</f>
        <v>0.953854639</v>
      </c>
      <c r="J22" s="3">
        <f>(Sheet1!$B$35 - Sheet1!J22) / (Sheet1!$B$35 - Sheet1!$B$34)</f>
        <v>0.9489520775</v>
      </c>
      <c r="K22" s="3">
        <f>(Sheet1!$B$35 - Sheet1!K22) / (Sheet1!$B$35 - Sheet1!$B$34)</f>
        <v>0.9893982106</v>
      </c>
      <c r="L22" s="3">
        <f>(Sheet1!$B$35 - Sheet1!L22) / (Sheet1!$B$35 - Sheet1!$B$34)</f>
        <v>0.9550802794</v>
      </c>
      <c r="M22" s="3">
        <f>(Sheet1!$B$35 - Sheet1!M22) / (Sheet1!$B$35 - Sheet1!$B$34)</f>
        <v>0.9795930874</v>
      </c>
      <c r="P22" s="3">
        <f>IFERROR(__xludf.DUMMYFUNCTION("""COMPUTED_VALUE"""),0.2368550067410221)</f>
        <v>0.2368550067</v>
      </c>
    </row>
    <row r="23">
      <c r="A23" s="1" t="s">
        <v>33</v>
      </c>
      <c r="B23" s="3">
        <f>(Sheet1!$B$35 - Sheet1!B23) / (Sheet1!$B$35 - Sheet1!$B$34)</f>
        <v>0.1020345631</v>
      </c>
      <c r="C23" s="3">
        <f>(Sheet1!$B$35 - Sheet1!C23) / (Sheet1!$B$35 - Sheet1!$B$34)</f>
        <v>0.08977815909</v>
      </c>
      <c r="D23" s="3">
        <f>(Sheet1!$B$35 - Sheet1!D23) / (Sheet1!$B$35 - Sheet1!$B$34)</f>
        <v>0.4145728643</v>
      </c>
      <c r="E23" s="3">
        <f>(Sheet1!$B$35 - Sheet1!E23) / (Sheet1!$B$35 - Sheet1!$B$34)</f>
        <v>0.376578012</v>
      </c>
      <c r="F23" s="3">
        <f>(Sheet1!$B$35 - Sheet1!F23) / (Sheet1!$B$35 - Sheet1!$B$34)</f>
        <v>0.5481676676</v>
      </c>
      <c r="G23" s="3">
        <f>(Sheet1!$B$35 - Sheet1!G23) / (Sheet1!$B$35 - Sheet1!$B$34)</f>
        <v>0.7577521755</v>
      </c>
      <c r="H23" s="3">
        <f>(Sheet1!$B$35 - Sheet1!H23) / (Sheet1!$B$35 - Sheet1!$B$34)</f>
        <v>0.5873881603</v>
      </c>
      <c r="I23" s="3">
        <f>(Sheet1!$B$35 - Sheet1!I23) / (Sheet1!$B$35 - Sheet1!$B$34)</f>
        <v>0.5212035789</v>
      </c>
      <c r="J23" s="3">
        <f>(Sheet1!$B$35 - Sheet1!J23) / (Sheet1!$B$35 - Sheet1!$B$34)</f>
        <v>0.4268292683</v>
      </c>
      <c r="K23" s="3">
        <f>(Sheet1!$B$35 - Sheet1!K23) / (Sheet1!$B$35 - Sheet1!$B$34)</f>
        <v>0.2245986028</v>
      </c>
      <c r="L23" s="3">
        <f>(Sheet1!$B$35 - Sheet1!L23) / (Sheet1!$B$35 - Sheet1!$B$34)</f>
        <v>0.126547371</v>
      </c>
      <c r="M23" s="3">
        <f>(Sheet1!$B$35 - Sheet1!M23) / (Sheet1!$B$35 - Sheet1!$B$34)</f>
        <v>0.1682191445</v>
      </c>
      <c r="P23" s="3">
        <f>IFERROR(__xludf.DUMMYFUNCTION("""COMPUTED_VALUE"""),0.35696776565755606)</f>
        <v>0.3569677657</v>
      </c>
    </row>
    <row r="24">
      <c r="A24" s="1" t="s">
        <v>34</v>
      </c>
      <c r="B24" s="3">
        <f>(Sheet1!$B$35 - Sheet1!B24) / (Sheet1!$B$35 - Sheet1!$B$34)</f>
        <v>1</v>
      </c>
      <c r="C24" s="3">
        <f>(Sheet1!$B$35 - Sheet1!C24) / (Sheet1!$B$35 - Sheet1!$B$34)</f>
        <v>0.966111043</v>
      </c>
      <c r="D24" s="3">
        <f>(Sheet1!$B$35 - Sheet1!D24) / (Sheet1!$B$35 - Sheet1!$B$34)</f>
        <v>1</v>
      </c>
      <c r="E24" s="3">
        <f>(Sheet1!$B$35 - Sheet1!E24) / (Sheet1!$B$35 - Sheet1!$B$34)</f>
        <v>0.9992033337</v>
      </c>
      <c r="F24" s="3">
        <f>(Sheet1!$B$35 - Sheet1!F24) / (Sheet1!$B$35 - Sheet1!$B$34)</f>
        <v>1</v>
      </c>
      <c r="G24" s="3">
        <f>(Sheet1!$B$35 - Sheet1!G24) / (Sheet1!$B$35 - Sheet1!$B$34)</f>
        <v>1</v>
      </c>
      <c r="H24" s="3">
        <f>(Sheet1!$B$35 - Sheet1!H24) / (Sheet1!$B$35 - Sheet1!$B$34)</f>
        <v>1</v>
      </c>
      <c r="I24" s="3">
        <f>(Sheet1!$B$35 - Sheet1!I24) / (Sheet1!$B$35 - Sheet1!$B$34)</f>
        <v>1</v>
      </c>
      <c r="J24" s="3">
        <f>(Sheet1!$B$35 - Sheet1!J24) / (Sheet1!$B$35 - Sheet1!$B$34)</f>
        <v>1</v>
      </c>
      <c r="K24" s="3">
        <f>(Sheet1!$B$35 - Sheet1!K24) / (Sheet1!$B$35 - Sheet1!$B$34)</f>
        <v>1</v>
      </c>
      <c r="L24" s="3">
        <f>(Sheet1!$B$35 - Sheet1!L24) / (Sheet1!$B$35 - Sheet1!$B$34)</f>
        <v>0.990623851</v>
      </c>
      <c r="M24" s="3">
        <f>(Sheet1!$B$35 - Sheet1!M24) / (Sheet1!$B$35 - Sheet1!$B$34)</f>
        <v>1</v>
      </c>
      <c r="P24" s="3">
        <f>IFERROR(__xludf.DUMMYFUNCTION("""COMPUTED_VALUE"""),0.4023164603505332)</f>
        <v>0.4023164604</v>
      </c>
    </row>
    <row r="25">
      <c r="A25" s="1" t="s">
        <v>35</v>
      </c>
      <c r="B25" s="3">
        <f>(Sheet1!$B$35 - Sheet1!B25) / (Sheet1!$B$35 - Sheet1!$B$34)</f>
        <v>0.9648854026</v>
      </c>
      <c r="C25" s="3">
        <f>(Sheet1!$B$35 - Sheet1!C25) / (Sheet1!$B$35 - Sheet1!$B$34)</f>
        <v>0.9685623238</v>
      </c>
      <c r="D25" s="3">
        <f>(Sheet1!$B$35 - Sheet1!D25) / (Sheet1!$B$35 - Sheet1!$B$34)</f>
        <v>1</v>
      </c>
      <c r="E25" s="3">
        <f>(Sheet1!$B$35 - Sheet1!E25) / (Sheet1!$B$35 - Sheet1!$B$34)</f>
        <v>0.9930751318</v>
      </c>
      <c r="F25" s="3">
        <f>(Sheet1!$B$35 - Sheet1!F25) / (Sheet1!$B$35 - Sheet1!$B$34)</f>
        <v>0.9967520529</v>
      </c>
      <c r="G25" s="3">
        <f>(Sheet1!$B$35 - Sheet1!G25) / (Sheet1!$B$35 - Sheet1!$B$34)</f>
        <v>1</v>
      </c>
      <c r="H25" s="3">
        <f>(Sheet1!$B$35 - Sheet1!H25) / (Sheet1!$B$35 - Sheet1!$B$34)</f>
        <v>1</v>
      </c>
      <c r="I25" s="3">
        <f>(Sheet1!$B$35 - Sheet1!I25) / (Sheet1!$B$35 - Sheet1!$B$34)</f>
        <v>1</v>
      </c>
      <c r="J25" s="3">
        <f>(Sheet1!$B$35 - Sheet1!J25) / (Sheet1!$B$35 - Sheet1!$B$34)</f>
        <v>1</v>
      </c>
      <c r="K25" s="3">
        <f>(Sheet1!$B$35 - Sheet1!K25) / (Sheet1!$B$35 - Sheet1!$B$34)</f>
        <v>1</v>
      </c>
      <c r="L25" s="3">
        <f>(Sheet1!$B$35 - Sheet1!L25) / (Sheet1!$B$35 - Sheet1!$B$34)</f>
        <v>1</v>
      </c>
      <c r="M25" s="3">
        <f>(Sheet1!$B$35 - Sheet1!M25) / (Sheet1!$B$35 - Sheet1!$B$34)</f>
        <v>1</v>
      </c>
      <c r="P25" s="3">
        <f>IFERROR(__xludf.DUMMYFUNCTION("""COMPUTED_VALUE"""),0.5677779139600442)</f>
        <v>0.567777914</v>
      </c>
    </row>
    <row r="26">
      <c r="A26" s="1" t="s">
        <v>36</v>
      </c>
      <c r="B26" s="3">
        <f>(Sheet1!$B$35 - Sheet1!B26) / (Sheet1!$B$35 - Sheet1!$B$34)</f>
        <v>0.4464395146</v>
      </c>
      <c r="C26" s="3">
        <f>(Sheet1!$B$35 - Sheet1!C26) / (Sheet1!$B$35 - Sheet1!$B$34)</f>
        <v>0.3569677657</v>
      </c>
      <c r="D26" s="3">
        <f>(Sheet1!$B$35 - Sheet1!D26) / (Sheet1!$B$35 - Sheet1!$B$34)</f>
        <v>0.4354087511</v>
      </c>
      <c r="E26" s="3">
        <f>(Sheet1!$B$35 - Sheet1!E26) / (Sheet1!$B$35 - Sheet1!$B$34)</f>
        <v>0.197634514</v>
      </c>
      <c r="F26" s="3">
        <f>(Sheet1!$B$35 - Sheet1!F26) / (Sheet1!$B$35 - Sheet1!$B$34)</f>
        <v>0.1951832332</v>
      </c>
      <c r="G26" s="3">
        <f>(Sheet1!$B$35 - Sheet1!G26) / (Sheet1!$B$35 - Sheet1!$B$34)</f>
        <v>0.5383625444</v>
      </c>
      <c r="H26" s="3">
        <f>(Sheet1!$B$35 - Sheet1!H26) / (Sheet1!$B$35 - Sheet1!$B$34)</f>
        <v>0.4452138742</v>
      </c>
      <c r="I26" s="3">
        <f>(Sheet1!$B$35 - Sheet1!I26) / (Sheet1!$B$35 - Sheet1!$B$34)</f>
        <v>0.531008702</v>
      </c>
      <c r="J26" s="3">
        <f>(Sheet1!$B$35 - Sheet1!J26) / (Sheet1!$B$35 - Sheet1!$B$34)</f>
        <v>0.5751317563</v>
      </c>
      <c r="K26" s="3">
        <f>(Sheet1!$B$35 - Sheet1!K26) / (Sheet1!$B$35 - Sheet1!$B$34)</f>
        <v>0.5138497365</v>
      </c>
      <c r="L26" s="3">
        <f>(Sheet1!$B$35 - Sheet1!L26) / (Sheet1!$B$35 - Sheet1!$B$34)</f>
        <v>0.4268292683</v>
      </c>
      <c r="M26" s="3">
        <f>(Sheet1!$B$35 - Sheet1!M26) / (Sheet1!$B$35 - Sheet1!$B$34)</f>
        <v>0.447665155</v>
      </c>
      <c r="P26" s="3">
        <f>IFERROR(__xludf.DUMMYFUNCTION("""COMPUTED_VALUE"""),0.7442701311435226)</f>
        <v>0.7442701311</v>
      </c>
    </row>
    <row r="27">
      <c r="A27" s="1" t="s">
        <v>37</v>
      </c>
      <c r="B27" s="3">
        <f>(Sheet1!$B$35 - Sheet1!B27) / (Sheet1!$B$35 - Sheet1!$B$34)</f>
        <v>0.7822649835</v>
      </c>
      <c r="C27" s="3">
        <f>(Sheet1!$B$35 - Sheet1!C27) / (Sheet1!$B$35 - Sheet1!$B$34)</f>
        <v>0.8129059934</v>
      </c>
      <c r="D27" s="3">
        <f>(Sheet1!$B$35 - Sheet1!D27) / (Sheet1!$B$35 - Sheet1!$B$34)</f>
        <v>0.8496752053</v>
      </c>
      <c r="E27" s="3">
        <f>(Sheet1!$B$35 - Sheet1!E27) / (Sheet1!$B$35 - Sheet1!$B$34)</f>
        <v>0.7111778404</v>
      </c>
      <c r="F27" s="3">
        <f>(Sheet1!$B$35 - Sheet1!F27) / (Sheet1!$B$35 - Sheet1!$B$34)</f>
        <v>0.7920701066</v>
      </c>
      <c r="G27" s="3">
        <f>(Sheet1!$B$35 - Sheet1!G27) / (Sheet1!$B$35 - Sheet1!$B$34)</f>
        <v>0.9085059444</v>
      </c>
      <c r="H27" s="3">
        <f>(Sheet1!$B$35 - Sheet1!H27) / (Sheet1!$B$35 - Sheet1!$B$34)</f>
        <v>0.8300649589</v>
      </c>
      <c r="I27" s="3">
        <f>(Sheet1!$B$35 - Sheet1!I27) / (Sheet1!$B$35 - Sheet1!$B$34)</f>
        <v>0.8484495649</v>
      </c>
      <c r="J27" s="3">
        <f>(Sheet1!$B$35 - Sheet1!J27) / (Sheet1!$B$35 - Sheet1!$B$34)</f>
        <v>0.9036033828</v>
      </c>
      <c r="K27" s="3">
        <f>(Sheet1!$B$35 - Sheet1!K27) / (Sheet1!$B$35 - Sheet1!$B$34)</f>
        <v>0.8815418556</v>
      </c>
      <c r="L27" s="3">
        <f>(Sheet1!$B$35 - Sheet1!L27) / (Sheet1!$B$35 - Sheet1!$B$34)</f>
        <v>0.7454957715</v>
      </c>
      <c r="M27" s="3">
        <f>(Sheet1!$B$35 - Sheet1!M27) / (Sheet1!$B$35 - Sheet1!$B$34)</f>
        <v>0.799423949</v>
      </c>
      <c r="P27" s="3">
        <f>IFERROR(__xludf.DUMMYFUNCTION("""COMPUTED_VALUE"""),0.7209829635984802)</f>
        <v>0.7209829636</v>
      </c>
    </row>
    <row r="28">
      <c r="A28" s="1" t="s">
        <v>38</v>
      </c>
      <c r="B28" s="3">
        <f>(Sheet1!$B$35 - Sheet1!B28) / (Sheet1!$B$35 - Sheet1!$B$34)</f>
        <v>0.5199779385</v>
      </c>
      <c r="C28" s="3">
        <f>(Sheet1!$B$35 - Sheet1!C28) / (Sheet1!$B$35 - Sheet1!$B$34)</f>
        <v>0.2601421743</v>
      </c>
      <c r="D28" s="3">
        <f>(Sheet1!$B$35 - Sheet1!D28) / (Sheet1!$B$35 - Sheet1!$B$34)</f>
        <v>0.3961882584</v>
      </c>
      <c r="E28" s="3">
        <f>(Sheet1!$B$35 - Sheet1!E28) / (Sheet1!$B$35 - Sheet1!$B$34)</f>
        <v>0.1118396862</v>
      </c>
      <c r="F28" s="3">
        <f>(Sheet1!$B$35 - Sheet1!F28) / (Sheet1!$B$35 - Sheet1!$B$34)</f>
        <v>0.2883319034</v>
      </c>
      <c r="G28" s="3">
        <f>(Sheet1!$B$35 - Sheet1!G28) / (Sheet1!$B$35 - Sheet1!$B$34)</f>
        <v>0.5898394411</v>
      </c>
      <c r="H28" s="3">
        <f>(Sheet1!$B$35 - Sheet1!H28) / (Sheet1!$B$35 - Sheet1!$B$34)</f>
        <v>0.4464395146</v>
      </c>
      <c r="I28" s="3">
        <f>(Sheet1!$B$35 - Sheet1!I28) / (Sheet1!$B$35 - Sheet1!$B$34)</f>
        <v>0.4378600319</v>
      </c>
      <c r="J28" s="3">
        <f>(Sheet1!$B$35 - Sheet1!J28) / (Sheet1!$B$35 - Sheet1!$B$34)</f>
        <v>0.6940188749</v>
      </c>
      <c r="K28" s="3">
        <f>(Sheet1!$B$35 - Sheet1!K28) / (Sheet1!$B$35 - Sheet1!$B$34)</f>
        <v>0.7454957715</v>
      </c>
      <c r="L28" s="3">
        <f>(Sheet1!$B$35 - Sheet1!L28) / (Sheet1!$B$35 - Sheet1!$B$34)</f>
        <v>0.7148547616</v>
      </c>
      <c r="M28" s="3">
        <f>(Sheet1!$B$35 - Sheet1!M28) / (Sheet1!$B$35 - Sheet1!$B$34)</f>
        <v>0.811680353</v>
      </c>
      <c r="P28" s="3">
        <f>IFERROR(__xludf.DUMMYFUNCTION("""COMPUTED_VALUE"""),0.702598357641868)</f>
        <v>0.7025983576</v>
      </c>
    </row>
    <row r="29">
      <c r="A29" s="1" t="s">
        <v>39</v>
      </c>
      <c r="B29" s="3">
        <f>(Sheet1!$B$35 - Sheet1!B29) / (Sheet1!$B$35 - Sheet1!$B$34)</f>
        <v>0</v>
      </c>
      <c r="C29" s="3">
        <f>(Sheet1!$B$35 - Sheet1!C29) / (Sheet1!$B$35 - Sheet1!$B$34)</f>
        <v>0</v>
      </c>
      <c r="D29" s="3">
        <f>(Sheet1!$B$35 - Sheet1!D29) / (Sheet1!$B$35 - Sheet1!$B$34)</f>
        <v>0.3459370021</v>
      </c>
      <c r="E29" s="3">
        <f>(Sheet1!$B$35 - Sheet1!E29) / (Sheet1!$B$35 - Sheet1!$B$34)</f>
        <v>0</v>
      </c>
      <c r="F29" s="3">
        <f>(Sheet1!$B$35 - Sheet1!F29) / (Sheet1!$B$35 - Sheet1!$B$34)</f>
        <v>0</v>
      </c>
      <c r="G29" s="3">
        <f>(Sheet1!$B$35 - Sheet1!G29) / (Sheet1!$B$35 - Sheet1!$B$34)</f>
        <v>0.4734036034</v>
      </c>
      <c r="H29" s="3">
        <f>(Sheet1!$B$35 - Sheet1!H29) / (Sheet1!$B$35 - Sheet1!$B$34)</f>
        <v>0.5150753769</v>
      </c>
      <c r="I29" s="3">
        <f>(Sheet1!$B$35 - Sheet1!I29) / (Sheet1!$B$35 - Sheet1!$B$34)</f>
        <v>0.4194754259</v>
      </c>
      <c r="J29" s="3">
        <f>(Sheet1!$B$35 - Sheet1!J29) / (Sheet1!$B$35 - Sheet1!$B$34)</f>
        <v>0.4758548842</v>
      </c>
      <c r="K29" s="3">
        <f>(Sheet1!$B$35 - Sheet1!K29) / (Sheet1!$B$35 - Sheet1!$B$34)</f>
        <v>0.6658291457</v>
      </c>
      <c r="L29" s="3">
        <f>(Sheet1!$B$35 - Sheet1!L29) / (Sheet1!$B$35 - Sheet1!$B$34)</f>
        <v>0.8104547126</v>
      </c>
      <c r="M29" s="3">
        <f>(Sheet1!$B$35 - Sheet1!M29) / (Sheet1!$B$35 - Sheet1!$B$34)</f>
        <v>0.8962495404</v>
      </c>
      <c r="P29" s="3">
        <f>IFERROR(__xludf.DUMMYFUNCTION("""COMPUTED_VALUE"""),0.6572496629488908)</f>
        <v>0.6572496629</v>
      </c>
    </row>
    <row r="30">
      <c r="A30" s="1" t="s">
        <v>40</v>
      </c>
      <c r="B30" s="3">
        <f>(Sheet1!$B$35 - Sheet1!B30) / (Sheet1!$B$35 - Sheet1!$B$34)</f>
        <v>0.5261061405</v>
      </c>
      <c r="C30" s="3">
        <f>(Sheet1!$B$35 - Sheet1!C30) / (Sheet1!$B$35 - Sheet1!$B$34)</f>
        <v>0.5861625199</v>
      </c>
      <c r="D30" s="3">
        <f>(Sheet1!$B$35 - Sheet1!D30) / (Sheet1!$B$35 - Sheet1!$B$34)</f>
        <v>0.6462188994</v>
      </c>
      <c r="E30" s="3">
        <f>(Sheet1!$B$35 - Sheet1!E30) / (Sheet1!$B$35 - Sheet1!$B$34)</f>
        <v>0.6290599338</v>
      </c>
      <c r="F30" s="3">
        <f>(Sheet1!$B$35 - Sheet1!F30) / (Sheet1!$B$35 - Sheet1!$B$34)</f>
        <v>0.5395881848</v>
      </c>
      <c r="G30" s="3">
        <f>(Sheet1!$B$35 - Sheet1!G30) / (Sheet1!$B$35 - Sheet1!$B$34)</f>
        <v>0.8018752298</v>
      </c>
      <c r="H30" s="3">
        <f>(Sheet1!$B$35 - Sheet1!H30) / (Sheet1!$B$35 - Sheet1!$B$34)</f>
        <v>0.7491726927</v>
      </c>
      <c r="I30" s="3">
        <f>(Sheet1!$B$35 - Sheet1!I30) / (Sheet1!$B$35 - Sheet1!$B$34)</f>
        <v>0.6437676186</v>
      </c>
      <c r="J30" s="3">
        <f>(Sheet1!$B$35 - Sheet1!J30) / (Sheet1!$B$35 - Sheet1!$B$34)</f>
        <v>0.543265106</v>
      </c>
      <c r="K30" s="3">
        <f>(Sheet1!$B$35 - Sheet1!K30) / (Sheet1!$B$35 - Sheet1!$B$34)</f>
        <v>0.6413163378</v>
      </c>
      <c r="L30" s="3">
        <f>(Sheet1!$B$35 - Sheet1!L30) / (Sheet1!$B$35 - Sheet1!$B$34)</f>
        <v>0.6756342689</v>
      </c>
      <c r="M30" s="3">
        <f>(Sheet1!$B$35 - Sheet1!M30) / (Sheet1!$B$35 - Sheet1!$B$34)</f>
        <v>0.7332393676</v>
      </c>
      <c r="P30" s="3">
        <f>IFERROR(__xludf.DUMMYFUNCTION("""COMPUTED_VALUE"""),0.6682804265228582)</f>
        <v>0.6682804265</v>
      </c>
    </row>
    <row r="31">
      <c r="P31" s="3">
        <f>IFERROR(__xludf.DUMMYFUNCTION("""COMPUTED_VALUE"""),0.8668341708542714)</f>
        <v>0.8668341709</v>
      </c>
    </row>
    <row r="32">
      <c r="P32" s="3">
        <f>IFERROR(__xludf.DUMMYFUNCTION("""COMPUTED_VALUE"""),0.6364137761980635)</f>
        <v>0.6364137762</v>
      </c>
    </row>
    <row r="33">
      <c r="P33" s="3">
        <f>IFERROR(__xludf.DUMMYFUNCTION("""COMPUTED_VALUE"""),0.7295624463782326)</f>
        <v>0.7295624464</v>
      </c>
    </row>
    <row r="34">
      <c r="A34" s="5" t="s">
        <v>41</v>
      </c>
      <c r="B34" s="6">
        <f>MIN(B2:N30)</f>
        <v>0</v>
      </c>
      <c r="P34" s="3">
        <f>IFERROR(__xludf.DUMMYFUNCTION("""COMPUTED_VALUE"""),0.7540752543203825)</f>
        <v>0.7540752543</v>
      </c>
    </row>
    <row r="35">
      <c r="A35" s="5" t="s">
        <v>42</v>
      </c>
      <c r="B35" s="6">
        <f>MAX(B2:N30)</f>
        <v>1</v>
      </c>
      <c r="P35" s="3">
        <f>IFERROR(__xludf.DUMMYFUNCTION("""COMPUTED_VALUE"""),0.7589778159088123)</f>
        <v>0.7589778159</v>
      </c>
    </row>
    <row r="36">
      <c r="P36" s="3">
        <f>IFERROR(__xludf.DUMMYFUNCTION("""COMPUTED_VALUE"""),0.6168035298443436)</f>
        <v>0.6168035298</v>
      </c>
    </row>
    <row r="37">
      <c r="P37" s="3">
        <f>IFERROR(__xludf.DUMMYFUNCTION("""COMPUTED_VALUE"""),0.7994239490133594)</f>
        <v>0.799423949</v>
      </c>
    </row>
    <row r="38">
      <c r="P38" s="3">
        <f>IFERROR(__xludf.DUMMYFUNCTION("""COMPUTED_VALUE"""),0.7798137026596397)</f>
        <v>0.7798137027</v>
      </c>
    </row>
    <row r="39">
      <c r="P39" s="3">
        <f>IFERROR(__xludf.DUMMYFUNCTION("""COMPUTED_VALUE"""),0.7822649834538546)</f>
        <v>0.7822649835</v>
      </c>
    </row>
    <row r="40">
      <c r="P40" s="3">
        <f>IFERROR(__xludf.DUMMYFUNCTION("""COMPUTED_VALUE"""),0.7712342198798873)</f>
        <v>0.7712342199</v>
      </c>
    </row>
    <row r="41">
      <c r="P41" s="3">
        <f>IFERROR(__xludf.DUMMYFUNCTION("""COMPUTED_VALUE"""),0.5861625199166564)</f>
        <v>0.5861625199</v>
      </c>
    </row>
    <row r="42">
      <c r="P42" s="3">
        <f>IFERROR(__xludf.DUMMYFUNCTION("""COMPUTED_VALUE"""),0.7614290967030274)</f>
        <v>0.7614290967</v>
      </c>
    </row>
    <row r="43">
      <c r="P43" s="3">
        <f>IFERROR(__xludf.DUMMYFUNCTION("""COMPUTED_VALUE"""),0.908505944355926)</f>
        <v>0.9085059444</v>
      </c>
    </row>
    <row r="44">
      <c r="P44" s="3">
        <f>IFERROR(__xludf.DUMMYFUNCTION("""COMPUTED_VALUE"""),0.75039833312906)</f>
        <v>0.7503983331</v>
      </c>
    </row>
    <row r="45">
      <c r="P45" s="3">
        <f>IFERROR(__xludf.DUMMYFUNCTION("""COMPUTED_VALUE"""),0.7651060178943498)</f>
        <v>0.7651060179</v>
      </c>
    </row>
    <row r="46">
      <c r="P46" s="3">
        <f>IFERROR(__xludf.DUMMYFUNCTION("""COMPUTED_VALUE"""),0.7479470523348449)</f>
        <v>0.7479470523</v>
      </c>
    </row>
    <row r="47">
      <c r="P47" s="3">
        <f>IFERROR(__xludf.DUMMYFUNCTION("""COMPUTED_VALUE"""),0.7209829635984802)</f>
        <v>0.7209829636</v>
      </c>
    </row>
    <row r="48">
      <c r="P48" s="3">
        <f>IFERROR(__xludf.DUMMYFUNCTION("""COMPUTED_VALUE"""),0.7160804020100503)</f>
        <v>0.716080402</v>
      </c>
    </row>
    <row r="49">
      <c r="P49" s="3">
        <f>IFERROR(__xludf.DUMMYFUNCTION("""COMPUTED_VALUE"""),0.8165829145728644)</f>
        <v>0.8165829146</v>
      </c>
    </row>
    <row r="50">
      <c r="P50" s="3">
        <f>IFERROR(__xludf.DUMMYFUNCTION("""COMPUTED_VALUE"""),0.09590636107366098)</f>
        <v>0.09590636107</v>
      </c>
    </row>
    <row r="51">
      <c r="P51" s="3">
        <f>IFERROR(__xludf.DUMMYFUNCTION("""COMPUTED_VALUE"""),0.07507047432283356)</f>
        <v>0.07507047432</v>
      </c>
    </row>
    <row r="52">
      <c r="P52" s="3">
        <f>IFERROR(__xludf.DUMMYFUNCTION("""COMPUTED_VALUE"""),0.06771663194018879)</f>
        <v>0.06771663194</v>
      </c>
    </row>
    <row r="53">
      <c r="P53" s="3">
        <f>IFERROR(__xludf.DUMMYFUNCTION("""COMPUTED_VALUE"""),0.0)</f>
        <v>0</v>
      </c>
    </row>
    <row r="54">
      <c r="P54" s="3">
        <f>IFERROR(__xludf.DUMMYFUNCTION("""COMPUTED_VALUE"""),0.0)</f>
        <v>0</v>
      </c>
    </row>
    <row r="55">
      <c r="P55" s="3">
        <f>IFERROR(__xludf.DUMMYFUNCTION("""COMPUTED_VALUE"""),0.45501899742615515)</f>
        <v>0.4550189974</v>
      </c>
    </row>
    <row r="56">
      <c r="P56" s="3">
        <f>IFERROR(__xludf.DUMMYFUNCTION("""COMPUTED_VALUE"""),0.0)</f>
        <v>0</v>
      </c>
    </row>
    <row r="57">
      <c r="P57" s="3">
        <f>IFERROR(__xludf.DUMMYFUNCTION("""COMPUTED_VALUE"""),0.14493197695796045)</f>
        <v>0.144931977</v>
      </c>
    </row>
    <row r="58">
      <c r="P58" s="3">
        <f>IFERROR(__xludf.DUMMYFUNCTION("""COMPUTED_VALUE"""),0.2834293418311067)</f>
        <v>0.2834293418</v>
      </c>
    </row>
    <row r="59">
      <c r="P59" s="3">
        <f>IFERROR(__xludf.DUMMYFUNCTION("""COMPUTED_VALUE"""),0.4501164358377252)</f>
        <v>0.4501164358</v>
      </c>
    </row>
    <row r="60">
      <c r="P60" s="3">
        <f>IFERROR(__xludf.DUMMYFUNCTION("""COMPUTED_VALUE"""),0.6057727662703762)</f>
        <v>0.6057727663</v>
      </c>
    </row>
    <row r="61">
      <c r="P61" s="3">
        <f>IFERROR(__xludf.DUMMYFUNCTION("""COMPUTED_VALUE"""),0.8214854761612943)</f>
        <v>0.8214854762</v>
      </c>
    </row>
    <row r="62">
      <c r="P62" s="3">
        <f>IFERROR(__xludf.DUMMYFUNCTION("""COMPUTED_VALUE"""),0.0)</f>
        <v>0</v>
      </c>
    </row>
    <row r="63">
      <c r="P63" s="3">
        <f>IFERROR(__xludf.DUMMYFUNCTION("""COMPUTED_VALUE"""),0.18170118887118522)</f>
        <v>0.1817011889</v>
      </c>
    </row>
    <row r="64">
      <c r="P64" s="3">
        <f>IFERROR(__xludf.DUMMYFUNCTION("""COMPUTED_VALUE"""),0.580034317931119)</f>
        <v>0.5800343179</v>
      </c>
    </row>
    <row r="65">
      <c r="P65" s="3">
        <f>IFERROR(__xludf.DUMMYFUNCTION("""COMPUTED_VALUE"""),0.6633778649344283)</f>
        <v>0.6633778649</v>
      </c>
    </row>
    <row r="66">
      <c r="P66" s="3">
        <f>IFERROR(__xludf.DUMMYFUNCTION("""COMPUTED_VALUE"""),0.808003431793112)</f>
        <v>0.8080034318</v>
      </c>
    </row>
    <row r="67">
      <c r="P67" s="3">
        <f>IFERROR(__xludf.DUMMYFUNCTION("""COMPUTED_VALUE"""),0.9011521019732811)</f>
        <v>0.901152102</v>
      </c>
    </row>
    <row r="68">
      <c r="P68" s="3">
        <f>IFERROR(__xludf.DUMMYFUNCTION("""COMPUTED_VALUE"""),0.8435470033092292)</f>
        <v>0.8435470033</v>
      </c>
    </row>
    <row r="69">
      <c r="P69" s="3">
        <f>IFERROR(__xludf.DUMMYFUNCTION("""COMPUTED_VALUE"""),0.6646035053315358)</f>
        <v>0.6646035053</v>
      </c>
    </row>
    <row r="70">
      <c r="P70" s="3">
        <f>IFERROR(__xludf.DUMMYFUNCTION("""COMPUTED_VALUE"""),0.5788086775340116)</f>
        <v>0.5788086775</v>
      </c>
    </row>
    <row r="71">
      <c r="P71" s="3">
        <f>IFERROR(__xludf.DUMMYFUNCTION("""COMPUTED_VALUE"""),0.584936879519549)</f>
        <v>0.5849368795</v>
      </c>
    </row>
    <row r="72">
      <c r="P72" s="3">
        <f>IFERROR(__xludf.DUMMYFUNCTION("""COMPUTED_VALUE"""),0.6094496874616988)</f>
        <v>0.6094496875</v>
      </c>
    </row>
    <row r="73">
      <c r="P73" s="3">
        <f>IFERROR(__xludf.DUMMYFUNCTION("""COMPUTED_VALUE"""),0.9011521019732811)</f>
        <v>0.901152102</v>
      </c>
    </row>
    <row r="74">
      <c r="P74" s="3">
        <f>IFERROR(__xludf.DUMMYFUNCTION("""COMPUTED_VALUE"""),0.36187032724598606)</f>
        <v>0.3618703272</v>
      </c>
    </row>
    <row r="75">
      <c r="P75" s="3">
        <f>IFERROR(__xludf.DUMMYFUNCTION("""COMPUTED_VALUE"""),0.4954651305307023)</f>
        <v>0.4954651305</v>
      </c>
    </row>
    <row r="76">
      <c r="P76" s="3">
        <f>IFERROR(__xludf.DUMMYFUNCTION("""COMPUTED_VALUE"""),0.6989214364505455)</f>
        <v>0.6989214365</v>
      </c>
    </row>
    <row r="77">
      <c r="P77" s="3">
        <f>IFERROR(__xludf.DUMMYFUNCTION("""COMPUTED_VALUE"""),0.6290599338154186)</f>
        <v>0.6290599338</v>
      </c>
    </row>
    <row r="78">
      <c r="P78" s="3">
        <f>IFERROR(__xludf.DUMMYFUNCTION("""COMPUTED_VALUE"""),0.7271111655840177)</f>
        <v>0.7271111656</v>
      </c>
    </row>
    <row r="79">
      <c r="P79" s="3">
        <f>IFERROR(__xludf.DUMMYFUNCTION("""COMPUTED_VALUE"""),0.7356906483637701)</f>
        <v>0.7356906484</v>
      </c>
    </row>
    <row r="80">
      <c r="P80" s="3">
        <f>IFERROR(__xludf.DUMMYFUNCTION("""COMPUTED_VALUE"""),0.8705110920455938)</f>
        <v>0.870511092</v>
      </c>
    </row>
    <row r="81">
      <c r="P81" s="3">
        <f>IFERROR(__xludf.DUMMYFUNCTION("""COMPUTED_VALUE"""),0.8398700821179066)</f>
        <v>0.8398700821</v>
      </c>
    </row>
    <row r="82">
      <c r="P82" s="3">
        <f>IFERROR(__xludf.DUMMYFUNCTION("""COMPUTED_VALUE"""),0.8937982595906362)</f>
        <v>0.8937982596</v>
      </c>
    </row>
    <row r="83">
      <c r="P83" s="3">
        <f>IFERROR(__xludf.DUMMYFUNCTION("""COMPUTED_VALUE"""),0.8950238999877437)</f>
        <v>0.8950239</v>
      </c>
    </row>
    <row r="84">
      <c r="P84" s="3">
        <f>IFERROR(__xludf.DUMMYFUNCTION("""COMPUTED_VALUE"""),0.8717367324427014)</f>
        <v>0.8717367324</v>
      </c>
    </row>
    <row r="85">
      <c r="P85" s="3">
        <f>IFERROR(__xludf.DUMMYFUNCTION("""COMPUTED_VALUE"""),0.8937982595906362)</f>
        <v>0.8937982596</v>
      </c>
    </row>
    <row r="86">
      <c r="P86" s="3">
        <f>IFERROR(__xludf.DUMMYFUNCTION("""COMPUTED_VALUE"""),0.6204804510356662)</f>
        <v>0.620480451</v>
      </c>
    </row>
    <row r="87">
      <c r="P87" s="3">
        <f>IFERROR(__xludf.DUMMYFUNCTION("""COMPUTED_VALUE"""),0.6057727662703762)</f>
        <v>0.6057727663</v>
      </c>
    </row>
    <row r="88">
      <c r="P88" s="3">
        <f>IFERROR(__xludf.DUMMYFUNCTION("""COMPUTED_VALUE"""),0.7160804020100503)</f>
        <v>0.716080402</v>
      </c>
    </row>
    <row r="89">
      <c r="P89" s="3">
        <f>IFERROR(__xludf.DUMMYFUNCTION("""COMPUTED_VALUE"""),0.6204804510356662)</f>
        <v>0.620480451</v>
      </c>
    </row>
    <row r="90">
      <c r="P90" s="3">
        <f>IFERROR(__xludf.DUMMYFUNCTION("""COMPUTED_VALUE"""),0.6388650569922785)</f>
        <v>0.638865057</v>
      </c>
    </row>
    <row r="91">
      <c r="P91" s="3">
        <f>IFERROR(__xludf.DUMMYFUNCTION("""COMPUTED_VALUE"""),0.8668341708542714)</f>
        <v>0.8668341709</v>
      </c>
    </row>
    <row r="92">
      <c r="P92" s="3">
        <f>IFERROR(__xludf.DUMMYFUNCTION("""COMPUTED_VALUE"""),0.7736855006741024)</f>
        <v>0.7736855007</v>
      </c>
    </row>
    <row r="93">
      <c r="P93" s="3">
        <f>IFERROR(__xludf.DUMMYFUNCTION("""COMPUTED_VALUE"""),0.7467214119377374)</f>
        <v>0.7467214119</v>
      </c>
    </row>
    <row r="94">
      <c r="P94" s="3">
        <f>IFERROR(__xludf.DUMMYFUNCTION("""COMPUTED_VALUE"""),0.7516239735261675)</f>
        <v>0.7516239735</v>
      </c>
    </row>
    <row r="95">
      <c r="P95" s="3">
        <f>IFERROR(__xludf.DUMMYFUNCTION("""COMPUTED_VALUE"""),0.6204804510356662)</f>
        <v>0.620480451</v>
      </c>
    </row>
    <row r="96">
      <c r="P96" s="3">
        <f>IFERROR(__xludf.DUMMYFUNCTION("""COMPUTED_VALUE"""),0.6400906973893861)</f>
        <v>0.6400906974</v>
      </c>
    </row>
    <row r="97">
      <c r="P97" s="3">
        <f>IFERROR(__xludf.DUMMYFUNCTION("""COMPUTED_VALUE"""),0.6731829881112882)</f>
        <v>0.6731829881</v>
      </c>
    </row>
    <row r="98">
      <c r="P98" s="3">
        <f>IFERROR(__xludf.DUMMYFUNCTION("""COMPUTED_VALUE"""),0.5015933325162397)</f>
        <v>0.5015933325</v>
      </c>
    </row>
    <row r="99">
      <c r="P99" s="3">
        <f>IFERROR(__xludf.DUMMYFUNCTION("""COMPUTED_VALUE"""),0.5506189484005393)</f>
        <v>0.5506189484</v>
      </c>
    </row>
    <row r="100">
      <c r="P100" s="3">
        <f>IFERROR(__xludf.DUMMYFUNCTION("""COMPUTED_VALUE"""),0.3912856967765658)</f>
        <v>0.3912856968</v>
      </c>
    </row>
    <row r="101">
      <c r="P101" s="3">
        <f>IFERROR(__xludf.DUMMYFUNCTION("""COMPUTED_VALUE"""),0.29078318421375166)</f>
        <v>0.2907831842</v>
      </c>
    </row>
    <row r="102">
      <c r="P102" s="3">
        <f>IFERROR(__xludf.DUMMYFUNCTION("""COMPUTED_VALUE"""),0.23808064713812968)</f>
        <v>0.2380806471</v>
      </c>
    </row>
    <row r="103">
      <c r="P103" s="3">
        <f>IFERROR(__xludf.DUMMYFUNCTION("""COMPUTED_VALUE"""),0.5677779139600442)</f>
        <v>0.567777914</v>
      </c>
    </row>
    <row r="104">
      <c r="P104" s="3">
        <f>IFERROR(__xludf.DUMMYFUNCTION("""COMPUTED_VALUE"""),0.29200882461085914)</f>
        <v>0.2920088246</v>
      </c>
    </row>
    <row r="105">
      <c r="P105" s="3">
        <f>IFERROR(__xludf.DUMMYFUNCTION("""COMPUTED_VALUE"""),0.32264983453854634)</f>
        <v>0.3226498345</v>
      </c>
    </row>
    <row r="106">
      <c r="P106" s="3">
        <f>IFERROR(__xludf.DUMMYFUNCTION("""COMPUTED_VALUE"""),0.419475425910038)</f>
        <v>0.4194754259</v>
      </c>
    </row>
    <row r="107">
      <c r="P107" s="3">
        <f>IFERROR(__xludf.DUMMYFUNCTION("""COMPUTED_VALUE"""),0.5212035788699596)</f>
        <v>0.5212035789</v>
      </c>
    </row>
    <row r="108">
      <c r="P108" s="3">
        <f>IFERROR(__xludf.DUMMYFUNCTION("""COMPUTED_VALUE"""),0.42437798749846795)</f>
        <v>0.4243779875</v>
      </c>
    </row>
    <row r="109">
      <c r="P109" s="3">
        <f>IFERROR(__xludf.DUMMYFUNCTION("""COMPUTED_VALUE"""),0.5371369040323569)</f>
        <v>0.537136904</v>
      </c>
    </row>
    <row r="110">
      <c r="P110" s="3">
        <f>IFERROR(__xludf.DUMMYFUNCTION("""COMPUTED_VALUE"""),0.04197818360093141)</f>
        <v>0.0419781836</v>
      </c>
    </row>
    <row r="111">
      <c r="P111" s="3">
        <f>IFERROR(__xludf.DUMMYFUNCTION("""COMPUTED_VALUE"""),0.017465375658781725)</f>
        <v>0.01746537566</v>
      </c>
    </row>
    <row r="112">
      <c r="P112" s="3">
        <f>IFERROR(__xludf.DUMMYFUNCTION("""COMPUTED_VALUE"""),0.0)</f>
        <v>0</v>
      </c>
    </row>
    <row r="113">
      <c r="P113" s="3">
        <f>IFERROR(__xludf.DUMMYFUNCTION("""COMPUTED_VALUE"""),0.0)</f>
        <v>0</v>
      </c>
    </row>
    <row r="114">
      <c r="P114" s="3">
        <f>IFERROR(__xludf.DUMMYFUNCTION("""COMPUTED_VALUE"""),0.0)</f>
        <v>0</v>
      </c>
    </row>
    <row r="115">
      <c r="P115" s="3">
        <f>IFERROR(__xludf.DUMMYFUNCTION("""COMPUTED_VALUE"""),0.0)</f>
        <v>0</v>
      </c>
    </row>
    <row r="116">
      <c r="P116" s="3">
        <f>IFERROR(__xludf.DUMMYFUNCTION("""COMPUTED_VALUE"""),0.0)</f>
        <v>0</v>
      </c>
    </row>
    <row r="117">
      <c r="P117" s="3">
        <f>IFERROR(__xludf.DUMMYFUNCTION("""COMPUTED_VALUE"""),0.0775217551170487)</f>
        <v>0.07752175512</v>
      </c>
    </row>
    <row r="118">
      <c r="P118" s="3">
        <f>IFERROR(__xludf.DUMMYFUNCTION("""COMPUTED_VALUE"""),0.3459370020835887)</f>
        <v>0.3459370021</v>
      </c>
    </row>
    <row r="119">
      <c r="P119" s="3">
        <f>IFERROR(__xludf.DUMMYFUNCTION("""COMPUTED_VALUE"""),0.35696776565755606)</f>
        <v>0.3569677657</v>
      </c>
    </row>
    <row r="120">
      <c r="P120" s="3">
        <f>IFERROR(__xludf.DUMMYFUNCTION("""COMPUTED_VALUE"""),0.3483882828778036)</f>
        <v>0.3483882829</v>
      </c>
    </row>
    <row r="121">
      <c r="P121" s="3">
        <f>IFERROR(__xludf.DUMMYFUNCTION("""COMPUTED_VALUE"""),0.5248805000612821)</f>
        <v>0.5248805001</v>
      </c>
    </row>
    <row r="122">
      <c r="P122" s="3">
        <f>IFERROR(__xludf.DUMMYFUNCTION("""COMPUTED_VALUE"""),0.44153695305797275)</f>
        <v>0.4415369531</v>
      </c>
    </row>
    <row r="123">
      <c r="P123" s="3">
        <f>IFERROR(__xludf.DUMMYFUNCTION("""COMPUTED_VALUE"""),0.4819830861625199)</f>
        <v>0.4819830862</v>
      </c>
    </row>
    <row r="124">
      <c r="P124" s="3">
        <f>IFERROR(__xludf.DUMMYFUNCTION("""COMPUTED_VALUE"""),0.45256771663194023)</f>
        <v>0.4525677166</v>
      </c>
    </row>
    <row r="125">
      <c r="P125" s="3">
        <f>IFERROR(__xludf.DUMMYFUNCTION("""COMPUTED_VALUE"""),0.42070106630714543)</f>
        <v>0.4207010663</v>
      </c>
    </row>
    <row r="126">
      <c r="P126" s="3">
        <f>IFERROR(__xludf.DUMMYFUNCTION("""COMPUTED_VALUE"""),0.5199779384728521)</f>
        <v>0.5199779385</v>
      </c>
    </row>
    <row r="127">
      <c r="P127" s="3">
        <f>IFERROR(__xludf.DUMMYFUNCTION("""COMPUTED_VALUE"""),0.7687829390856723)</f>
        <v>0.7687829391</v>
      </c>
    </row>
    <row r="128">
      <c r="P128" s="3">
        <f>IFERROR(__xludf.DUMMYFUNCTION("""COMPUTED_VALUE"""),0.635188135800956)</f>
        <v>0.6351881358</v>
      </c>
    </row>
    <row r="129">
      <c r="P129" s="3">
        <f>IFERROR(__xludf.DUMMYFUNCTION("""COMPUTED_VALUE"""),0.7197573232013728)</f>
        <v>0.7197573232</v>
      </c>
    </row>
    <row r="130">
      <c r="P130" s="3">
        <f>IFERROR(__xludf.DUMMYFUNCTION("""COMPUTED_VALUE"""),0.7479470523348449)</f>
        <v>0.7479470523</v>
      </c>
    </row>
    <row r="131">
      <c r="P131" s="3">
        <f>IFERROR(__xludf.DUMMYFUNCTION("""COMPUTED_VALUE"""),0.7883931854393921)</f>
        <v>0.7883931854</v>
      </c>
    </row>
    <row r="132">
      <c r="P132" s="3">
        <f>IFERROR(__xludf.DUMMYFUNCTION("""COMPUTED_VALUE"""),0.6646035053315358)</f>
        <v>0.6646035053</v>
      </c>
    </row>
    <row r="133">
      <c r="P133" s="3">
        <f>IFERROR(__xludf.DUMMYFUNCTION("""COMPUTED_VALUE"""),0.7160804020100503)</f>
        <v>0.716080402</v>
      </c>
    </row>
    <row r="134">
      <c r="P134" s="3">
        <f>IFERROR(__xludf.DUMMYFUNCTION("""COMPUTED_VALUE"""),0.5837112391224415)</f>
        <v>0.5837112391</v>
      </c>
    </row>
    <row r="135">
      <c r="P135" s="3">
        <f>IFERROR(__xludf.DUMMYFUNCTION("""COMPUTED_VALUE"""),0.5775830371369041)</f>
        <v>0.5775830371</v>
      </c>
    </row>
    <row r="136">
      <c r="P136" s="3">
        <f>IFERROR(__xludf.DUMMYFUNCTION("""COMPUTED_VALUE"""),0.5788086775340116)</f>
        <v>0.5788086775</v>
      </c>
    </row>
    <row r="137">
      <c r="P137" s="3">
        <f>IFERROR(__xludf.DUMMYFUNCTION("""COMPUTED_VALUE"""),0.2662703762716019)</f>
        <v>0.2662703763</v>
      </c>
    </row>
    <row r="138">
      <c r="P138" s="3">
        <f>IFERROR(__xludf.DUMMYFUNCTION("""COMPUTED_VALUE"""),0.364321608040201)</f>
        <v>0.364321608</v>
      </c>
    </row>
    <row r="139">
      <c r="P139" s="3">
        <f>IFERROR(__xludf.DUMMYFUNCTION("""COMPUTED_VALUE"""),0.7062752788331903)</f>
        <v>0.7062752788</v>
      </c>
    </row>
    <row r="140">
      <c r="P140" s="3">
        <f>IFERROR(__xludf.DUMMYFUNCTION("""COMPUTED_VALUE"""),0.5947420026964089)</f>
        <v>0.5947420027</v>
      </c>
    </row>
    <row r="141">
      <c r="P141" s="3">
        <f>IFERROR(__xludf.DUMMYFUNCTION("""COMPUTED_VALUE"""),0.6437676185807084)</f>
        <v>0.6437676186</v>
      </c>
    </row>
    <row r="142">
      <c r="P142" s="3">
        <f>IFERROR(__xludf.DUMMYFUNCTION("""COMPUTED_VALUE"""),0.6547983821546758)</f>
        <v>0.6547983822</v>
      </c>
    </row>
    <row r="143">
      <c r="P143" s="3">
        <f>IFERROR(__xludf.DUMMYFUNCTION("""COMPUTED_VALUE"""),0.5261061404583895)</f>
        <v>0.5261061405</v>
      </c>
    </row>
    <row r="144">
      <c r="P144" s="3">
        <f>IFERROR(__xludf.DUMMYFUNCTION("""COMPUTED_VALUE"""),0.48933692854516486)</f>
        <v>0.4893369285</v>
      </c>
    </row>
    <row r="145">
      <c r="P145" s="3">
        <f>IFERROR(__xludf.DUMMYFUNCTION("""COMPUTED_VALUE"""),0.6143522490501286)</f>
        <v>0.6143522491</v>
      </c>
    </row>
    <row r="146">
      <c r="P146" s="3">
        <f>IFERROR(__xludf.DUMMYFUNCTION("""COMPUTED_VALUE"""),0.23808064713812968)</f>
        <v>0.2380806471</v>
      </c>
    </row>
    <row r="147">
      <c r="P147" s="3">
        <f>IFERROR(__xludf.DUMMYFUNCTION("""COMPUTED_VALUE"""),0.14738325775217548)</f>
        <v>0.1473832578</v>
      </c>
    </row>
    <row r="148">
      <c r="P148" s="3">
        <f>IFERROR(__xludf.DUMMYFUNCTION("""COMPUTED_VALUE"""),0.24911141071209708)</f>
        <v>0.2491114107</v>
      </c>
    </row>
    <row r="149">
      <c r="P149" s="3">
        <f>IFERROR(__xludf.DUMMYFUNCTION("""COMPUTED_VALUE"""),0.4488907954406177)</f>
        <v>0.4488907954</v>
      </c>
    </row>
    <row r="150">
      <c r="P150" s="3">
        <f>IFERROR(__xludf.DUMMYFUNCTION("""COMPUTED_VALUE"""),0.40354210074764063)</f>
        <v>0.4035421007</v>
      </c>
    </row>
    <row r="151">
      <c r="P151" s="3">
        <f>IFERROR(__xludf.DUMMYFUNCTION("""COMPUTED_VALUE"""),0.5481676676063243)</f>
        <v>0.5481676676</v>
      </c>
    </row>
    <row r="152">
      <c r="P152" s="3">
        <f>IFERROR(__xludf.DUMMYFUNCTION("""COMPUTED_VALUE"""),0.151060178943498)</f>
        <v>0.1510601789</v>
      </c>
    </row>
    <row r="153">
      <c r="P153" s="3">
        <f>IFERROR(__xludf.DUMMYFUNCTION("""COMPUTED_VALUE"""),0.19150631204804502)</f>
        <v>0.191506312</v>
      </c>
    </row>
    <row r="154">
      <c r="P154" s="3">
        <f>IFERROR(__xludf.DUMMYFUNCTION("""COMPUTED_VALUE"""),0.09713200147076843)</f>
        <v>0.09713200147</v>
      </c>
    </row>
    <row r="155">
      <c r="P155" s="3">
        <f>IFERROR(__xludf.DUMMYFUNCTION("""COMPUTED_VALUE"""),0.24666012991788203)</f>
        <v>0.2466601299</v>
      </c>
    </row>
    <row r="156">
      <c r="P156" s="3">
        <f>IFERROR(__xludf.DUMMYFUNCTION("""COMPUTED_VALUE"""),0.24911141071209708)</f>
        <v>0.2491114107</v>
      </c>
    </row>
    <row r="157">
      <c r="P157" s="3">
        <f>IFERROR(__xludf.DUMMYFUNCTION("""COMPUTED_VALUE"""),0.09835764186787589)</f>
        <v>0.09835764187</v>
      </c>
    </row>
    <row r="158">
      <c r="P158" s="3">
        <f>IFERROR(__xludf.DUMMYFUNCTION("""COMPUTED_VALUE"""),0.2674960166687093)</f>
        <v>0.2674960167</v>
      </c>
    </row>
    <row r="159">
      <c r="P159" s="3">
        <f>IFERROR(__xludf.DUMMYFUNCTION("""COMPUTED_VALUE"""),0.2993626669935041)</f>
        <v>0.299362667</v>
      </c>
    </row>
    <row r="160">
      <c r="P160" s="3">
        <f>IFERROR(__xludf.DUMMYFUNCTION("""COMPUTED_VALUE"""),0.07139355313151118)</f>
        <v>0.07139355313</v>
      </c>
    </row>
    <row r="161">
      <c r="P161" s="3">
        <f>IFERROR(__xludf.DUMMYFUNCTION("""COMPUTED_VALUE"""),0.0)</f>
        <v>0</v>
      </c>
    </row>
    <row r="162">
      <c r="P162" s="3">
        <f>IFERROR(__xludf.DUMMYFUNCTION("""COMPUTED_VALUE"""),0.0)</f>
        <v>0</v>
      </c>
    </row>
    <row r="163">
      <c r="P163" s="3">
        <f>IFERROR(__xludf.DUMMYFUNCTION("""COMPUTED_VALUE"""),0.1645422233116803)</f>
        <v>0.1645422233</v>
      </c>
    </row>
    <row r="164">
      <c r="P164" s="3">
        <f>IFERROR(__xludf.DUMMYFUNCTION("""COMPUTED_VALUE"""),0.028496139232749105)</f>
        <v>0.02849613923</v>
      </c>
    </row>
    <row r="165">
      <c r="P165" s="3">
        <f>IFERROR(__xludf.DUMMYFUNCTION("""COMPUTED_VALUE"""),0.09835764186787589)</f>
        <v>0.09835764187</v>
      </c>
    </row>
    <row r="166">
      <c r="P166" s="3">
        <f>IFERROR(__xludf.DUMMYFUNCTION("""COMPUTED_VALUE"""),0.19150631204804502)</f>
        <v>0.191506312</v>
      </c>
    </row>
    <row r="167">
      <c r="P167" s="3">
        <f>IFERROR(__xludf.DUMMYFUNCTION("""COMPUTED_VALUE"""),0.32264983453854634)</f>
        <v>0.3226498345</v>
      </c>
    </row>
    <row r="168">
      <c r="P168" s="3">
        <f>IFERROR(__xludf.DUMMYFUNCTION("""COMPUTED_VALUE"""),0.1400294153695305)</f>
        <v>0.1400294154</v>
      </c>
    </row>
    <row r="169">
      <c r="P169" s="3">
        <f>IFERROR(__xludf.DUMMYFUNCTION("""COMPUTED_VALUE"""),0.45992155901458515)</f>
        <v>0.459921559</v>
      </c>
    </row>
    <row r="170">
      <c r="P170" s="3">
        <f>IFERROR(__xludf.DUMMYFUNCTION("""COMPUTED_VALUE"""),0.8423213629121217)</f>
        <v>0.8423213629</v>
      </c>
    </row>
    <row r="171">
      <c r="P171" s="3">
        <f>IFERROR(__xludf.DUMMYFUNCTION("""COMPUTED_VALUE"""),0.7847162642480697)</f>
        <v>0.7847162642</v>
      </c>
    </row>
    <row r="172">
      <c r="P172" s="3">
        <f>IFERROR(__xludf.DUMMYFUNCTION("""COMPUTED_VALUE"""),0.8692854516484864)</f>
        <v>0.8692854516</v>
      </c>
    </row>
    <row r="173">
      <c r="P173" s="3">
        <f>IFERROR(__xludf.DUMMYFUNCTION("""COMPUTED_VALUE"""),0.8778649344282389)</f>
        <v>0.8778649344</v>
      </c>
    </row>
    <row r="174">
      <c r="P174" s="3">
        <f>IFERROR(__xludf.DUMMYFUNCTION("""COMPUTED_VALUE"""),0.8925726191935287)</f>
        <v>0.8925726192</v>
      </c>
    </row>
    <row r="175">
      <c r="P175" s="3">
        <f>IFERROR(__xludf.DUMMYFUNCTION("""COMPUTED_VALUE"""),0.9771418065939453)</f>
        <v>0.9771418066</v>
      </c>
    </row>
    <row r="176">
      <c r="P176" s="3">
        <f>IFERROR(__xludf.DUMMYFUNCTION("""COMPUTED_VALUE"""),0.8962495403848512)</f>
        <v>0.8962495404</v>
      </c>
    </row>
    <row r="177">
      <c r="P177" s="3">
        <f>IFERROR(__xludf.DUMMYFUNCTION("""COMPUTED_VALUE"""),0.8839931364137763)</f>
        <v>0.8839931364</v>
      </c>
    </row>
    <row r="178">
      <c r="P178" s="3">
        <f>IFERROR(__xludf.DUMMYFUNCTION("""COMPUTED_VALUE"""),0.9072803039588185)</f>
        <v>0.907280304</v>
      </c>
    </row>
    <row r="179">
      <c r="P179" s="3">
        <f>IFERROR(__xludf.DUMMYFUNCTION("""COMPUTED_VALUE"""),0.9354700330922908)</f>
        <v>0.9354700331</v>
      </c>
    </row>
    <row r="180">
      <c r="P180" s="3">
        <f>IFERROR(__xludf.DUMMYFUNCTION("""COMPUTED_VALUE"""),0.8594803284716265)</f>
        <v>0.8594803285</v>
      </c>
    </row>
    <row r="181">
      <c r="P181" s="3">
        <f>IFERROR(__xludf.DUMMYFUNCTION("""COMPUTED_VALUE"""),0.9023777423703886)</f>
        <v>0.9023777424</v>
      </c>
    </row>
    <row r="182">
      <c r="P182" s="3">
        <f>IFERROR(__xludf.DUMMYFUNCTION("""COMPUTED_VALUE"""),0.8435470033092292)</f>
        <v>0.8435470033</v>
      </c>
    </row>
    <row r="183">
      <c r="P183" s="3">
        <f>IFERROR(__xludf.DUMMYFUNCTION("""COMPUTED_VALUE"""),0.8827674960166688)</f>
        <v>0.882767496</v>
      </c>
    </row>
    <row r="184">
      <c r="P184" s="3">
        <f>IFERROR(__xludf.DUMMYFUNCTION("""COMPUTED_VALUE"""),0.9428238754749356)</f>
        <v>0.9428238755</v>
      </c>
    </row>
    <row r="185">
      <c r="P185" s="3">
        <f>IFERROR(__xludf.DUMMYFUNCTION("""COMPUTED_VALUE"""),0.9514033582546881)</f>
        <v>0.9514033583</v>
      </c>
    </row>
    <row r="186">
      <c r="P186" s="3">
        <f>IFERROR(__xludf.DUMMYFUNCTION("""COMPUTED_VALUE"""),0.9268905503125384)</f>
        <v>0.9268905503</v>
      </c>
    </row>
    <row r="187">
      <c r="P187" s="3">
        <f>IFERROR(__xludf.DUMMYFUNCTION("""COMPUTED_VALUE"""),1.0)</f>
        <v>1</v>
      </c>
    </row>
    <row r="188">
      <c r="P188" s="3">
        <f>IFERROR(__xludf.DUMMYFUNCTION("""COMPUTED_VALUE"""),0.9869469297708054)</f>
        <v>0.9869469298</v>
      </c>
    </row>
    <row r="189">
      <c r="P189" s="3">
        <f>IFERROR(__xludf.DUMMYFUNCTION("""COMPUTED_VALUE"""),0.966111043019978)</f>
        <v>0.966111043</v>
      </c>
    </row>
    <row r="190">
      <c r="P190" s="3">
        <f>IFERROR(__xludf.DUMMYFUNCTION("""COMPUTED_VALUE"""),0.9710136046084079)</f>
        <v>0.9710136046</v>
      </c>
    </row>
    <row r="191">
      <c r="P191" s="3">
        <f>IFERROR(__xludf.DUMMYFUNCTION("""COMPUTED_VALUE"""),0.9673366834170855)</f>
        <v>0.9673366834</v>
      </c>
    </row>
    <row r="192">
      <c r="P192" s="3">
        <f>IFERROR(__xludf.DUMMYFUNCTION("""COMPUTED_VALUE"""),0.9526289986517956)</f>
        <v>0.9526289987</v>
      </c>
    </row>
    <row r="193">
      <c r="P193" s="3">
        <f>IFERROR(__xludf.DUMMYFUNCTION("""COMPUTED_VALUE"""),0.9771418065939453)</f>
        <v>0.9771418066</v>
      </c>
    </row>
    <row r="194">
      <c r="P194" s="3">
        <f>IFERROR(__xludf.DUMMYFUNCTION("""COMPUTED_VALUE"""),0.7822649834538546)</f>
        <v>0.7822649835</v>
      </c>
    </row>
    <row r="195">
      <c r="P195" s="3">
        <f>IFERROR(__xludf.DUMMYFUNCTION("""COMPUTED_VALUE"""),0.7295624463782326)</f>
        <v>0.7295624464</v>
      </c>
    </row>
    <row r="196">
      <c r="P196" s="3">
        <f>IFERROR(__xludf.DUMMYFUNCTION("""COMPUTED_VALUE"""),0.8116803529844344)</f>
        <v>0.811680353</v>
      </c>
    </row>
    <row r="197">
      <c r="P197" s="3">
        <f>IFERROR(__xludf.DUMMYFUNCTION("""COMPUTED_VALUE"""),0.7565265351145974)</f>
        <v>0.7565265351</v>
      </c>
    </row>
    <row r="198">
      <c r="P198" s="3">
        <f>IFERROR(__xludf.DUMMYFUNCTION("""COMPUTED_VALUE"""),0.7124034808187278)</f>
        <v>0.7124034808</v>
      </c>
    </row>
    <row r="199">
      <c r="P199" s="3">
        <f>IFERROR(__xludf.DUMMYFUNCTION("""COMPUTED_VALUE"""),0.8631572496629489)</f>
        <v>0.8631572497</v>
      </c>
    </row>
    <row r="200">
      <c r="P200" s="3">
        <f>IFERROR(__xludf.DUMMYFUNCTION("""COMPUTED_VALUE"""),0.7859419046451772)</f>
        <v>0.7859419046</v>
      </c>
    </row>
    <row r="201">
      <c r="P201" s="3">
        <f>IFERROR(__xludf.DUMMYFUNCTION("""COMPUTED_VALUE"""),0.6621522245373208)</f>
        <v>0.6621522245</v>
      </c>
    </row>
    <row r="202">
      <c r="P202" s="3">
        <f>IFERROR(__xludf.DUMMYFUNCTION("""COMPUTED_VALUE"""),0.7454957715406301)</f>
        <v>0.7454957715</v>
      </c>
    </row>
    <row r="203">
      <c r="P203" s="3">
        <f>IFERROR(__xludf.DUMMYFUNCTION("""COMPUTED_VALUE"""),0.8337418801323692)</f>
        <v>0.8337418801</v>
      </c>
    </row>
    <row r="204">
      <c r="P204" s="3">
        <f>IFERROR(__xludf.DUMMYFUNCTION("""COMPUTED_VALUE"""),0.803100870204682)</f>
        <v>0.8031008702</v>
      </c>
    </row>
    <row r="205">
      <c r="P205" s="3">
        <f>IFERROR(__xludf.DUMMYFUNCTION("""COMPUTED_VALUE"""),0.908505944355926)</f>
        <v>0.9085059444</v>
      </c>
    </row>
    <row r="206">
      <c r="P206" s="3">
        <f>IFERROR(__xludf.DUMMYFUNCTION("""COMPUTED_VALUE"""),0.8472239245005516)</f>
        <v>0.8472239245</v>
      </c>
    </row>
    <row r="207">
      <c r="P207" s="3">
        <f>IFERROR(__xludf.DUMMYFUNCTION("""COMPUTED_VALUE"""),0.8496752052947665)</f>
        <v>0.8496752053</v>
      </c>
    </row>
    <row r="208">
      <c r="P208" s="3">
        <f>IFERROR(__xludf.DUMMYFUNCTION("""COMPUTED_VALUE"""),0.9550802794460106)</f>
        <v>0.9550802794</v>
      </c>
    </row>
    <row r="209">
      <c r="P209" s="3">
        <f>IFERROR(__xludf.DUMMYFUNCTION("""COMPUTED_VALUE"""),0.9514033582546881)</f>
        <v>0.9514033583</v>
      </c>
    </row>
    <row r="210">
      <c r="P210" s="3">
        <f>IFERROR(__xludf.DUMMYFUNCTION("""COMPUTED_VALUE"""),0.9587572006373332)</f>
        <v>0.9587572006</v>
      </c>
    </row>
    <row r="211">
      <c r="P211" s="3">
        <f>IFERROR(__xludf.DUMMYFUNCTION("""COMPUTED_VALUE"""),0.9795930873881604)</f>
        <v>0.9795930874</v>
      </c>
    </row>
    <row r="212">
      <c r="P212" s="3">
        <f>IFERROR(__xludf.DUMMYFUNCTION("""COMPUTED_VALUE"""),0.908505944355926)</f>
        <v>0.9085059444</v>
      </c>
    </row>
    <row r="213">
      <c r="P213" s="3">
        <f>IFERROR(__xludf.DUMMYFUNCTION("""COMPUTED_VALUE"""),0.8778649344282389)</f>
        <v>0.8778649344</v>
      </c>
    </row>
    <row r="214">
      <c r="P214" s="3">
        <f>IFERROR(__xludf.DUMMYFUNCTION("""COMPUTED_VALUE"""),0.8680598112513789)</f>
        <v>0.8680598113</v>
      </c>
    </row>
    <row r="215">
      <c r="P215" s="3">
        <f>IFERROR(__xludf.DUMMYFUNCTION("""COMPUTED_VALUE"""),0.8950238999877437)</f>
        <v>0.8950239</v>
      </c>
    </row>
    <row r="216">
      <c r="P216" s="3">
        <f>IFERROR(__xludf.DUMMYFUNCTION("""COMPUTED_VALUE"""),0.8876700576050988)</f>
        <v>0.8876700576</v>
      </c>
    </row>
    <row r="217">
      <c r="P217" s="3">
        <f>IFERROR(__xludf.DUMMYFUNCTION("""COMPUTED_VALUE"""),0.9195367079298934)</f>
        <v>0.9195367079</v>
      </c>
    </row>
    <row r="218">
      <c r="P218" s="3">
        <f>IFERROR(__xludf.DUMMYFUNCTION("""COMPUTED_VALUE"""),0.3496139232749111)</f>
        <v>0.3496139233</v>
      </c>
    </row>
    <row r="219">
      <c r="P219" s="3">
        <f>IFERROR(__xludf.DUMMYFUNCTION("""COMPUTED_VALUE"""),0.3839318543939208)</f>
        <v>0.3839318544</v>
      </c>
    </row>
    <row r="220">
      <c r="P220" s="3">
        <f>IFERROR(__xludf.DUMMYFUNCTION("""COMPUTED_VALUE"""),0.6498958205662458)</f>
        <v>0.6498958206</v>
      </c>
    </row>
    <row r="221">
      <c r="P221" s="3">
        <f>IFERROR(__xludf.DUMMYFUNCTION("""COMPUTED_VALUE"""),0.6278342934183111)</f>
        <v>0.6278342934</v>
      </c>
    </row>
    <row r="222">
      <c r="P222" s="3">
        <f>IFERROR(__xludf.DUMMYFUNCTION("""COMPUTED_VALUE"""),0.7234342443926952)</f>
        <v>0.7234342444</v>
      </c>
    </row>
    <row r="223">
      <c r="P223" s="3">
        <f>IFERROR(__xludf.DUMMYFUNCTION("""COMPUTED_VALUE"""),0.803100870204682)</f>
        <v>0.8031008702</v>
      </c>
    </row>
    <row r="224">
      <c r="P224" s="3">
        <f>IFERROR(__xludf.DUMMYFUNCTION("""COMPUTED_VALUE"""),0.7099522000245129)</f>
        <v>0.7099522</v>
      </c>
    </row>
    <row r="225">
      <c r="P225" s="3">
        <f>IFERROR(__xludf.DUMMYFUNCTION("""COMPUTED_VALUE"""),0.6572496629488908)</f>
        <v>0.6572496629</v>
      </c>
    </row>
    <row r="226">
      <c r="P226" s="3">
        <f>IFERROR(__xludf.DUMMYFUNCTION("""COMPUTED_VALUE"""),0.5812599583282265)</f>
        <v>0.5812599583</v>
      </c>
    </row>
    <row r="227">
      <c r="P227" s="3">
        <f>IFERROR(__xludf.DUMMYFUNCTION("""COMPUTED_VALUE"""),0.6413163377864936)</f>
        <v>0.6413163378</v>
      </c>
    </row>
    <row r="228">
      <c r="P228" s="3">
        <f>IFERROR(__xludf.DUMMYFUNCTION("""COMPUTED_VALUE"""),0.5457163868121093)</f>
        <v>0.5457163868</v>
      </c>
    </row>
    <row r="229">
      <c r="P229" s="3">
        <f>IFERROR(__xludf.DUMMYFUNCTION("""COMPUTED_VALUE"""),0.642541978183601)</f>
        <v>0.6425419782</v>
      </c>
    </row>
    <row r="230">
      <c r="P230" s="3">
        <f>IFERROR(__xludf.DUMMYFUNCTION("""COMPUTED_VALUE"""),0.853352126486089)</f>
        <v>0.8533521265</v>
      </c>
    </row>
    <row r="231">
      <c r="P231" s="3">
        <f>IFERROR(__xludf.DUMMYFUNCTION("""COMPUTED_VALUE"""),0.798198308616252)</f>
        <v>0.7981983086</v>
      </c>
    </row>
    <row r="232">
      <c r="P232" s="3">
        <f>IFERROR(__xludf.DUMMYFUNCTION("""COMPUTED_VALUE"""),0.8521264860889816)</f>
        <v>0.8521264861</v>
      </c>
    </row>
    <row r="233">
      <c r="P233" s="3">
        <f>IFERROR(__xludf.DUMMYFUNCTION("""COMPUTED_VALUE"""),0.7602034563059199)</f>
        <v>0.7602034563</v>
      </c>
    </row>
    <row r="234">
      <c r="P234" s="3">
        <f>IFERROR(__xludf.DUMMYFUNCTION("""COMPUTED_VALUE"""),0.7332393675695552)</f>
        <v>0.7332393676</v>
      </c>
    </row>
    <row r="235">
      <c r="P235" s="3">
        <f>IFERROR(__xludf.DUMMYFUNCTION("""COMPUTED_VALUE"""),0.9281161907096459)</f>
        <v>0.9281161907</v>
      </c>
    </row>
    <row r="236">
      <c r="P236" s="3">
        <f>IFERROR(__xludf.DUMMYFUNCTION("""COMPUTED_VALUE"""),0.8987008211790661)</f>
        <v>0.8987008212</v>
      </c>
    </row>
    <row r="237">
      <c r="P237" s="3">
        <f>IFERROR(__xludf.DUMMYFUNCTION("""COMPUTED_VALUE"""),0.9097315847530335)</f>
        <v>0.9097315848</v>
      </c>
    </row>
    <row r="238">
      <c r="P238" s="3">
        <f>IFERROR(__xludf.DUMMYFUNCTION("""COMPUTED_VALUE"""),0.9158597867385709)</f>
        <v>0.9158597867</v>
      </c>
    </row>
    <row r="239">
      <c r="P239" s="3">
        <f>IFERROR(__xludf.DUMMYFUNCTION("""COMPUTED_VALUE"""),0.9354700330922908)</f>
        <v>0.9354700331</v>
      </c>
    </row>
    <row r="240">
      <c r="P240" s="3">
        <f>IFERROR(__xludf.DUMMYFUNCTION("""COMPUTED_VALUE"""),0.9930751317563428)</f>
        <v>0.9930751318</v>
      </c>
    </row>
    <row r="241">
      <c r="P241" s="3">
        <f>IFERROR(__xludf.DUMMYFUNCTION("""COMPUTED_VALUE"""),0.9955264125505576)</f>
        <v>0.9955264126</v>
      </c>
    </row>
    <row r="242">
      <c r="P242" s="3">
        <f>IFERROR(__xludf.DUMMYFUNCTION("""COMPUTED_VALUE"""),0.9011521019732811)</f>
        <v>0.901152102</v>
      </c>
    </row>
    <row r="243">
      <c r="P243" s="3">
        <f>IFERROR(__xludf.DUMMYFUNCTION("""COMPUTED_VALUE"""),0.8852187768108837)</f>
        <v>0.8852187768</v>
      </c>
    </row>
    <row r="244">
      <c r="P244" s="3">
        <f>IFERROR(__xludf.DUMMYFUNCTION("""COMPUTED_VALUE"""),0.9097315847530335)</f>
        <v>0.9097315848</v>
      </c>
    </row>
    <row r="245">
      <c r="P245" s="3">
        <f>IFERROR(__xludf.DUMMYFUNCTION("""COMPUTED_VALUE"""),0.8864444172079913)</f>
        <v>0.8864444172</v>
      </c>
    </row>
    <row r="246">
      <c r="P246" s="3">
        <f>IFERROR(__xludf.DUMMYFUNCTION("""COMPUTED_VALUE"""),0.9293418311067534)</f>
        <v>0.9293418311</v>
      </c>
    </row>
    <row r="247">
      <c r="P247" s="3">
        <f>IFERROR(__xludf.DUMMYFUNCTION("""COMPUTED_VALUE"""),0.9930751317563428)</f>
        <v>0.9930751318</v>
      </c>
    </row>
    <row r="248">
      <c r="P248" s="3">
        <f>IFERROR(__xludf.DUMMYFUNCTION("""COMPUTED_VALUE"""),0.9342443926951833)</f>
        <v>0.9342443927</v>
      </c>
    </row>
    <row r="249">
      <c r="P249" s="3">
        <f>IFERROR(__xludf.DUMMYFUNCTION("""COMPUTED_VALUE"""),0.9538546390489031)</f>
        <v>0.953854639</v>
      </c>
    </row>
    <row r="250">
      <c r="P250" s="3">
        <f>IFERROR(__xludf.DUMMYFUNCTION("""COMPUTED_VALUE"""),0.9489520774604732)</f>
        <v>0.9489520775</v>
      </c>
    </row>
    <row r="251">
      <c r="P251" s="3">
        <f>IFERROR(__xludf.DUMMYFUNCTION("""COMPUTED_VALUE"""),0.9893982105650203)</f>
        <v>0.9893982106</v>
      </c>
    </row>
    <row r="252">
      <c r="P252" s="3">
        <f>IFERROR(__xludf.DUMMYFUNCTION("""COMPUTED_VALUE"""),0.9550802794460106)</f>
        <v>0.9550802794</v>
      </c>
    </row>
    <row r="253">
      <c r="P253" s="3">
        <f>IFERROR(__xludf.DUMMYFUNCTION("""COMPUTED_VALUE"""),0.9795930873881604)</f>
        <v>0.9795930874</v>
      </c>
    </row>
    <row r="254">
      <c r="P254" s="3">
        <f>IFERROR(__xludf.DUMMYFUNCTION("""COMPUTED_VALUE"""),0.10203456305919839)</f>
        <v>0.1020345631</v>
      </c>
    </row>
    <row r="255">
      <c r="P255" s="3">
        <f>IFERROR(__xludf.DUMMYFUNCTION("""COMPUTED_VALUE"""),0.08977815908812355)</f>
        <v>0.08977815909</v>
      </c>
    </row>
    <row r="256">
      <c r="P256" s="3">
        <f>IFERROR(__xludf.DUMMYFUNCTION("""COMPUTED_VALUE"""),0.414572864321608)</f>
        <v>0.4145728643</v>
      </c>
    </row>
    <row r="257">
      <c r="P257" s="3">
        <f>IFERROR(__xludf.DUMMYFUNCTION("""COMPUTED_VALUE"""),0.37657801201127594)</f>
        <v>0.376578012</v>
      </c>
    </row>
    <row r="258">
      <c r="P258" s="3">
        <f>IFERROR(__xludf.DUMMYFUNCTION("""COMPUTED_VALUE"""),0.5481676676063243)</f>
        <v>0.5481676676</v>
      </c>
    </row>
    <row r="259">
      <c r="P259" s="3">
        <f>IFERROR(__xludf.DUMMYFUNCTION("""COMPUTED_VALUE"""),0.7577521755117048)</f>
        <v>0.7577521755</v>
      </c>
    </row>
    <row r="260">
      <c r="P260" s="3">
        <f>IFERROR(__xludf.DUMMYFUNCTION("""COMPUTED_VALUE"""),0.587388160313764)</f>
        <v>0.5873881603</v>
      </c>
    </row>
    <row r="261">
      <c r="P261" s="3">
        <f>IFERROR(__xludf.DUMMYFUNCTION("""COMPUTED_VALUE"""),0.5212035788699596)</f>
        <v>0.5212035789</v>
      </c>
    </row>
    <row r="262">
      <c r="P262" s="3">
        <f>IFERROR(__xludf.DUMMYFUNCTION("""COMPUTED_VALUE"""),0.426829268292683)</f>
        <v>0.4268292683</v>
      </c>
    </row>
    <row r="263">
      <c r="P263" s="3">
        <f>IFERROR(__xludf.DUMMYFUNCTION("""COMPUTED_VALUE"""),0.22459860276994728)</f>
        <v>0.2245986028</v>
      </c>
    </row>
    <row r="264">
      <c r="P264" s="3">
        <f>IFERROR(__xludf.DUMMYFUNCTION("""COMPUTED_VALUE"""),0.1265473710013482)</f>
        <v>0.126547371</v>
      </c>
    </row>
    <row r="265">
      <c r="P265" s="3">
        <f>IFERROR(__xludf.DUMMYFUNCTION("""COMPUTED_VALUE"""),0.1682191445030028)</f>
        <v>0.1682191445</v>
      </c>
    </row>
    <row r="266">
      <c r="P266" s="3">
        <f>IFERROR(__xludf.DUMMYFUNCTION("""COMPUTED_VALUE"""),1.0)</f>
        <v>1</v>
      </c>
    </row>
    <row r="267">
      <c r="P267" s="3">
        <f>IFERROR(__xludf.DUMMYFUNCTION("""COMPUTED_VALUE"""),0.966111043019978)</f>
        <v>0.966111043</v>
      </c>
    </row>
    <row r="268">
      <c r="P268" s="3">
        <f>IFERROR(__xludf.DUMMYFUNCTION("""COMPUTED_VALUE"""),1.0)</f>
        <v>1</v>
      </c>
    </row>
    <row r="269">
      <c r="P269" s="3">
        <f>IFERROR(__xludf.DUMMYFUNCTION("""COMPUTED_VALUE"""),0.9992033337418802)</f>
        <v>0.9992033337</v>
      </c>
    </row>
    <row r="270">
      <c r="P270" s="3">
        <f>IFERROR(__xludf.DUMMYFUNCTION("""COMPUTED_VALUE"""),1.0)</f>
        <v>1</v>
      </c>
    </row>
    <row r="271">
      <c r="P271" s="3">
        <f>IFERROR(__xludf.DUMMYFUNCTION("""COMPUTED_VALUE"""),1.0)</f>
        <v>1</v>
      </c>
    </row>
    <row r="272">
      <c r="P272" s="3">
        <f>IFERROR(__xludf.DUMMYFUNCTION("""COMPUTED_VALUE"""),1.0)</f>
        <v>1</v>
      </c>
    </row>
    <row r="273">
      <c r="P273" s="3">
        <f>IFERROR(__xludf.DUMMYFUNCTION("""COMPUTED_VALUE"""),1.0)</f>
        <v>1</v>
      </c>
    </row>
    <row r="274">
      <c r="P274" s="3">
        <f>IFERROR(__xludf.DUMMYFUNCTION("""COMPUTED_VALUE"""),1.0)</f>
        <v>1</v>
      </c>
    </row>
    <row r="275">
      <c r="P275" s="3">
        <f>IFERROR(__xludf.DUMMYFUNCTION("""COMPUTED_VALUE"""),1.0)</f>
        <v>1</v>
      </c>
    </row>
    <row r="276">
      <c r="P276" s="3">
        <f>IFERROR(__xludf.DUMMYFUNCTION("""COMPUTED_VALUE"""),0.9906238509621278)</f>
        <v>0.990623851</v>
      </c>
    </row>
    <row r="277">
      <c r="P277" s="3">
        <f>IFERROR(__xludf.DUMMYFUNCTION("""COMPUTED_VALUE"""),1.0)</f>
        <v>1</v>
      </c>
    </row>
    <row r="278">
      <c r="P278" s="3">
        <f>IFERROR(__xludf.DUMMYFUNCTION("""COMPUTED_VALUE"""),0.9648854026228705)</f>
        <v>0.9648854026</v>
      </c>
    </row>
    <row r="279">
      <c r="P279" s="3">
        <f>IFERROR(__xludf.DUMMYFUNCTION("""COMPUTED_VALUE"""),0.968562323814193)</f>
        <v>0.9685623238</v>
      </c>
    </row>
    <row r="280">
      <c r="P280" s="3">
        <f>IFERROR(__xludf.DUMMYFUNCTION("""COMPUTED_VALUE"""),1.0)</f>
        <v>1</v>
      </c>
    </row>
    <row r="281">
      <c r="P281" s="3">
        <f>IFERROR(__xludf.DUMMYFUNCTION("""COMPUTED_VALUE"""),0.9930751317563428)</f>
        <v>0.9930751318</v>
      </c>
    </row>
    <row r="282">
      <c r="P282" s="3">
        <f>IFERROR(__xludf.DUMMYFUNCTION("""COMPUTED_VALUE"""),0.9967520529476653)</f>
        <v>0.9967520529</v>
      </c>
    </row>
    <row r="283">
      <c r="P283" s="3">
        <f>IFERROR(__xludf.DUMMYFUNCTION("""COMPUTED_VALUE"""),1.0)</f>
        <v>1</v>
      </c>
    </row>
    <row r="284">
      <c r="P284" s="3">
        <f>IFERROR(__xludf.DUMMYFUNCTION("""COMPUTED_VALUE"""),1.0)</f>
        <v>1</v>
      </c>
    </row>
    <row r="285">
      <c r="P285" s="3">
        <f>IFERROR(__xludf.DUMMYFUNCTION("""COMPUTED_VALUE"""),1.0)</f>
        <v>1</v>
      </c>
    </row>
    <row r="286">
      <c r="P286" s="3">
        <f>IFERROR(__xludf.DUMMYFUNCTION("""COMPUTED_VALUE"""),1.0)</f>
        <v>1</v>
      </c>
    </row>
    <row r="287">
      <c r="P287" s="3">
        <f>IFERROR(__xludf.DUMMYFUNCTION("""COMPUTED_VALUE"""),1.0)</f>
        <v>1</v>
      </c>
    </row>
    <row r="288">
      <c r="P288" s="3">
        <f>IFERROR(__xludf.DUMMYFUNCTION("""COMPUTED_VALUE"""),1.0)</f>
        <v>1</v>
      </c>
    </row>
    <row r="289">
      <c r="P289" s="3">
        <f>IFERROR(__xludf.DUMMYFUNCTION("""COMPUTED_VALUE"""),1.0)</f>
        <v>1</v>
      </c>
    </row>
    <row r="290">
      <c r="P290" s="3">
        <f>IFERROR(__xludf.DUMMYFUNCTION("""COMPUTED_VALUE"""),0.4464395146464027)</f>
        <v>0.4464395146</v>
      </c>
    </row>
    <row r="291">
      <c r="P291" s="3">
        <f>IFERROR(__xludf.DUMMYFUNCTION("""COMPUTED_VALUE"""),0.35696776565755606)</f>
        <v>0.3569677657</v>
      </c>
    </row>
    <row r="292">
      <c r="P292" s="3">
        <f>IFERROR(__xludf.DUMMYFUNCTION("""COMPUTED_VALUE"""),0.4354087510724353)</f>
        <v>0.4354087511</v>
      </c>
    </row>
    <row r="293">
      <c r="P293" s="3">
        <f>IFERROR(__xludf.DUMMYFUNCTION("""COMPUTED_VALUE"""),0.19763451403358256)</f>
        <v>0.197634514</v>
      </c>
    </row>
    <row r="294">
      <c r="P294" s="3">
        <f>IFERROR(__xludf.DUMMYFUNCTION("""COMPUTED_VALUE"""),0.1951832332393675)</f>
        <v>0.1951832332</v>
      </c>
    </row>
    <row r="295">
      <c r="P295" s="3">
        <f>IFERROR(__xludf.DUMMYFUNCTION("""COMPUTED_VALUE"""),0.5383625444294644)</f>
        <v>0.5383625444</v>
      </c>
    </row>
    <row r="296">
      <c r="P296" s="3">
        <f>IFERROR(__xludf.DUMMYFUNCTION("""COMPUTED_VALUE"""),0.44521387424929526)</f>
        <v>0.4452138742</v>
      </c>
    </row>
    <row r="297">
      <c r="P297" s="3">
        <f>IFERROR(__xludf.DUMMYFUNCTION("""COMPUTED_VALUE"""),0.5310087020468195)</f>
        <v>0.531008702</v>
      </c>
    </row>
    <row r="298">
      <c r="P298" s="3">
        <f>IFERROR(__xludf.DUMMYFUNCTION("""COMPUTED_VALUE"""),0.5751317563426891)</f>
        <v>0.5751317563</v>
      </c>
    </row>
    <row r="299">
      <c r="P299" s="3">
        <f>IFERROR(__xludf.DUMMYFUNCTION("""COMPUTED_VALUE"""),0.5138497364873147)</f>
        <v>0.5138497365</v>
      </c>
    </row>
    <row r="300">
      <c r="P300" s="3">
        <f>IFERROR(__xludf.DUMMYFUNCTION("""COMPUTED_VALUE"""),0.426829268292683)</f>
        <v>0.4268292683</v>
      </c>
    </row>
    <row r="301">
      <c r="P301" s="3">
        <f>IFERROR(__xludf.DUMMYFUNCTION("""COMPUTED_VALUE"""),0.4476651550435103)</f>
        <v>0.447665155</v>
      </c>
    </row>
    <row r="302">
      <c r="P302" s="3">
        <f>IFERROR(__xludf.DUMMYFUNCTION("""COMPUTED_VALUE"""),0.7822649834538546)</f>
        <v>0.7822649835</v>
      </c>
    </row>
    <row r="303">
      <c r="P303" s="3">
        <f>IFERROR(__xludf.DUMMYFUNCTION("""COMPUTED_VALUE"""),0.8129059933815419)</f>
        <v>0.8129059934</v>
      </c>
    </row>
    <row r="304">
      <c r="P304" s="3">
        <f>IFERROR(__xludf.DUMMYFUNCTION("""COMPUTED_VALUE"""),0.8496752052947665)</f>
        <v>0.8496752053</v>
      </c>
    </row>
    <row r="305">
      <c r="P305" s="3">
        <f>IFERROR(__xludf.DUMMYFUNCTION("""COMPUTED_VALUE"""),0.7111778404216204)</f>
        <v>0.7111778404</v>
      </c>
    </row>
    <row r="306">
      <c r="P306" s="3">
        <f>IFERROR(__xludf.DUMMYFUNCTION("""COMPUTED_VALUE"""),0.7920701066307146)</f>
        <v>0.7920701066</v>
      </c>
    </row>
    <row r="307">
      <c r="P307" s="3">
        <f>IFERROR(__xludf.DUMMYFUNCTION("""COMPUTED_VALUE"""),0.908505944355926)</f>
        <v>0.9085059444</v>
      </c>
    </row>
    <row r="308">
      <c r="P308" s="3">
        <f>IFERROR(__xludf.DUMMYFUNCTION("""COMPUTED_VALUE"""),0.8300649589410467)</f>
        <v>0.8300649589</v>
      </c>
    </row>
    <row r="309">
      <c r="P309" s="3">
        <f>IFERROR(__xludf.DUMMYFUNCTION("""COMPUTED_VALUE"""),0.8484495648976591)</f>
        <v>0.8484495649</v>
      </c>
    </row>
    <row r="310">
      <c r="P310" s="3">
        <f>IFERROR(__xludf.DUMMYFUNCTION("""COMPUTED_VALUE"""),0.9036033827674961)</f>
        <v>0.9036033828</v>
      </c>
    </row>
    <row r="311">
      <c r="P311" s="3">
        <f>IFERROR(__xludf.DUMMYFUNCTION("""COMPUTED_VALUE"""),0.8815418556195612)</f>
        <v>0.8815418556</v>
      </c>
    </row>
    <row r="312">
      <c r="P312" s="3">
        <f>IFERROR(__xludf.DUMMYFUNCTION("""COMPUTED_VALUE"""),0.7454957715406301)</f>
        <v>0.7454957715</v>
      </c>
    </row>
    <row r="313">
      <c r="P313" s="3">
        <f>IFERROR(__xludf.DUMMYFUNCTION("""COMPUTED_VALUE"""),0.7994239490133594)</f>
        <v>0.799423949</v>
      </c>
    </row>
    <row r="314">
      <c r="P314" s="3">
        <f>IFERROR(__xludf.DUMMYFUNCTION("""COMPUTED_VALUE"""),0.5199779384728521)</f>
        <v>0.5199779385</v>
      </c>
    </row>
    <row r="315">
      <c r="P315" s="3">
        <f>IFERROR(__xludf.DUMMYFUNCTION("""COMPUTED_VALUE"""),0.26014217428606445)</f>
        <v>0.2601421743</v>
      </c>
    </row>
    <row r="316">
      <c r="P316" s="3">
        <f>IFERROR(__xludf.DUMMYFUNCTION("""COMPUTED_VALUE"""),0.39618825836499577)</f>
        <v>0.3961882584</v>
      </c>
    </row>
    <row r="317">
      <c r="P317" s="3">
        <f>IFERROR(__xludf.DUMMYFUNCTION("""COMPUTED_VALUE"""),0.1118396862360583)</f>
        <v>0.1118396862</v>
      </c>
    </row>
    <row r="318">
      <c r="P318" s="3">
        <f>IFERROR(__xludf.DUMMYFUNCTION("""COMPUTED_VALUE"""),0.28833190341953663)</f>
        <v>0.2883319034</v>
      </c>
    </row>
    <row r="319">
      <c r="P319" s="3">
        <f>IFERROR(__xludf.DUMMYFUNCTION("""COMPUTED_VALUE"""),0.589839441107979)</f>
        <v>0.5898394411</v>
      </c>
    </row>
    <row r="320">
      <c r="P320" s="3">
        <f>IFERROR(__xludf.DUMMYFUNCTION("""COMPUTED_VALUE"""),0.4464395146464027)</f>
        <v>0.4464395146</v>
      </c>
    </row>
    <row r="321">
      <c r="P321" s="3">
        <f>IFERROR(__xludf.DUMMYFUNCTION("""COMPUTED_VALUE"""),0.43786003186665035)</f>
        <v>0.4378600319</v>
      </c>
    </row>
    <row r="322">
      <c r="P322" s="3">
        <f>IFERROR(__xludf.DUMMYFUNCTION("""COMPUTED_VALUE"""),0.6940188748621156)</f>
        <v>0.6940188749</v>
      </c>
    </row>
    <row r="323">
      <c r="P323" s="3">
        <f>IFERROR(__xludf.DUMMYFUNCTION("""COMPUTED_VALUE"""),0.7454957715406301)</f>
        <v>0.7454957715</v>
      </c>
    </row>
    <row r="324">
      <c r="P324" s="3">
        <f>IFERROR(__xludf.DUMMYFUNCTION("""COMPUTED_VALUE"""),0.7148547616129428)</f>
        <v>0.7148547616</v>
      </c>
    </row>
    <row r="325">
      <c r="P325" s="3">
        <f>IFERROR(__xludf.DUMMYFUNCTION("""COMPUTED_VALUE"""),0.8116803529844344)</f>
        <v>0.811680353</v>
      </c>
    </row>
    <row r="326">
      <c r="P326" s="3">
        <f>IFERROR(__xludf.DUMMYFUNCTION("""COMPUTED_VALUE"""),0.0)</f>
        <v>0</v>
      </c>
    </row>
    <row r="327">
      <c r="P327" s="3">
        <f>IFERROR(__xludf.DUMMYFUNCTION("""COMPUTED_VALUE"""),0.0)</f>
        <v>0</v>
      </c>
    </row>
    <row r="328">
      <c r="P328" s="3">
        <f>IFERROR(__xludf.DUMMYFUNCTION("""COMPUTED_VALUE"""),0.3459370020835887)</f>
        <v>0.3459370021</v>
      </c>
    </row>
    <row r="329">
      <c r="P329" s="3">
        <f>IFERROR(__xludf.DUMMYFUNCTION("""COMPUTED_VALUE"""),0.0)</f>
        <v>0</v>
      </c>
    </row>
    <row r="330">
      <c r="P330" s="3">
        <f>IFERROR(__xludf.DUMMYFUNCTION("""COMPUTED_VALUE"""),0.0)</f>
        <v>0</v>
      </c>
    </row>
    <row r="331">
      <c r="P331" s="3">
        <f>IFERROR(__xludf.DUMMYFUNCTION("""COMPUTED_VALUE"""),0.47340360338276755)</f>
        <v>0.4734036034</v>
      </c>
    </row>
    <row r="332">
      <c r="P332" s="3">
        <f>IFERROR(__xludf.DUMMYFUNCTION("""COMPUTED_VALUE"""),0.5150753768844222)</f>
        <v>0.5150753769</v>
      </c>
    </row>
    <row r="333">
      <c r="P333" s="3">
        <f>IFERROR(__xludf.DUMMYFUNCTION("""COMPUTED_VALUE"""),0.419475425910038)</f>
        <v>0.4194754259</v>
      </c>
    </row>
    <row r="334">
      <c r="P334" s="3">
        <f>IFERROR(__xludf.DUMMYFUNCTION("""COMPUTED_VALUE"""),0.47585488417698246)</f>
        <v>0.4758548842</v>
      </c>
    </row>
    <row r="335">
      <c r="P335" s="3">
        <f>IFERROR(__xludf.DUMMYFUNCTION("""COMPUTED_VALUE"""),0.6658291457286432)</f>
        <v>0.6658291457</v>
      </c>
    </row>
    <row r="336">
      <c r="P336" s="3">
        <f>IFERROR(__xludf.DUMMYFUNCTION("""COMPUTED_VALUE"""),0.8104547125873268)</f>
        <v>0.8104547126</v>
      </c>
    </row>
    <row r="337">
      <c r="P337" s="3">
        <f>IFERROR(__xludf.DUMMYFUNCTION("""COMPUTED_VALUE"""),0.8962495403848512)</f>
        <v>0.8962495404</v>
      </c>
    </row>
    <row r="338">
      <c r="P338" s="3">
        <f>IFERROR(__xludf.DUMMYFUNCTION("""COMPUTED_VALUE"""),0.5261061404583895)</f>
        <v>0.5261061405</v>
      </c>
    </row>
    <row r="339">
      <c r="P339" s="3">
        <f>IFERROR(__xludf.DUMMYFUNCTION("""COMPUTED_VALUE"""),0.5861625199166564)</f>
        <v>0.5861625199</v>
      </c>
    </row>
    <row r="340">
      <c r="P340" s="3">
        <f>IFERROR(__xludf.DUMMYFUNCTION("""COMPUTED_VALUE"""),0.6462188993749234)</f>
        <v>0.6462188994</v>
      </c>
    </row>
    <row r="341">
      <c r="P341" s="3">
        <f>IFERROR(__xludf.DUMMYFUNCTION("""COMPUTED_VALUE"""),0.6290599338154186)</f>
        <v>0.6290599338</v>
      </c>
    </row>
    <row r="342">
      <c r="P342" s="3">
        <f>IFERROR(__xludf.DUMMYFUNCTION("""COMPUTED_VALUE"""),0.5395881848265719)</f>
        <v>0.5395881848</v>
      </c>
    </row>
    <row r="343">
      <c r="P343" s="3">
        <f>IFERROR(__xludf.DUMMYFUNCTION("""COMPUTED_VALUE"""),0.8018752298075745)</f>
        <v>0.8018752298</v>
      </c>
    </row>
    <row r="344">
      <c r="P344" s="3">
        <f>IFERROR(__xludf.DUMMYFUNCTION("""COMPUTED_VALUE"""),0.7491726927319524)</f>
        <v>0.7491726927</v>
      </c>
    </row>
    <row r="345">
      <c r="P345" s="3">
        <f>IFERROR(__xludf.DUMMYFUNCTION("""COMPUTED_VALUE"""),0.6437676185807084)</f>
        <v>0.6437676186</v>
      </c>
    </row>
    <row r="346">
      <c r="P346" s="3">
        <f>IFERROR(__xludf.DUMMYFUNCTION("""COMPUTED_VALUE"""),0.5432651060178944)</f>
        <v>0.543265106</v>
      </c>
    </row>
    <row r="347">
      <c r="P347" s="3">
        <f>IFERROR(__xludf.DUMMYFUNCTION("""COMPUTED_VALUE"""),0.6413163377864936)</f>
        <v>0.6413163378</v>
      </c>
    </row>
    <row r="348">
      <c r="P348" s="3">
        <f>IFERROR(__xludf.DUMMYFUNCTION("""COMPUTED_VALUE"""),0.6756342689055032)</f>
        <v>0.6756342689</v>
      </c>
    </row>
    <row r="349">
      <c r="P349" s="3">
        <f>IFERROR(__xludf.DUMMYFUNCTION("""COMPUTED_VALUE"""),0.7332393675695552)</f>
        <v>0.7332393676</v>
      </c>
    </row>
  </sheetData>
  <drawing r:id="rId1"/>
</worksheet>
</file>