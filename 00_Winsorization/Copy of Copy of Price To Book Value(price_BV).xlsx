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sed" sheetId="2" r:id="rId6"/>
  </sheets>
  <definedNames/>
  <calcPr/>
</workbook>
</file>

<file path=xl/sharedStrings.xml><?xml version="1.0" encoding="utf-8"?>
<sst xmlns="http://schemas.openxmlformats.org/spreadsheetml/2006/main" count="89" uniqueCount="46">
  <si>
    <t>(P/B)2025</t>
  </si>
  <si>
    <t>(P/B)2024</t>
  </si>
  <si>
    <t>(P/B)2023</t>
  </si>
  <si>
    <t>(P/B)2022</t>
  </si>
  <si>
    <t>(P/B)2021</t>
  </si>
  <si>
    <t>(P/B)2020</t>
  </si>
  <si>
    <t>(P/B)2019</t>
  </si>
  <si>
    <t>(P/B)2018</t>
  </si>
  <si>
    <t>(P/B)2017</t>
  </si>
  <si>
    <t>(P/B)2016</t>
  </si>
  <si>
    <t>(P/B)2015</t>
  </si>
  <si>
    <t>(P/B)2014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</si>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</sst>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Font="1"/>
    <xf borderId="0" fillId="0" fontId="1" numFmtId="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37</xdr:row>
      <xdr:rowOff>171450</xdr:rowOff>
    </xdr:from>
    <xdr:ext cx="9620250" cy="5943600"/>
    <xdr:pic>
      <xdr:nvPicPr>
        <xdr:cNvPr id="8802786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</row>
    <row r="2">
      <c r="A2" s="1" t="s">
        <v>12</v>
      </c>
      <c r="B2" s="3">
        <v>4.1</v>
      </c>
      <c r="C2" s="3">
        <v>5.49</v>
      </c>
      <c r="D2" s="3">
        <v>3.01</v>
      </c>
      <c r="E2" s="3">
        <v>4.29</v>
      </c>
      <c r="F2" s="3">
        <v>4.69</v>
      </c>
      <c r="G2" s="3">
        <v>2.01</v>
      </c>
      <c r="H2" s="3">
        <v>3.19</v>
      </c>
      <c r="I2" s="3">
        <v>3.49</v>
      </c>
      <c r="J2" s="3">
        <v>4.02</v>
      </c>
      <c r="K2" s="3">
        <v>3.8</v>
      </c>
      <c r="L2" s="3">
        <v>5.92</v>
      </c>
      <c r="M2" s="3">
        <v>4.43</v>
      </c>
    </row>
    <row r="3">
      <c r="A3" s="1" t="s">
        <v>13</v>
      </c>
      <c r="B3" s="3">
        <v>11.56</v>
      </c>
      <c r="C3" s="3">
        <v>14.58</v>
      </c>
      <c r="D3" s="3">
        <v>16.56</v>
      </c>
      <c r="E3" s="3">
        <v>17.84249999999996</v>
      </c>
      <c r="F3" s="3">
        <v>17.84249999999996</v>
      </c>
      <c r="G3" s="3">
        <v>15.78</v>
      </c>
      <c r="H3" s="3">
        <v>15.11</v>
      </c>
      <c r="I3" s="3">
        <v>12.78</v>
      </c>
      <c r="J3" s="3">
        <v>13.51</v>
      </c>
      <c r="K3" s="3">
        <v>12.77</v>
      </c>
      <c r="L3" s="3">
        <v>16.36</v>
      </c>
      <c r="M3" s="3">
        <v>12.98</v>
      </c>
    </row>
    <row r="4">
      <c r="A4" s="1" t="s">
        <v>14</v>
      </c>
      <c r="B4" s="3">
        <v>1.82</v>
      </c>
      <c r="C4" s="3">
        <v>2.06</v>
      </c>
      <c r="D4" s="3">
        <v>2.04</v>
      </c>
      <c r="E4" s="3">
        <v>1.97</v>
      </c>
      <c r="F4" s="3">
        <v>2.06</v>
      </c>
      <c r="G4" s="3">
        <v>1.24</v>
      </c>
      <c r="H4" s="3">
        <v>2.94</v>
      </c>
      <c r="I4" s="3">
        <v>2.04</v>
      </c>
      <c r="J4" s="3">
        <v>2.08</v>
      </c>
      <c r="K4" s="3">
        <v>1.98</v>
      </c>
      <c r="L4" s="3">
        <v>2.96</v>
      </c>
      <c r="M4" s="3">
        <v>1.79</v>
      </c>
    </row>
    <row r="5">
      <c r="A5" s="1" t="s">
        <v>15</v>
      </c>
      <c r="B5" s="3">
        <v>4.42</v>
      </c>
      <c r="C5" s="3">
        <v>4.34</v>
      </c>
      <c r="D5" s="3">
        <v>4.35</v>
      </c>
      <c r="E5" s="3">
        <v>6.74</v>
      </c>
      <c r="F5" s="3">
        <v>4.29</v>
      </c>
      <c r="G5" s="3">
        <v>2.33</v>
      </c>
      <c r="H5" s="3">
        <v>4.72</v>
      </c>
      <c r="I5" s="3">
        <v>4.02</v>
      </c>
      <c r="J5" s="3">
        <v>4.03</v>
      </c>
      <c r="K5" s="3">
        <v>1.99</v>
      </c>
      <c r="L5" s="3">
        <v>1.99</v>
      </c>
      <c r="M5" s="3">
        <v>1.32</v>
      </c>
    </row>
    <row r="6">
      <c r="A6" s="1" t="s">
        <v>16</v>
      </c>
      <c r="B6" s="3">
        <v>5.75</v>
      </c>
      <c r="C6" s="3">
        <v>5.83</v>
      </c>
      <c r="D6" s="3">
        <v>6.24</v>
      </c>
      <c r="E6" s="3">
        <v>10.02</v>
      </c>
      <c r="F6" s="3">
        <v>8.39</v>
      </c>
      <c r="G6" s="3">
        <v>4.11</v>
      </c>
      <c r="H6" s="3">
        <v>8.86</v>
      </c>
      <c r="I6" s="3">
        <v>6.15</v>
      </c>
      <c r="J6" s="3">
        <v>6.69</v>
      </c>
      <c r="K6" s="3">
        <v>5.0</v>
      </c>
      <c r="L6" s="3">
        <v>4.27</v>
      </c>
      <c r="M6" s="3">
        <v>2.08</v>
      </c>
    </row>
    <row r="7">
      <c r="A7" s="1" t="s">
        <v>17</v>
      </c>
      <c r="B7" s="3">
        <v>11.02</v>
      </c>
      <c r="C7" s="3">
        <v>9.02</v>
      </c>
      <c r="D7" s="3">
        <v>5.14</v>
      </c>
      <c r="E7" s="3">
        <v>4.18</v>
      </c>
      <c r="F7" s="3">
        <v>2.76</v>
      </c>
      <c r="G7" s="3">
        <v>1.8</v>
      </c>
      <c r="H7" s="3">
        <v>2.47</v>
      </c>
      <c r="I7" s="3">
        <v>4.32</v>
      </c>
      <c r="J7" s="3">
        <v>4.51</v>
      </c>
      <c r="K7" s="3">
        <v>3.17</v>
      </c>
      <c r="L7" s="3">
        <v>3.3</v>
      </c>
      <c r="M7" s="3">
        <v>1.27</v>
      </c>
    </row>
    <row r="8">
      <c r="A8" s="1" t="s">
        <v>18</v>
      </c>
      <c r="B8" s="3">
        <v>7.65</v>
      </c>
      <c r="C8" s="3">
        <v>7.0</v>
      </c>
      <c r="D8" s="4">
        <v>4.68</v>
      </c>
      <c r="E8" s="3">
        <v>6.34</v>
      </c>
      <c r="F8" s="3">
        <v>4.82</v>
      </c>
      <c r="G8" s="3">
        <v>3.12</v>
      </c>
      <c r="H8" s="3">
        <v>1.86</v>
      </c>
      <c r="I8" s="4">
        <v>2.29</v>
      </c>
      <c r="J8" s="3">
        <v>2.07</v>
      </c>
      <c r="K8" s="3">
        <v>2.1</v>
      </c>
      <c r="L8" s="3">
        <v>3.96</v>
      </c>
      <c r="M8" s="3">
        <v>2.1</v>
      </c>
    </row>
    <row r="9">
      <c r="A9" s="1" t="s">
        <v>19</v>
      </c>
      <c r="B9" s="3">
        <v>6.2</v>
      </c>
      <c r="C9" s="3">
        <v>6.14</v>
      </c>
      <c r="D9" s="3">
        <v>4.51</v>
      </c>
      <c r="E9" s="3">
        <v>5.1</v>
      </c>
      <c r="F9" s="3">
        <v>4.46</v>
      </c>
      <c r="G9" s="3">
        <v>2.31</v>
      </c>
      <c r="H9" s="3">
        <v>3.56</v>
      </c>
      <c r="I9" s="3">
        <v>3.7</v>
      </c>
      <c r="J9" s="3">
        <v>3.78</v>
      </c>
      <c r="K9" s="3">
        <v>4.19</v>
      </c>
      <c r="L9" s="3">
        <v>5.35</v>
      </c>
      <c r="M9" s="3">
        <v>5.36</v>
      </c>
    </row>
    <row r="10">
      <c r="A10" s="1" t="s">
        <v>20</v>
      </c>
      <c r="B10" s="3">
        <v>2.79</v>
      </c>
      <c r="C10" s="3">
        <v>2.5</v>
      </c>
      <c r="D10" s="3">
        <v>3.21</v>
      </c>
      <c r="E10" s="3">
        <v>3.4</v>
      </c>
      <c r="F10" s="3">
        <v>4.04</v>
      </c>
      <c r="G10" s="3">
        <v>2.76</v>
      </c>
      <c r="H10" s="3">
        <v>4.23</v>
      </c>
      <c r="I10" s="3">
        <v>4.62</v>
      </c>
      <c r="J10" s="3">
        <v>4.13</v>
      </c>
      <c r="K10" s="3">
        <v>3.73</v>
      </c>
      <c r="L10" s="3">
        <v>4.13</v>
      </c>
      <c r="M10" s="3">
        <v>4.13</v>
      </c>
    </row>
    <row r="11">
      <c r="A11" s="1" t="s">
        <v>21</v>
      </c>
      <c r="B11" s="3">
        <v>10.75</v>
      </c>
      <c r="C11" s="3">
        <v>10.41</v>
      </c>
      <c r="D11" s="3">
        <v>11.95</v>
      </c>
      <c r="E11" s="3">
        <v>9.81</v>
      </c>
      <c r="F11" s="3">
        <v>11.98</v>
      </c>
      <c r="G11" s="3">
        <v>17.84249999999996</v>
      </c>
      <c r="H11" s="3">
        <v>17.84249999999996</v>
      </c>
      <c r="I11" s="3">
        <v>17.84249999999996</v>
      </c>
      <c r="J11" s="3">
        <v>17.84249999999996</v>
      </c>
      <c r="K11" s="3">
        <v>17.84249999999996</v>
      </c>
      <c r="L11" s="3">
        <v>17.84249999999996</v>
      </c>
      <c r="M11" s="3">
        <v>17.84249999999996</v>
      </c>
    </row>
    <row r="12">
      <c r="A12" s="1" t="s">
        <v>22</v>
      </c>
      <c r="B12" s="3">
        <v>3.1</v>
      </c>
      <c r="C12" s="3">
        <v>3.04</v>
      </c>
      <c r="D12" s="3">
        <v>2.9</v>
      </c>
      <c r="E12" s="3">
        <v>2.84</v>
      </c>
      <c r="F12" s="3">
        <v>2.6</v>
      </c>
      <c r="G12" s="3">
        <v>1.75</v>
      </c>
      <c r="H12" s="3">
        <v>2.31</v>
      </c>
      <c r="I12" s="3">
        <v>1.66</v>
      </c>
      <c r="J12" s="3">
        <v>1.59</v>
      </c>
      <c r="K12" s="3">
        <v>1.51</v>
      </c>
      <c r="L12" s="3">
        <v>2.16</v>
      </c>
      <c r="M12" s="3">
        <v>1.88</v>
      </c>
    </row>
    <row r="13">
      <c r="A13" s="1" t="s">
        <v>23</v>
      </c>
      <c r="B13" s="3">
        <v>6.8</v>
      </c>
      <c r="C13" s="3">
        <v>7.05</v>
      </c>
      <c r="D13" s="3">
        <v>7.83</v>
      </c>
      <c r="E13" s="3">
        <v>10.62</v>
      </c>
      <c r="F13" s="3">
        <v>7.61</v>
      </c>
      <c r="G13" s="3">
        <v>4.15</v>
      </c>
      <c r="H13" s="3">
        <v>4.96</v>
      </c>
      <c r="I13" s="3">
        <v>3.8</v>
      </c>
      <c r="J13" s="3">
        <v>3.39</v>
      </c>
      <c r="K13" s="3">
        <v>4.51</v>
      </c>
      <c r="L13" s="3">
        <v>5.0</v>
      </c>
      <c r="M13" s="3">
        <v>4.21</v>
      </c>
    </row>
    <row r="14">
      <c r="A14" s="1" t="s">
        <v>24</v>
      </c>
      <c r="B14" s="3">
        <v>7.32</v>
      </c>
      <c r="C14" s="3">
        <v>7.18</v>
      </c>
      <c r="D14" s="3">
        <v>6.89</v>
      </c>
      <c r="E14" s="3">
        <v>4.95</v>
      </c>
      <c r="F14" s="3">
        <v>4.46</v>
      </c>
      <c r="G14" s="3">
        <v>3.24</v>
      </c>
      <c r="H14" s="3">
        <v>6.15</v>
      </c>
      <c r="I14" s="3">
        <v>5.95</v>
      </c>
      <c r="J14" s="3">
        <v>7.34</v>
      </c>
      <c r="K14" s="3">
        <v>6.19</v>
      </c>
      <c r="L14" s="3">
        <v>8.24</v>
      </c>
      <c r="M14" s="3">
        <v>10.36</v>
      </c>
    </row>
    <row r="15">
      <c r="A15" s="1" t="s">
        <v>25</v>
      </c>
      <c r="B15" s="3">
        <v>2.74</v>
      </c>
      <c r="C15" s="3">
        <v>2.73</v>
      </c>
      <c r="D15" s="3">
        <v>3.08</v>
      </c>
      <c r="E15" s="3">
        <v>3.6</v>
      </c>
      <c r="F15" s="3">
        <v>4.12</v>
      </c>
      <c r="G15" s="3">
        <v>3.72</v>
      </c>
      <c r="H15" s="3">
        <v>4.41</v>
      </c>
      <c r="I15" s="3">
        <v>3.96</v>
      </c>
      <c r="J15" s="3">
        <v>4.17</v>
      </c>
      <c r="K15" s="3">
        <v>3.74</v>
      </c>
      <c r="L15" s="3">
        <v>4.58</v>
      </c>
      <c r="M15" s="3">
        <v>3.14</v>
      </c>
    </row>
    <row r="16">
      <c r="A16" s="1" t="s">
        <v>26</v>
      </c>
      <c r="B16" s="3">
        <v>4.92</v>
      </c>
      <c r="C16" s="3">
        <v>6.01</v>
      </c>
      <c r="D16" s="3">
        <v>3.41</v>
      </c>
      <c r="E16" s="3">
        <v>3.01</v>
      </c>
      <c r="F16" s="3">
        <v>2.63</v>
      </c>
      <c r="G16" s="3">
        <v>1.7</v>
      </c>
      <c r="H16" s="3">
        <v>3.12</v>
      </c>
      <c r="I16" s="3">
        <v>3.31</v>
      </c>
      <c r="J16" s="3">
        <v>2.94</v>
      </c>
      <c r="K16" s="3">
        <v>2.56</v>
      </c>
      <c r="L16" s="3">
        <v>3.91</v>
      </c>
      <c r="M16" s="3">
        <v>3.13</v>
      </c>
    </row>
    <row r="17">
      <c r="A17" s="1" t="s">
        <v>27</v>
      </c>
      <c r="B17" s="3">
        <v>3.86</v>
      </c>
      <c r="C17" s="3">
        <v>3.24</v>
      </c>
      <c r="D17" s="3">
        <v>2.29</v>
      </c>
      <c r="E17" s="3">
        <v>1.9</v>
      </c>
      <c r="F17" s="3">
        <v>2.12</v>
      </c>
      <c r="G17" s="3">
        <v>1.1404999999999998</v>
      </c>
      <c r="H17" s="3">
        <v>1.83</v>
      </c>
      <c r="I17" s="3">
        <v>2.19</v>
      </c>
      <c r="J17" s="3">
        <v>2.34</v>
      </c>
      <c r="K17" s="3">
        <v>2.47</v>
      </c>
      <c r="L17" s="3">
        <v>2.72</v>
      </c>
      <c r="M17" s="3">
        <v>2.49</v>
      </c>
    </row>
    <row r="18">
      <c r="A18" s="1" t="s">
        <v>28</v>
      </c>
      <c r="B18" s="3">
        <v>3.76</v>
      </c>
      <c r="C18" s="3">
        <v>4.63</v>
      </c>
      <c r="D18" s="3">
        <v>4.05</v>
      </c>
      <c r="E18" s="3">
        <v>4.13</v>
      </c>
      <c r="F18" s="3">
        <v>3.95</v>
      </c>
      <c r="G18" s="3">
        <v>2.62</v>
      </c>
      <c r="H18" s="3">
        <v>4.28</v>
      </c>
      <c r="I18" s="3">
        <v>6.29</v>
      </c>
      <c r="J18" s="3">
        <v>4.91</v>
      </c>
      <c r="K18" s="3">
        <v>3.67</v>
      </c>
      <c r="L18" s="3">
        <v>4.59</v>
      </c>
      <c r="M18" s="3">
        <v>2.77</v>
      </c>
    </row>
    <row r="19">
      <c r="A19" s="1" t="s">
        <v>29</v>
      </c>
      <c r="B19" s="3">
        <v>1.88</v>
      </c>
      <c r="C19" s="3">
        <v>2.03</v>
      </c>
      <c r="D19" s="3">
        <v>1.16</v>
      </c>
      <c r="E19" s="3">
        <v>1.1404999999999998</v>
      </c>
      <c r="F19" s="3">
        <v>1.1404999999999998</v>
      </c>
      <c r="G19" s="3">
        <v>1.1404999999999998</v>
      </c>
      <c r="H19" s="3">
        <v>1.2</v>
      </c>
      <c r="I19" s="3">
        <v>1.35</v>
      </c>
      <c r="J19" s="3">
        <v>1.4</v>
      </c>
      <c r="K19" s="3">
        <v>1.16</v>
      </c>
      <c r="L19" s="3">
        <v>1.48</v>
      </c>
      <c r="M19" s="3">
        <v>1.1404999999999998</v>
      </c>
    </row>
    <row r="20">
      <c r="A20" s="1" t="s">
        <v>30</v>
      </c>
      <c r="B20" s="3">
        <v>2.92</v>
      </c>
      <c r="C20" s="3">
        <v>2.96</v>
      </c>
      <c r="D20" s="3">
        <v>1.9</v>
      </c>
      <c r="E20" s="3">
        <v>1.98</v>
      </c>
      <c r="F20" s="3">
        <v>1.61</v>
      </c>
      <c r="G20" s="3">
        <v>1.29</v>
      </c>
      <c r="H20" s="3">
        <v>1.75</v>
      </c>
      <c r="I20" s="3">
        <v>1.86</v>
      </c>
      <c r="J20" s="3">
        <v>2.07</v>
      </c>
      <c r="K20" s="3">
        <v>1.66</v>
      </c>
      <c r="L20" s="3">
        <v>1.98</v>
      </c>
      <c r="M20" s="3">
        <v>1.58</v>
      </c>
    </row>
    <row r="21">
      <c r="A21" s="1" t="s">
        <v>31</v>
      </c>
      <c r="B21" s="3">
        <v>2.05</v>
      </c>
      <c r="C21" s="3">
        <v>2.54</v>
      </c>
      <c r="D21" s="3">
        <v>2.2</v>
      </c>
      <c r="E21" s="3">
        <v>2.29</v>
      </c>
      <c r="F21" s="3">
        <v>1.84</v>
      </c>
      <c r="G21" s="3">
        <v>1.57</v>
      </c>
      <c r="H21" s="3">
        <v>2.09</v>
      </c>
      <c r="I21" s="3">
        <v>1.78</v>
      </c>
      <c r="J21" s="3">
        <v>1.49</v>
      </c>
      <c r="K21" s="3">
        <v>1.34</v>
      </c>
      <c r="L21" s="3">
        <v>1.1404999999999998</v>
      </c>
      <c r="M21" s="3">
        <v>1.38</v>
      </c>
    </row>
    <row r="22">
      <c r="A22" s="1" t="s">
        <v>32</v>
      </c>
      <c r="B22" s="3">
        <v>1.5</v>
      </c>
      <c r="C22" s="3">
        <v>1.73</v>
      </c>
      <c r="D22" s="3">
        <v>1.41</v>
      </c>
      <c r="E22" s="3">
        <v>1.56</v>
      </c>
      <c r="F22" s="3">
        <v>1.29</v>
      </c>
      <c r="G22" s="3">
        <v>1.1404999999999998</v>
      </c>
      <c r="H22" s="3">
        <v>1.22</v>
      </c>
      <c r="I22" s="3">
        <v>1.1404999999999998</v>
      </c>
      <c r="J22" s="3">
        <v>1.28</v>
      </c>
      <c r="K22" s="3">
        <v>1.1404999999999998</v>
      </c>
      <c r="L22" s="3">
        <v>1.24</v>
      </c>
      <c r="M22" s="3">
        <v>1.1404999999999998</v>
      </c>
    </row>
    <row r="23">
      <c r="A23" s="1" t="s">
        <v>33</v>
      </c>
      <c r="B23" s="3">
        <v>5.77</v>
      </c>
      <c r="C23" s="3">
        <v>6.11</v>
      </c>
      <c r="D23" s="3">
        <v>4.21</v>
      </c>
      <c r="E23" s="3">
        <v>4.57</v>
      </c>
      <c r="F23" s="3">
        <v>3.09</v>
      </c>
      <c r="G23" s="3">
        <v>1.87</v>
      </c>
      <c r="H23" s="3">
        <v>2.78</v>
      </c>
      <c r="I23" s="3">
        <v>3.12</v>
      </c>
      <c r="J23" s="3">
        <v>4.5</v>
      </c>
      <c r="K23" s="3">
        <v>5.98</v>
      </c>
      <c r="L23" s="3">
        <v>8.28</v>
      </c>
      <c r="M23" s="3">
        <v>6.41</v>
      </c>
    </row>
    <row r="24">
      <c r="A24" s="1" t="s">
        <v>34</v>
      </c>
      <c r="B24" s="3">
        <v>2.14</v>
      </c>
      <c r="C24" s="3">
        <v>4.48</v>
      </c>
      <c r="D24" s="3">
        <v>3.55</v>
      </c>
      <c r="E24" s="3">
        <v>3.73</v>
      </c>
      <c r="F24" s="3">
        <v>2.09</v>
      </c>
      <c r="G24" s="3">
        <v>1.1404999999999998</v>
      </c>
      <c r="H24" s="3">
        <v>1.1404999999999998</v>
      </c>
      <c r="I24" s="3">
        <v>1.17</v>
      </c>
      <c r="J24" s="3">
        <v>2.73</v>
      </c>
      <c r="K24" s="3">
        <v>1.66</v>
      </c>
      <c r="L24" s="3">
        <v>3.15</v>
      </c>
      <c r="M24" s="3">
        <v>1.96</v>
      </c>
    </row>
    <row r="25">
      <c r="A25" s="1" t="s">
        <v>35</v>
      </c>
      <c r="B25" s="3">
        <v>2.11</v>
      </c>
      <c r="C25" s="3">
        <v>2.11</v>
      </c>
      <c r="D25" s="3">
        <v>1.24</v>
      </c>
      <c r="E25" s="3">
        <v>1.39</v>
      </c>
      <c r="F25" s="3">
        <v>1.32</v>
      </c>
      <c r="G25" s="3">
        <v>1.1404999999999998</v>
      </c>
      <c r="H25" s="3">
        <v>1.1404999999999998</v>
      </c>
      <c r="I25" s="3">
        <v>1.1404999999999998</v>
      </c>
      <c r="J25" s="3">
        <v>1.32</v>
      </c>
      <c r="K25" s="3">
        <v>1.1404999999999998</v>
      </c>
      <c r="L25" s="3">
        <v>1.1404999999999998</v>
      </c>
      <c r="M25" s="3">
        <v>1.1404999999999998</v>
      </c>
    </row>
    <row r="26">
      <c r="A26" s="1" t="s">
        <v>36</v>
      </c>
      <c r="B26" s="3">
        <v>13.77</v>
      </c>
      <c r="C26" s="3">
        <v>15.54</v>
      </c>
      <c r="D26" s="3">
        <v>12.98</v>
      </c>
      <c r="E26" s="3">
        <v>15.35</v>
      </c>
      <c r="F26" s="3">
        <v>13.6</v>
      </c>
      <c r="G26" s="3">
        <v>8.13</v>
      </c>
      <c r="H26" s="3">
        <v>8.39</v>
      </c>
      <c r="I26" s="3">
        <v>6.39</v>
      </c>
      <c r="J26" s="3">
        <v>5.56</v>
      </c>
      <c r="K26" s="3">
        <v>6.97</v>
      </c>
      <c r="L26" s="3">
        <v>9.85</v>
      </c>
      <c r="M26" s="3">
        <v>8.47</v>
      </c>
    </row>
    <row r="27">
      <c r="A27" s="1" t="s">
        <v>37</v>
      </c>
      <c r="B27" s="3">
        <v>4.59</v>
      </c>
      <c r="C27" s="3">
        <v>4.14</v>
      </c>
      <c r="D27" s="3">
        <v>3.47</v>
      </c>
      <c r="E27" s="3">
        <v>4.89</v>
      </c>
      <c r="F27" s="3">
        <v>3.48</v>
      </c>
      <c r="G27" s="3">
        <v>2.26</v>
      </c>
      <c r="H27" s="3">
        <v>3.4</v>
      </c>
      <c r="I27" s="3">
        <v>2.99</v>
      </c>
      <c r="J27" s="3">
        <v>2.45</v>
      </c>
      <c r="K27" s="3">
        <v>2.84</v>
      </c>
      <c r="L27" s="3">
        <v>4.94</v>
      </c>
      <c r="M27" s="3">
        <v>4.56</v>
      </c>
    </row>
    <row r="28">
      <c r="A28" s="1" t="s">
        <v>38</v>
      </c>
      <c r="B28" s="3">
        <v>17.84249999999996</v>
      </c>
      <c r="C28" s="3">
        <v>17.84249999999996</v>
      </c>
      <c r="D28" s="3">
        <v>17.84249999999996</v>
      </c>
      <c r="E28" s="3">
        <v>17.84249999999996</v>
      </c>
      <c r="F28" s="3">
        <v>17.84249999999996</v>
      </c>
      <c r="G28" s="3">
        <v>12.43</v>
      </c>
      <c r="H28" s="3">
        <v>16.64</v>
      </c>
      <c r="I28" s="3">
        <v>16.42</v>
      </c>
      <c r="J28" s="3">
        <v>9.68</v>
      </c>
      <c r="K28" s="3">
        <v>8.58</v>
      </c>
      <c r="L28" s="3">
        <v>11.29</v>
      </c>
      <c r="M28" s="3">
        <v>9.24</v>
      </c>
    </row>
    <row r="29">
      <c r="A29" s="1" t="s">
        <v>39</v>
      </c>
      <c r="B29" s="3">
        <v>17.84249999999996</v>
      </c>
      <c r="C29" s="3">
        <v>17.84249999999996</v>
      </c>
      <c r="D29" s="3">
        <v>17.84249999999996</v>
      </c>
      <c r="E29" s="3">
        <v>17.84249999999996</v>
      </c>
      <c r="F29" s="3">
        <v>11.55</v>
      </c>
      <c r="G29" s="3">
        <v>7.13</v>
      </c>
      <c r="H29" s="3">
        <v>7.26</v>
      </c>
      <c r="I29" s="3">
        <v>7.21</v>
      </c>
      <c r="J29" s="3">
        <v>5.7</v>
      </c>
      <c r="K29" s="3">
        <v>3.6</v>
      </c>
      <c r="L29" s="3">
        <v>3.43</v>
      </c>
      <c r="M29" s="3">
        <v>3.44</v>
      </c>
    </row>
    <row r="30">
      <c r="A30" s="1" t="s">
        <v>40</v>
      </c>
      <c r="B30" s="3">
        <v>4.79</v>
      </c>
      <c r="C30" s="3">
        <v>4.67</v>
      </c>
      <c r="D30" s="3">
        <v>4.05</v>
      </c>
      <c r="E30" s="3">
        <v>3.78</v>
      </c>
      <c r="F30" s="3">
        <v>4.4</v>
      </c>
      <c r="G30" s="3">
        <v>2.41</v>
      </c>
      <c r="H30" s="3">
        <v>3.87</v>
      </c>
      <c r="I30" s="3">
        <v>4.11</v>
      </c>
      <c r="J30" s="3">
        <v>4.49</v>
      </c>
      <c r="K30" s="3">
        <v>4.04</v>
      </c>
      <c r="L30" s="3">
        <v>4.14</v>
      </c>
      <c r="M30" s="3">
        <v>3.49</v>
      </c>
    </row>
    <row r="34">
      <c r="A34" s="5" t="s">
        <v>41</v>
      </c>
      <c r="B34" s="6">
        <f>MIN(B2:N30)</f>
        <v>1.1405</v>
      </c>
    </row>
    <row r="35">
      <c r="A35" s="5" t="s">
        <v>42</v>
      </c>
      <c r="B35" s="6">
        <f>MAX(B2:N30)</f>
        <v>17.8425</v>
      </c>
    </row>
    <row r="38">
      <c r="A38" s="5" t="s">
        <v>43</v>
      </c>
      <c r="B38" s="6">
        <f>PERCENTILE(B2:M30, 0.05)</f>
        <v>1.147325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 t="s">
        <v>44</v>
      </c>
      <c r="B39" s="6">
        <f>PERCENTILE(B2:M30, 0.95)</f>
        <v>17.421625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6">
        <f t="shared" ref="B42:N42" si="1">MEDIAN(B2, $B$38, $B$39)</f>
        <v>4.1</v>
      </c>
      <c r="C42" s="6">
        <f t="shared" si="1"/>
        <v>5.49</v>
      </c>
      <c r="D42" s="6">
        <f t="shared" si="1"/>
        <v>3.01</v>
      </c>
      <c r="E42" s="6">
        <f t="shared" si="1"/>
        <v>4.29</v>
      </c>
      <c r="F42" s="6">
        <f t="shared" si="1"/>
        <v>4.69</v>
      </c>
      <c r="G42" s="6">
        <f t="shared" si="1"/>
        <v>2.01</v>
      </c>
      <c r="H42" s="6">
        <f t="shared" si="1"/>
        <v>3.19</v>
      </c>
      <c r="I42" s="6">
        <f t="shared" si="1"/>
        <v>3.49</v>
      </c>
      <c r="J42" s="6">
        <f t="shared" si="1"/>
        <v>4.02</v>
      </c>
      <c r="K42" s="6">
        <f t="shared" si="1"/>
        <v>3.8</v>
      </c>
      <c r="L42" s="6">
        <f t="shared" si="1"/>
        <v>5.92</v>
      </c>
      <c r="M42" s="6">
        <f t="shared" si="1"/>
        <v>4.43</v>
      </c>
      <c r="N42" s="6">
        <f t="shared" si="1"/>
        <v>9.284475</v>
      </c>
    </row>
    <row r="43">
      <c r="A43" s="5"/>
      <c r="B43" s="6">
        <f t="shared" ref="B43:N43" si="2">MEDIAN(B3, $B$38, $B$39)</f>
        <v>11.56</v>
      </c>
      <c r="C43" s="6">
        <f t="shared" si="2"/>
        <v>14.58</v>
      </c>
      <c r="D43" s="6">
        <f t="shared" si="2"/>
        <v>16.56</v>
      </c>
      <c r="E43" s="6">
        <f t="shared" si="2"/>
        <v>17.421625</v>
      </c>
      <c r="F43" s="6">
        <f t="shared" si="2"/>
        <v>17.421625</v>
      </c>
      <c r="G43" s="6">
        <f t="shared" si="2"/>
        <v>15.78</v>
      </c>
      <c r="H43" s="6">
        <f t="shared" si="2"/>
        <v>15.11</v>
      </c>
      <c r="I43" s="6">
        <f t="shared" si="2"/>
        <v>12.78</v>
      </c>
      <c r="J43" s="6">
        <f t="shared" si="2"/>
        <v>13.51</v>
      </c>
      <c r="K43" s="6">
        <f t="shared" si="2"/>
        <v>12.77</v>
      </c>
      <c r="L43" s="6">
        <f t="shared" si="2"/>
        <v>16.36</v>
      </c>
      <c r="M43" s="6">
        <f t="shared" si="2"/>
        <v>12.98</v>
      </c>
      <c r="N43" s="6">
        <f t="shared" si="2"/>
        <v>9.284475</v>
      </c>
    </row>
    <row r="44">
      <c r="A44" s="5"/>
      <c r="B44" s="6">
        <f t="shared" ref="B44:N44" si="3">MEDIAN(B4, $B$38, $B$39)</f>
        <v>1.82</v>
      </c>
      <c r="C44" s="6">
        <f t="shared" si="3"/>
        <v>2.06</v>
      </c>
      <c r="D44" s="6">
        <f t="shared" si="3"/>
        <v>2.04</v>
      </c>
      <c r="E44" s="6">
        <f t="shared" si="3"/>
        <v>1.97</v>
      </c>
      <c r="F44" s="6">
        <f t="shared" si="3"/>
        <v>2.06</v>
      </c>
      <c r="G44" s="6">
        <f t="shared" si="3"/>
        <v>1.24</v>
      </c>
      <c r="H44" s="6">
        <f t="shared" si="3"/>
        <v>2.94</v>
      </c>
      <c r="I44" s="6">
        <f t="shared" si="3"/>
        <v>2.04</v>
      </c>
      <c r="J44" s="6">
        <f t="shared" si="3"/>
        <v>2.08</v>
      </c>
      <c r="K44" s="6">
        <f t="shared" si="3"/>
        <v>1.98</v>
      </c>
      <c r="L44" s="6">
        <f t="shared" si="3"/>
        <v>2.96</v>
      </c>
      <c r="M44" s="6">
        <f t="shared" si="3"/>
        <v>1.79</v>
      </c>
      <c r="N44" s="6">
        <f t="shared" si="3"/>
        <v>9.284475</v>
      </c>
    </row>
    <row r="45">
      <c r="A45" s="5"/>
      <c r="B45" s="6">
        <f t="shared" ref="B45:N45" si="4">MEDIAN(B5, $B$38, $B$39)</f>
        <v>4.42</v>
      </c>
      <c r="C45" s="6">
        <f t="shared" si="4"/>
        <v>4.34</v>
      </c>
      <c r="D45" s="6">
        <f t="shared" si="4"/>
        <v>4.35</v>
      </c>
      <c r="E45" s="6">
        <f t="shared" si="4"/>
        <v>6.74</v>
      </c>
      <c r="F45" s="6">
        <f t="shared" si="4"/>
        <v>4.29</v>
      </c>
      <c r="G45" s="6">
        <f t="shared" si="4"/>
        <v>2.33</v>
      </c>
      <c r="H45" s="6">
        <f t="shared" si="4"/>
        <v>4.72</v>
      </c>
      <c r="I45" s="6">
        <f t="shared" si="4"/>
        <v>4.02</v>
      </c>
      <c r="J45" s="6">
        <f t="shared" si="4"/>
        <v>4.03</v>
      </c>
      <c r="K45" s="6">
        <f t="shared" si="4"/>
        <v>1.99</v>
      </c>
      <c r="L45" s="6">
        <f t="shared" si="4"/>
        <v>1.99</v>
      </c>
      <c r="M45" s="6">
        <f t="shared" si="4"/>
        <v>1.32</v>
      </c>
      <c r="N45" s="6">
        <f t="shared" si="4"/>
        <v>9.284475</v>
      </c>
    </row>
    <row r="46">
      <c r="A46" s="5"/>
      <c r="B46" s="6">
        <f t="shared" ref="B46:N46" si="5">MEDIAN(B6, $B$38, $B$39)</f>
        <v>5.75</v>
      </c>
      <c r="C46" s="6">
        <f t="shared" si="5"/>
        <v>5.83</v>
      </c>
      <c r="D46" s="6">
        <f t="shared" si="5"/>
        <v>6.24</v>
      </c>
      <c r="E46" s="6">
        <f t="shared" si="5"/>
        <v>10.02</v>
      </c>
      <c r="F46" s="6">
        <f t="shared" si="5"/>
        <v>8.39</v>
      </c>
      <c r="G46" s="6">
        <f t="shared" si="5"/>
        <v>4.11</v>
      </c>
      <c r="H46" s="6">
        <f t="shared" si="5"/>
        <v>8.86</v>
      </c>
      <c r="I46" s="6">
        <f t="shared" si="5"/>
        <v>6.15</v>
      </c>
      <c r="J46" s="6">
        <f t="shared" si="5"/>
        <v>6.69</v>
      </c>
      <c r="K46" s="6">
        <f t="shared" si="5"/>
        <v>5</v>
      </c>
      <c r="L46" s="6">
        <f t="shared" si="5"/>
        <v>4.27</v>
      </c>
      <c r="M46" s="6">
        <f t="shared" si="5"/>
        <v>2.08</v>
      </c>
      <c r="N46" s="6">
        <f t="shared" si="5"/>
        <v>9.284475</v>
      </c>
    </row>
    <row r="47">
      <c r="A47" s="5"/>
      <c r="B47" s="6">
        <f t="shared" ref="B47:N47" si="6">MEDIAN(B7, $B$38, $B$39)</f>
        <v>11.02</v>
      </c>
      <c r="C47" s="6">
        <f t="shared" si="6"/>
        <v>9.02</v>
      </c>
      <c r="D47" s="6">
        <f t="shared" si="6"/>
        <v>5.14</v>
      </c>
      <c r="E47" s="6">
        <f t="shared" si="6"/>
        <v>4.18</v>
      </c>
      <c r="F47" s="6">
        <f t="shared" si="6"/>
        <v>2.76</v>
      </c>
      <c r="G47" s="6">
        <f t="shared" si="6"/>
        <v>1.8</v>
      </c>
      <c r="H47" s="6">
        <f t="shared" si="6"/>
        <v>2.47</v>
      </c>
      <c r="I47" s="6">
        <f t="shared" si="6"/>
        <v>4.32</v>
      </c>
      <c r="J47" s="6">
        <f t="shared" si="6"/>
        <v>4.51</v>
      </c>
      <c r="K47" s="6">
        <f t="shared" si="6"/>
        <v>3.17</v>
      </c>
      <c r="L47" s="6">
        <f t="shared" si="6"/>
        <v>3.3</v>
      </c>
      <c r="M47" s="6">
        <f t="shared" si="6"/>
        <v>1.27</v>
      </c>
      <c r="N47" s="6">
        <f t="shared" si="6"/>
        <v>9.284475</v>
      </c>
    </row>
    <row r="48">
      <c r="A48" s="5"/>
      <c r="B48" s="6">
        <f t="shared" ref="B48:N48" si="7">MEDIAN(B8, $B$38, $B$39)</f>
        <v>7.65</v>
      </c>
      <c r="C48" s="6">
        <f t="shared" si="7"/>
        <v>7</v>
      </c>
      <c r="D48" s="7">
        <f t="shared" si="7"/>
        <v>4.68</v>
      </c>
      <c r="E48" s="6">
        <f t="shared" si="7"/>
        <v>6.34</v>
      </c>
      <c r="F48" s="6">
        <f t="shared" si="7"/>
        <v>4.82</v>
      </c>
      <c r="G48" s="6">
        <f t="shared" si="7"/>
        <v>3.12</v>
      </c>
      <c r="H48" s="6">
        <f t="shared" si="7"/>
        <v>1.86</v>
      </c>
      <c r="I48" s="7">
        <f t="shared" si="7"/>
        <v>2.29</v>
      </c>
      <c r="J48" s="6">
        <f t="shared" si="7"/>
        <v>2.07</v>
      </c>
      <c r="K48" s="6">
        <f t="shared" si="7"/>
        <v>2.1</v>
      </c>
      <c r="L48" s="6">
        <f t="shared" si="7"/>
        <v>3.96</v>
      </c>
      <c r="M48" s="6">
        <f t="shared" si="7"/>
        <v>2.1</v>
      </c>
      <c r="N48" s="6">
        <f t="shared" si="7"/>
        <v>9.284475</v>
      </c>
    </row>
    <row r="49">
      <c r="A49" s="5"/>
      <c r="B49" s="6">
        <f t="shared" ref="B49:N49" si="8">MEDIAN(B9, $B$38, $B$39)</f>
        <v>6.2</v>
      </c>
      <c r="C49" s="6">
        <f t="shared" si="8"/>
        <v>6.14</v>
      </c>
      <c r="D49" s="6">
        <f t="shared" si="8"/>
        <v>4.51</v>
      </c>
      <c r="E49" s="6">
        <f t="shared" si="8"/>
        <v>5.1</v>
      </c>
      <c r="F49" s="6">
        <f t="shared" si="8"/>
        <v>4.46</v>
      </c>
      <c r="G49" s="6">
        <f t="shared" si="8"/>
        <v>2.31</v>
      </c>
      <c r="H49" s="6">
        <f t="shared" si="8"/>
        <v>3.56</v>
      </c>
      <c r="I49" s="6">
        <f t="shared" si="8"/>
        <v>3.7</v>
      </c>
      <c r="J49" s="6">
        <f t="shared" si="8"/>
        <v>3.78</v>
      </c>
      <c r="K49" s="6">
        <f t="shared" si="8"/>
        <v>4.19</v>
      </c>
      <c r="L49" s="6">
        <f t="shared" si="8"/>
        <v>5.35</v>
      </c>
      <c r="M49" s="6">
        <f t="shared" si="8"/>
        <v>5.36</v>
      </c>
      <c r="N49" s="6">
        <f t="shared" si="8"/>
        <v>9.284475</v>
      </c>
    </row>
    <row r="50">
      <c r="A50" s="5"/>
      <c r="B50" s="6">
        <f t="shared" ref="B50:N50" si="9">MEDIAN(B10, $B$38, $B$39)</f>
        <v>2.79</v>
      </c>
      <c r="C50" s="6">
        <f t="shared" si="9"/>
        <v>2.5</v>
      </c>
      <c r="D50" s="6">
        <f t="shared" si="9"/>
        <v>3.21</v>
      </c>
      <c r="E50" s="6">
        <f t="shared" si="9"/>
        <v>3.4</v>
      </c>
      <c r="F50" s="6">
        <f t="shared" si="9"/>
        <v>4.04</v>
      </c>
      <c r="G50" s="6">
        <f t="shared" si="9"/>
        <v>2.76</v>
      </c>
      <c r="H50" s="6">
        <f t="shared" si="9"/>
        <v>4.23</v>
      </c>
      <c r="I50" s="6">
        <f t="shared" si="9"/>
        <v>4.62</v>
      </c>
      <c r="J50" s="6">
        <f t="shared" si="9"/>
        <v>4.13</v>
      </c>
      <c r="K50" s="6">
        <f t="shared" si="9"/>
        <v>3.73</v>
      </c>
      <c r="L50" s="6">
        <f t="shared" si="9"/>
        <v>4.13</v>
      </c>
      <c r="M50" s="6">
        <f t="shared" si="9"/>
        <v>4.13</v>
      </c>
      <c r="N50" s="6">
        <f t="shared" si="9"/>
        <v>9.284475</v>
      </c>
    </row>
    <row r="51">
      <c r="A51" s="5"/>
      <c r="B51" s="6">
        <f t="shared" ref="B51:N51" si="10">MEDIAN(B11, $B$38, $B$39)</f>
        <v>10.75</v>
      </c>
      <c r="C51" s="6">
        <f t="shared" si="10"/>
        <v>10.41</v>
      </c>
      <c r="D51" s="6">
        <f t="shared" si="10"/>
        <v>11.95</v>
      </c>
      <c r="E51" s="6">
        <f t="shared" si="10"/>
        <v>9.81</v>
      </c>
      <c r="F51" s="6">
        <f t="shared" si="10"/>
        <v>11.98</v>
      </c>
      <c r="G51" s="6">
        <f t="shared" si="10"/>
        <v>17.421625</v>
      </c>
      <c r="H51" s="6">
        <f t="shared" si="10"/>
        <v>17.421625</v>
      </c>
      <c r="I51" s="6">
        <f t="shared" si="10"/>
        <v>17.421625</v>
      </c>
      <c r="J51" s="6">
        <f t="shared" si="10"/>
        <v>17.421625</v>
      </c>
      <c r="K51" s="6">
        <f t="shared" si="10"/>
        <v>17.421625</v>
      </c>
      <c r="L51" s="6">
        <f t="shared" si="10"/>
        <v>17.421625</v>
      </c>
      <c r="M51" s="6">
        <f t="shared" si="10"/>
        <v>17.421625</v>
      </c>
      <c r="N51" s="6">
        <f t="shared" si="10"/>
        <v>9.284475</v>
      </c>
    </row>
    <row r="52">
      <c r="A52" s="5"/>
      <c r="B52" s="6">
        <f t="shared" ref="B52:N52" si="11">MEDIAN(B12, $B$38, $B$39)</f>
        <v>3.1</v>
      </c>
      <c r="C52" s="6">
        <f t="shared" si="11"/>
        <v>3.04</v>
      </c>
      <c r="D52" s="6">
        <f t="shared" si="11"/>
        <v>2.9</v>
      </c>
      <c r="E52" s="6">
        <f t="shared" si="11"/>
        <v>2.84</v>
      </c>
      <c r="F52" s="6">
        <f t="shared" si="11"/>
        <v>2.6</v>
      </c>
      <c r="G52" s="6">
        <f t="shared" si="11"/>
        <v>1.75</v>
      </c>
      <c r="H52" s="6">
        <f t="shared" si="11"/>
        <v>2.31</v>
      </c>
      <c r="I52" s="6">
        <f t="shared" si="11"/>
        <v>1.66</v>
      </c>
      <c r="J52" s="6">
        <f t="shared" si="11"/>
        <v>1.59</v>
      </c>
      <c r="K52" s="6">
        <f t="shared" si="11"/>
        <v>1.51</v>
      </c>
      <c r="L52" s="6">
        <f t="shared" si="11"/>
        <v>2.16</v>
      </c>
      <c r="M52" s="6">
        <f t="shared" si="11"/>
        <v>1.88</v>
      </c>
      <c r="N52" s="6">
        <f t="shared" si="11"/>
        <v>9.284475</v>
      </c>
    </row>
    <row r="53">
      <c r="A53" s="5"/>
      <c r="B53" s="6">
        <f t="shared" ref="B53:N53" si="12">MEDIAN(B13, $B$38, $B$39)</f>
        <v>6.8</v>
      </c>
      <c r="C53" s="6">
        <f t="shared" si="12"/>
        <v>7.05</v>
      </c>
      <c r="D53" s="6">
        <f t="shared" si="12"/>
        <v>7.83</v>
      </c>
      <c r="E53" s="6">
        <f t="shared" si="12"/>
        <v>10.62</v>
      </c>
      <c r="F53" s="6">
        <f t="shared" si="12"/>
        <v>7.61</v>
      </c>
      <c r="G53" s="6">
        <f t="shared" si="12"/>
        <v>4.15</v>
      </c>
      <c r="H53" s="6">
        <f t="shared" si="12"/>
        <v>4.96</v>
      </c>
      <c r="I53" s="6">
        <f t="shared" si="12"/>
        <v>3.8</v>
      </c>
      <c r="J53" s="6">
        <f t="shared" si="12"/>
        <v>3.39</v>
      </c>
      <c r="K53" s="6">
        <f t="shared" si="12"/>
        <v>4.51</v>
      </c>
      <c r="L53" s="6">
        <f t="shared" si="12"/>
        <v>5</v>
      </c>
      <c r="M53" s="6">
        <f t="shared" si="12"/>
        <v>4.21</v>
      </c>
      <c r="N53" s="6">
        <f t="shared" si="12"/>
        <v>9.284475</v>
      </c>
    </row>
    <row r="54">
      <c r="A54" s="5"/>
      <c r="B54" s="6">
        <f t="shared" ref="B54:N54" si="13">MEDIAN(B14, $B$38, $B$39)</f>
        <v>7.32</v>
      </c>
      <c r="C54" s="6">
        <f t="shared" si="13"/>
        <v>7.18</v>
      </c>
      <c r="D54" s="6">
        <f t="shared" si="13"/>
        <v>6.89</v>
      </c>
      <c r="E54" s="6">
        <f t="shared" si="13"/>
        <v>4.95</v>
      </c>
      <c r="F54" s="6">
        <f t="shared" si="13"/>
        <v>4.46</v>
      </c>
      <c r="G54" s="6">
        <f t="shared" si="13"/>
        <v>3.24</v>
      </c>
      <c r="H54" s="6">
        <f t="shared" si="13"/>
        <v>6.15</v>
      </c>
      <c r="I54" s="6">
        <f t="shared" si="13"/>
        <v>5.95</v>
      </c>
      <c r="J54" s="6">
        <f t="shared" si="13"/>
        <v>7.34</v>
      </c>
      <c r="K54" s="6">
        <f t="shared" si="13"/>
        <v>6.19</v>
      </c>
      <c r="L54" s="6">
        <f t="shared" si="13"/>
        <v>8.24</v>
      </c>
      <c r="M54" s="6">
        <f t="shared" si="13"/>
        <v>10.36</v>
      </c>
      <c r="N54" s="6">
        <f t="shared" si="13"/>
        <v>9.284475</v>
      </c>
    </row>
    <row r="55">
      <c r="A55" s="5"/>
      <c r="B55" s="6">
        <f t="shared" ref="B55:N55" si="14">MEDIAN(B15, $B$38, $B$39)</f>
        <v>2.74</v>
      </c>
      <c r="C55" s="6">
        <f t="shared" si="14"/>
        <v>2.73</v>
      </c>
      <c r="D55" s="6">
        <f t="shared" si="14"/>
        <v>3.08</v>
      </c>
      <c r="E55" s="6">
        <f t="shared" si="14"/>
        <v>3.6</v>
      </c>
      <c r="F55" s="6">
        <f t="shared" si="14"/>
        <v>4.12</v>
      </c>
      <c r="G55" s="6">
        <f t="shared" si="14"/>
        <v>3.72</v>
      </c>
      <c r="H55" s="6">
        <f t="shared" si="14"/>
        <v>4.41</v>
      </c>
      <c r="I55" s="6">
        <f t="shared" si="14"/>
        <v>3.96</v>
      </c>
      <c r="J55" s="6">
        <f t="shared" si="14"/>
        <v>4.17</v>
      </c>
      <c r="K55" s="6">
        <f t="shared" si="14"/>
        <v>3.74</v>
      </c>
      <c r="L55" s="6">
        <f t="shared" si="14"/>
        <v>4.58</v>
      </c>
      <c r="M55" s="6">
        <f t="shared" si="14"/>
        <v>3.14</v>
      </c>
      <c r="N55" s="6">
        <f t="shared" si="14"/>
        <v>9.284475</v>
      </c>
    </row>
    <row r="56">
      <c r="A56" s="5"/>
      <c r="B56" s="6">
        <f t="shared" ref="B56:N56" si="15">MEDIAN(B16, $B$38, $B$39)</f>
        <v>4.92</v>
      </c>
      <c r="C56" s="6">
        <f t="shared" si="15"/>
        <v>6.01</v>
      </c>
      <c r="D56" s="6">
        <f t="shared" si="15"/>
        <v>3.41</v>
      </c>
      <c r="E56" s="6">
        <f t="shared" si="15"/>
        <v>3.01</v>
      </c>
      <c r="F56" s="6">
        <f t="shared" si="15"/>
        <v>2.63</v>
      </c>
      <c r="G56" s="6">
        <f t="shared" si="15"/>
        <v>1.7</v>
      </c>
      <c r="H56" s="6">
        <f t="shared" si="15"/>
        <v>3.12</v>
      </c>
      <c r="I56" s="6">
        <f t="shared" si="15"/>
        <v>3.31</v>
      </c>
      <c r="J56" s="6">
        <f t="shared" si="15"/>
        <v>2.94</v>
      </c>
      <c r="K56" s="6">
        <f t="shared" si="15"/>
        <v>2.56</v>
      </c>
      <c r="L56" s="6">
        <f t="shared" si="15"/>
        <v>3.91</v>
      </c>
      <c r="M56" s="6">
        <f t="shared" si="15"/>
        <v>3.13</v>
      </c>
      <c r="N56" s="6">
        <f t="shared" si="15"/>
        <v>9.284475</v>
      </c>
    </row>
    <row r="57">
      <c r="A57" s="5"/>
      <c r="B57" s="6">
        <f t="shared" ref="B57:N57" si="16">MEDIAN(B17, $B$38, $B$39)</f>
        <v>3.86</v>
      </c>
      <c r="C57" s="6">
        <f t="shared" si="16"/>
        <v>3.24</v>
      </c>
      <c r="D57" s="6">
        <f t="shared" si="16"/>
        <v>2.29</v>
      </c>
      <c r="E57" s="6">
        <f t="shared" si="16"/>
        <v>1.9</v>
      </c>
      <c r="F57" s="6">
        <f t="shared" si="16"/>
        <v>2.12</v>
      </c>
      <c r="G57" s="6">
        <f t="shared" si="16"/>
        <v>1.147325</v>
      </c>
      <c r="H57" s="6">
        <f t="shared" si="16"/>
        <v>1.83</v>
      </c>
      <c r="I57" s="6">
        <f t="shared" si="16"/>
        <v>2.19</v>
      </c>
      <c r="J57" s="6">
        <f t="shared" si="16"/>
        <v>2.34</v>
      </c>
      <c r="K57" s="6">
        <f t="shared" si="16"/>
        <v>2.47</v>
      </c>
      <c r="L57" s="6">
        <f t="shared" si="16"/>
        <v>2.72</v>
      </c>
      <c r="M57" s="6">
        <f t="shared" si="16"/>
        <v>2.49</v>
      </c>
      <c r="N57" s="6">
        <f t="shared" si="16"/>
        <v>9.284475</v>
      </c>
    </row>
    <row r="58">
      <c r="A58" s="5"/>
      <c r="B58" s="6">
        <f t="shared" ref="B58:N58" si="17">MEDIAN(B18, $B$38, $B$39)</f>
        <v>3.76</v>
      </c>
      <c r="C58" s="6">
        <f t="shared" si="17"/>
        <v>4.63</v>
      </c>
      <c r="D58" s="6">
        <f t="shared" si="17"/>
        <v>4.05</v>
      </c>
      <c r="E58" s="6">
        <f t="shared" si="17"/>
        <v>4.13</v>
      </c>
      <c r="F58" s="6">
        <f t="shared" si="17"/>
        <v>3.95</v>
      </c>
      <c r="G58" s="6">
        <f t="shared" si="17"/>
        <v>2.62</v>
      </c>
      <c r="H58" s="6">
        <f t="shared" si="17"/>
        <v>4.28</v>
      </c>
      <c r="I58" s="6">
        <f t="shared" si="17"/>
        <v>6.29</v>
      </c>
      <c r="J58" s="6">
        <f t="shared" si="17"/>
        <v>4.91</v>
      </c>
      <c r="K58" s="6">
        <f t="shared" si="17"/>
        <v>3.67</v>
      </c>
      <c r="L58" s="6">
        <f t="shared" si="17"/>
        <v>4.59</v>
      </c>
      <c r="M58" s="6">
        <f t="shared" si="17"/>
        <v>2.77</v>
      </c>
      <c r="N58" s="6">
        <f t="shared" si="17"/>
        <v>9.284475</v>
      </c>
    </row>
    <row r="59">
      <c r="A59" s="5"/>
      <c r="B59" s="6">
        <f t="shared" ref="B59:N59" si="18">MEDIAN(B19, $B$38, $B$39)</f>
        <v>1.88</v>
      </c>
      <c r="C59" s="6">
        <f t="shared" si="18"/>
        <v>2.03</v>
      </c>
      <c r="D59" s="6">
        <f t="shared" si="18"/>
        <v>1.16</v>
      </c>
      <c r="E59" s="6">
        <f t="shared" si="18"/>
        <v>1.147325</v>
      </c>
      <c r="F59" s="6">
        <f t="shared" si="18"/>
        <v>1.147325</v>
      </c>
      <c r="G59" s="6">
        <f t="shared" si="18"/>
        <v>1.147325</v>
      </c>
      <c r="H59" s="6">
        <f t="shared" si="18"/>
        <v>1.2</v>
      </c>
      <c r="I59" s="6">
        <f t="shared" si="18"/>
        <v>1.35</v>
      </c>
      <c r="J59" s="6">
        <f t="shared" si="18"/>
        <v>1.4</v>
      </c>
      <c r="K59" s="6">
        <f t="shared" si="18"/>
        <v>1.16</v>
      </c>
      <c r="L59" s="6">
        <f t="shared" si="18"/>
        <v>1.48</v>
      </c>
      <c r="M59" s="6">
        <f t="shared" si="18"/>
        <v>1.147325</v>
      </c>
      <c r="N59" s="6">
        <f t="shared" si="18"/>
        <v>9.284475</v>
      </c>
    </row>
    <row r="60">
      <c r="A60" s="5"/>
      <c r="B60" s="6">
        <f t="shared" ref="B60:N60" si="19">MEDIAN(B20, $B$38, $B$39)</f>
        <v>2.92</v>
      </c>
      <c r="C60" s="6">
        <f t="shared" si="19"/>
        <v>2.96</v>
      </c>
      <c r="D60" s="6">
        <f t="shared" si="19"/>
        <v>1.9</v>
      </c>
      <c r="E60" s="6">
        <f t="shared" si="19"/>
        <v>1.98</v>
      </c>
      <c r="F60" s="6">
        <f t="shared" si="19"/>
        <v>1.61</v>
      </c>
      <c r="G60" s="6">
        <f t="shared" si="19"/>
        <v>1.29</v>
      </c>
      <c r="H60" s="6">
        <f t="shared" si="19"/>
        <v>1.75</v>
      </c>
      <c r="I60" s="6">
        <f t="shared" si="19"/>
        <v>1.86</v>
      </c>
      <c r="J60" s="6">
        <f t="shared" si="19"/>
        <v>2.07</v>
      </c>
      <c r="K60" s="6">
        <f t="shared" si="19"/>
        <v>1.66</v>
      </c>
      <c r="L60" s="6">
        <f t="shared" si="19"/>
        <v>1.98</v>
      </c>
      <c r="M60" s="6">
        <f t="shared" si="19"/>
        <v>1.58</v>
      </c>
      <c r="N60" s="6">
        <f t="shared" si="19"/>
        <v>9.284475</v>
      </c>
    </row>
    <row r="61">
      <c r="A61" s="5"/>
      <c r="B61" s="6">
        <f t="shared" ref="B61:N61" si="20">MEDIAN(B21, $B$38, $B$39)</f>
        <v>2.05</v>
      </c>
      <c r="C61" s="6">
        <f t="shared" si="20"/>
        <v>2.54</v>
      </c>
      <c r="D61" s="6">
        <f t="shared" si="20"/>
        <v>2.2</v>
      </c>
      <c r="E61" s="6">
        <f t="shared" si="20"/>
        <v>2.29</v>
      </c>
      <c r="F61" s="6">
        <f t="shared" si="20"/>
        <v>1.84</v>
      </c>
      <c r="G61" s="6">
        <f t="shared" si="20"/>
        <v>1.57</v>
      </c>
      <c r="H61" s="6">
        <f t="shared" si="20"/>
        <v>2.09</v>
      </c>
      <c r="I61" s="6">
        <f t="shared" si="20"/>
        <v>1.78</v>
      </c>
      <c r="J61" s="6">
        <f t="shared" si="20"/>
        <v>1.49</v>
      </c>
      <c r="K61" s="6">
        <f t="shared" si="20"/>
        <v>1.34</v>
      </c>
      <c r="L61" s="6">
        <f t="shared" si="20"/>
        <v>1.147325</v>
      </c>
      <c r="M61" s="6">
        <f t="shared" si="20"/>
        <v>1.38</v>
      </c>
      <c r="N61" s="6">
        <f t="shared" si="20"/>
        <v>9.284475</v>
      </c>
    </row>
    <row r="62">
      <c r="A62" s="5"/>
      <c r="B62" s="6">
        <f t="shared" ref="B62:N62" si="21">MEDIAN(B22, $B$38, $B$39)</f>
        <v>1.5</v>
      </c>
      <c r="C62" s="6">
        <f t="shared" si="21"/>
        <v>1.73</v>
      </c>
      <c r="D62" s="6">
        <f t="shared" si="21"/>
        <v>1.41</v>
      </c>
      <c r="E62" s="6">
        <f t="shared" si="21"/>
        <v>1.56</v>
      </c>
      <c r="F62" s="6">
        <f t="shared" si="21"/>
        <v>1.29</v>
      </c>
      <c r="G62" s="6">
        <f t="shared" si="21"/>
        <v>1.147325</v>
      </c>
      <c r="H62" s="6">
        <f t="shared" si="21"/>
        <v>1.22</v>
      </c>
      <c r="I62" s="6">
        <f t="shared" si="21"/>
        <v>1.147325</v>
      </c>
      <c r="J62" s="6">
        <f t="shared" si="21"/>
        <v>1.28</v>
      </c>
      <c r="K62" s="6">
        <f t="shared" si="21"/>
        <v>1.147325</v>
      </c>
      <c r="L62" s="6">
        <f t="shared" si="21"/>
        <v>1.24</v>
      </c>
      <c r="M62" s="6">
        <f t="shared" si="21"/>
        <v>1.147325</v>
      </c>
      <c r="N62" s="6">
        <f t="shared" si="21"/>
        <v>9.284475</v>
      </c>
    </row>
    <row r="63">
      <c r="A63" s="5"/>
      <c r="B63" s="6">
        <f t="shared" ref="B63:N63" si="22">MEDIAN(B23, $B$38, $B$39)</f>
        <v>5.77</v>
      </c>
      <c r="C63" s="6">
        <f t="shared" si="22"/>
        <v>6.11</v>
      </c>
      <c r="D63" s="6">
        <f t="shared" si="22"/>
        <v>4.21</v>
      </c>
      <c r="E63" s="6">
        <f t="shared" si="22"/>
        <v>4.57</v>
      </c>
      <c r="F63" s="6">
        <f t="shared" si="22"/>
        <v>3.09</v>
      </c>
      <c r="G63" s="6">
        <f t="shared" si="22"/>
        <v>1.87</v>
      </c>
      <c r="H63" s="6">
        <f t="shared" si="22"/>
        <v>2.78</v>
      </c>
      <c r="I63" s="6">
        <f t="shared" si="22"/>
        <v>3.12</v>
      </c>
      <c r="J63" s="6">
        <f t="shared" si="22"/>
        <v>4.5</v>
      </c>
      <c r="K63" s="6">
        <f t="shared" si="22"/>
        <v>5.98</v>
      </c>
      <c r="L63" s="6">
        <f t="shared" si="22"/>
        <v>8.28</v>
      </c>
      <c r="M63" s="6">
        <f t="shared" si="22"/>
        <v>6.41</v>
      </c>
      <c r="N63" s="6">
        <f t="shared" si="22"/>
        <v>9.284475</v>
      </c>
    </row>
    <row r="64">
      <c r="A64" s="5"/>
      <c r="B64" s="6">
        <f t="shared" ref="B64:N64" si="23">MEDIAN(B24, $B$38, $B$39)</f>
        <v>2.14</v>
      </c>
      <c r="C64" s="6">
        <f t="shared" si="23"/>
        <v>4.48</v>
      </c>
      <c r="D64" s="6">
        <f t="shared" si="23"/>
        <v>3.55</v>
      </c>
      <c r="E64" s="6">
        <f t="shared" si="23"/>
        <v>3.73</v>
      </c>
      <c r="F64" s="6">
        <f t="shared" si="23"/>
        <v>2.09</v>
      </c>
      <c r="G64" s="6">
        <f t="shared" si="23"/>
        <v>1.147325</v>
      </c>
      <c r="H64" s="6">
        <f t="shared" si="23"/>
        <v>1.147325</v>
      </c>
      <c r="I64" s="6">
        <f t="shared" si="23"/>
        <v>1.17</v>
      </c>
      <c r="J64" s="6">
        <f t="shared" si="23"/>
        <v>2.73</v>
      </c>
      <c r="K64" s="6">
        <f t="shared" si="23"/>
        <v>1.66</v>
      </c>
      <c r="L64" s="6">
        <f t="shared" si="23"/>
        <v>3.15</v>
      </c>
      <c r="M64" s="6">
        <f t="shared" si="23"/>
        <v>1.96</v>
      </c>
      <c r="N64" s="6">
        <f t="shared" si="23"/>
        <v>9.284475</v>
      </c>
    </row>
    <row r="65">
      <c r="A65" s="5"/>
      <c r="B65" s="6">
        <f t="shared" ref="B65:N65" si="24">MEDIAN(B25, $B$38, $B$39)</f>
        <v>2.11</v>
      </c>
      <c r="C65" s="6">
        <f t="shared" si="24"/>
        <v>2.11</v>
      </c>
      <c r="D65" s="6">
        <f t="shared" si="24"/>
        <v>1.24</v>
      </c>
      <c r="E65" s="6">
        <f t="shared" si="24"/>
        <v>1.39</v>
      </c>
      <c r="F65" s="6">
        <f t="shared" si="24"/>
        <v>1.32</v>
      </c>
      <c r="G65" s="6">
        <f t="shared" si="24"/>
        <v>1.147325</v>
      </c>
      <c r="H65" s="6">
        <f t="shared" si="24"/>
        <v>1.147325</v>
      </c>
      <c r="I65" s="6">
        <f t="shared" si="24"/>
        <v>1.147325</v>
      </c>
      <c r="J65" s="6">
        <f t="shared" si="24"/>
        <v>1.32</v>
      </c>
      <c r="K65" s="6">
        <f t="shared" si="24"/>
        <v>1.147325</v>
      </c>
      <c r="L65" s="6">
        <f t="shared" si="24"/>
        <v>1.147325</v>
      </c>
      <c r="M65" s="6">
        <f t="shared" si="24"/>
        <v>1.147325</v>
      </c>
      <c r="N65" s="6">
        <f t="shared" si="24"/>
        <v>9.284475</v>
      </c>
    </row>
    <row r="66">
      <c r="A66" s="5"/>
      <c r="B66" s="6">
        <f t="shared" ref="B66:N66" si="25">MEDIAN(B26, $B$38, $B$39)</f>
        <v>13.77</v>
      </c>
      <c r="C66" s="6">
        <f t="shared" si="25"/>
        <v>15.54</v>
      </c>
      <c r="D66" s="6">
        <f t="shared" si="25"/>
        <v>12.98</v>
      </c>
      <c r="E66" s="6">
        <f t="shared" si="25"/>
        <v>15.35</v>
      </c>
      <c r="F66" s="6">
        <f t="shared" si="25"/>
        <v>13.6</v>
      </c>
      <c r="G66" s="6">
        <f t="shared" si="25"/>
        <v>8.13</v>
      </c>
      <c r="H66" s="6">
        <f t="shared" si="25"/>
        <v>8.39</v>
      </c>
      <c r="I66" s="6">
        <f t="shared" si="25"/>
        <v>6.39</v>
      </c>
      <c r="J66" s="6">
        <f t="shared" si="25"/>
        <v>5.56</v>
      </c>
      <c r="K66" s="6">
        <f t="shared" si="25"/>
        <v>6.97</v>
      </c>
      <c r="L66" s="6">
        <f t="shared" si="25"/>
        <v>9.85</v>
      </c>
      <c r="M66" s="6">
        <f t="shared" si="25"/>
        <v>8.47</v>
      </c>
      <c r="N66" s="6">
        <f t="shared" si="25"/>
        <v>9.284475</v>
      </c>
    </row>
    <row r="67">
      <c r="A67" s="5"/>
      <c r="B67" s="6">
        <f t="shared" ref="B67:N67" si="26">MEDIAN(B27, $B$38, $B$39)</f>
        <v>4.59</v>
      </c>
      <c r="C67" s="6">
        <f t="shared" si="26"/>
        <v>4.14</v>
      </c>
      <c r="D67" s="6">
        <f t="shared" si="26"/>
        <v>3.47</v>
      </c>
      <c r="E67" s="6">
        <f t="shared" si="26"/>
        <v>4.89</v>
      </c>
      <c r="F67" s="6">
        <f t="shared" si="26"/>
        <v>3.48</v>
      </c>
      <c r="G67" s="6">
        <f t="shared" si="26"/>
        <v>2.26</v>
      </c>
      <c r="H67" s="6">
        <f t="shared" si="26"/>
        <v>3.4</v>
      </c>
      <c r="I67" s="6">
        <f t="shared" si="26"/>
        <v>2.99</v>
      </c>
      <c r="J67" s="6">
        <f t="shared" si="26"/>
        <v>2.45</v>
      </c>
      <c r="K67" s="6">
        <f t="shared" si="26"/>
        <v>2.84</v>
      </c>
      <c r="L67" s="6">
        <f t="shared" si="26"/>
        <v>4.94</v>
      </c>
      <c r="M67" s="6">
        <f t="shared" si="26"/>
        <v>4.56</v>
      </c>
      <c r="N67" s="6">
        <f t="shared" si="26"/>
        <v>9.284475</v>
      </c>
    </row>
    <row r="68">
      <c r="A68" s="5"/>
      <c r="B68" s="6">
        <f t="shared" ref="B68:N68" si="27">MEDIAN(B28, $B$38, $B$39)</f>
        <v>17.421625</v>
      </c>
      <c r="C68" s="6">
        <f t="shared" si="27"/>
        <v>17.421625</v>
      </c>
      <c r="D68" s="6">
        <f t="shared" si="27"/>
        <v>17.421625</v>
      </c>
      <c r="E68" s="6">
        <f t="shared" si="27"/>
        <v>17.421625</v>
      </c>
      <c r="F68" s="6">
        <f t="shared" si="27"/>
        <v>17.421625</v>
      </c>
      <c r="G68" s="6">
        <f t="shared" si="27"/>
        <v>12.43</v>
      </c>
      <c r="H68" s="6">
        <f t="shared" si="27"/>
        <v>16.64</v>
      </c>
      <c r="I68" s="6">
        <f t="shared" si="27"/>
        <v>16.42</v>
      </c>
      <c r="J68" s="6">
        <f t="shared" si="27"/>
        <v>9.68</v>
      </c>
      <c r="K68" s="6">
        <f t="shared" si="27"/>
        <v>8.58</v>
      </c>
      <c r="L68" s="6">
        <f t="shared" si="27"/>
        <v>11.29</v>
      </c>
      <c r="M68" s="6">
        <f t="shared" si="27"/>
        <v>9.24</v>
      </c>
      <c r="N68" s="6">
        <f t="shared" si="27"/>
        <v>9.284475</v>
      </c>
    </row>
    <row r="69">
      <c r="A69" s="5"/>
      <c r="B69" s="6">
        <f t="shared" ref="B69:N69" si="28">MEDIAN(B29, $B$38, $B$39)</f>
        <v>17.421625</v>
      </c>
      <c r="C69" s="6">
        <f t="shared" si="28"/>
        <v>17.421625</v>
      </c>
      <c r="D69" s="6">
        <f t="shared" si="28"/>
        <v>17.421625</v>
      </c>
      <c r="E69" s="6">
        <f t="shared" si="28"/>
        <v>17.421625</v>
      </c>
      <c r="F69" s="6">
        <f t="shared" si="28"/>
        <v>11.55</v>
      </c>
      <c r="G69" s="6">
        <f t="shared" si="28"/>
        <v>7.13</v>
      </c>
      <c r="H69" s="6">
        <f t="shared" si="28"/>
        <v>7.26</v>
      </c>
      <c r="I69" s="6">
        <f t="shared" si="28"/>
        <v>7.21</v>
      </c>
      <c r="J69" s="6">
        <f t="shared" si="28"/>
        <v>5.7</v>
      </c>
      <c r="K69" s="6">
        <f t="shared" si="28"/>
        <v>3.6</v>
      </c>
      <c r="L69" s="6">
        <f t="shared" si="28"/>
        <v>3.43</v>
      </c>
      <c r="M69" s="6">
        <f t="shared" si="28"/>
        <v>3.44</v>
      </c>
      <c r="N69" s="6">
        <f t="shared" si="28"/>
        <v>9.284475</v>
      </c>
    </row>
    <row r="70">
      <c r="A70" s="5"/>
      <c r="B70" s="6">
        <f t="shared" ref="B70:N70" si="29">MEDIAN(B30, $B$38, $B$39)</f>
        <v>4.79</v>
      </c>
      <c r="C70" s="6">
        <f t="shared" si="29"/>
        <v>4.67</v>
      </c>
      <c r="D70" s="6">
        <f t="shared" si="29"/>
        <v>4.05</v>
      </c>
      <c r="E70" s="6">
        <f t="shared" si="29"/>
        <v>3.78</v>
      </c>
      <c r="F70" s="6">
        <f t="shared" si="29"/>
        <v>4.4</v>
      </c>
      <c r="G70" s="6">
        <f t="shared" si="29"/>
        <v>2.41</v>
      </c>
      <c r="H70" s="6">
        <f t="shared" si="29"/>
        <v>3.87</v>
      </c>
      <c r="I70" s="6">
        <f t="shared" si="29"/>
        <v>4.11</v>
      </c>
      <c r="J70" s="6">
        <f t="shared" si="29"/>
        <v>4.49</v>
      </c>
      <c r="K70" s="6">
        <f t="shared" si="29"/>
        <v>4.04</v>
      </c>
      <c r="L70" s="6">
        <f t="shared" si="29"/>
        <v>4.14</v>
      </c>
      <c r="M70" s="6">
        <f t="shared" si="29"/>
        <v>3.49</v>
      </c>
      <c r="N70" s="6">
        <f t="shared" si="29"/>
        <v>9.284475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  <c r="P1" s="8" t="s">
        <v>45</v>
      </c>
    </row>
    <row r="2">
      <c r="A2" s="1" t="s">
        <v>12</v>
      </c>
      <c r="B2" s="3">
        <f>(Sheet1!$B$35 - Sheet1!B2) / (Sheet1!$B$35 - Sheet1!$B$34)</f>
        <v>0.822805652</v>
      </c>
      <c r="C2" s="3">
        <f>(Sheet1!$B$35 - Sheet1!C2) / (Sheet1!$B$35 - Sheet1!$B$34)</f>
        <v>0.739582086</v>
      </c>
      <c r="D2" s="3">
        <f>(Sheet1!$B$35 - Sheet1!D2) / (Sheet1!$B$35 - Sheet1!$B$34)</f>
        <v>0.8880672973</v>
      </c>
      <c r="E2" s="3">
        <f>(Sheet1!$B$35 - Sheet1!E2) / (Sheet1!$B$35 - Sheet1!$B$34)</f>
        <v>0.8114297689</v>
      </c>
      <c r="F2" s="3">
        <f>(Sheet1!$B$35 - Sheet1!F2) / (Sheet1!$B$35 - Sheet1!$B$34)</f>
        <v>0.7874805413</v>
      </c>
      <c r="G2" s="3">
        <f>(Sheet1!$B$35 - Sheet1!G2) / (Sheet1!$B$35 - Sheet1!$B$34)</f>
        <v>0.9479403664</v>
      </c>
      <c r="H2" s="3">
        <f>(Sheet1!$B$35 - Sheet1!H2) / (Sheet1!$B$35 - Sheet1!$B$34)</f>
        <v>0.8772901449</v>
      </c>
      <c r="I2" s="3">
        <f>(Sheet1!$B$35 - Sheet1!I2) / (Sheet1!$B$35 - Sheet1!$B$34)</f>
        <v>0.8593282242</v>
      </c>
      <c r="J2" s="3">
        <f>(Sheet1!$B$35 - Sheet1!J2) / (Sheet1!$B$35 - Sheet1!$B$34)</f>
        <v>0.8275954975</v>
      </c>
      <c r="K2" s="3">
        <f>(Sheet1!$B$35 - Sheet1!K2) / (Sheet1!$B$35 - Sheet1!$B$34)</f>
        <v>0.8407675727</v>
      </c>
      <c r="L2" s="3">
        <f>(Sheet1!$B$35 - Sheet1!L2) / (Sheet1!$B$35 - Sheet1!$B$34)</f>
        <v>0.7138366663</v>
      </c>
      <c r="M2" s="3">
        <f>(Sheet1!$B$35 - Sheet1!M2) / (Sheet1!$B$35 - Sheet1!$B$34)</f>
        <v>0.8030475392</v>
      </c>
      <c r="P2" s="9">
        <f>IFERROR(__xludf.DUMMYFUNCTION("FLATTEN(B2:M30)"),0.8228056520177219)</f>
        <v>0.822805652</v>
      </c>
    </row>
    <row r="3">
      <c r="A3" s="1" t="s">
        <v>13</v>
      </c>
      <c r="B3" s="3">
        <f>(Sheet1!$B$35 - Sheet1!B3) / (Sheet1!$B$35 - Sheet1!$B$34)</f>
        <v>0.3761525566</v>
      </c>
      <c r="C3" s="3">
        <f>(Sheet1!$B$35 - Sheet1!C3) / (Sheet1!$B$35 - Sheet1!$B$34)</f>
        <v>0.1953358879</v>
      </c>
      <c r="D3" s="3">
        <f>(Sheet1!$B$35 - Sheet1!D3) / (Sheet1!$B$35 - Sheet1!$B$34)</f>
        <v>0.07678721111</v>
      </c>
      <c r="E3" s="3">
        <f>(Sheet1!$B$35 - Sheet1!E3) / (Sheet1!$B$35 - Sheet1!$B$34)</f>
        <v>0</v>
      </c>
      <c r="F3" s="3">
        <f>(Sheet1!$B$35 - Sheet1!F3) / (Sheet1!$B$35 - Sheet1!$B$34)</f>
        <v>0</v>
      </c>
      <c r="G3" s="3">
        <f>(Sheet1!$B$35 - Sheet1!G3) / (Sheet1!$B$35 - Sheet1!$B$34)</f>
        <v>0.123488205</v>
      </c>
      <c r="H3" s="3">
        <f>(Sheet1!$B$35 - Sheet1!H3) / (Sheet1!$B$35 - Sheet1!$B$34)</f>
        <v>0.1636031613</v>
      </c>
      <c r="I3" s="3">
        <f>(Sheet1!$B$35 - Sheet1!I3) / (Sheet1!$B$35 - Sheet1!$B$34)</f>
        <v>0.3031074123</v>
      </c>
      <c r="J3" s="3">
        <f>(Sheet1!$B$35 - Sheet1!J3) / (Sheet1!$B$35 - Sheet1!$B$34)</f>
        <v>0.2594000718</v>
      </c>
      <c r="K3" s="3">
        <f>(Sheet1!$B$35 - Sheet1!K3) / (Sheet1!$B$35 - Sheet1!$B$34)</f>
        <v>0.303706143</v>
      </c>
      <c r="L3" s="3">
        <f>(Sheet1!$B$35 - Sheet1!L3) / (Sheet1!$B$35 - Sheet1!$B$34)</f>
        <v>0.08876182493</v>
      </c>
      <c r="M3" s="3">
        <f>(Sheet1!$B$35 - Sheet1!M3) / (Sheet1!$B$35 - Sheet1!$B$34)</f>
        <v>0.2911327985</v>
      </c>
      <c r="P3" s="3">
        <f>IFERROR(__xludf.DUMMYFUNCTION("""COMPUTED_VALUE"""),0.7395820859777266)</f>
        <v>0.739582086</v>
      </c>
    </row>
    <row r="4">
      <c r="A4" s="1" t="s">
        <v>14</v>
      </c>
      <c r="B4" s="3">
        <f>(Sheet1!$B$35 - Sheet1!B4) / (Sheet1!$B$35 - Sheet1!$B$34)</f>
        <v>0.9593162496</v>
      </c>
      <c r="C4" s="3">
        <f>(Sheet1!$B$35 - Sheet1!C4) / (Sheet1!$B$35 - Sheet1!$B$34)</f>
        <v>0.944946713</v>
      </c>
      <c r="D4" s="3">
        <f>(Sheet1!$B$35 - Sheet1!D4) / (Sheet1!$B$35 - Sheet1!$B$34)</f>
        <v>0.9461441744</v>
      </c>
      <c r="E4" s="3">
        <f>(Sheet1!$B$35 - Sheet1!E4) / (Sheet1!$B$35 - Sheet1!$B$34)</f>
        <v>0.9503352892</v>
      </c>
      <c r="F4" s="3">
        <f>(Sheet1!$B$35 - Sheet1!F4) / (Sheet1!$B$35 - Sheet1!$B$34)</f>
        <v>0.944946713</v>
      </c>
      <c r="G4" s="3">
        <f>(Sheet1!$B$35 - Sheet1!G4) / (Sheet1!$B$35 - Sheet1!$B$34)</f>
        <v>0.9940426296</v>
      </c>
      <c r="H4" s="3">
        <f>(Sheet1!$B$35 - Sheet1!H4) / (Sheet1!$B$35 - Sheet1!$B$34)</f>
        <v>0.8922584122</v>
      </c>
      <c r="I4" s="3">
        <f>(Sheet1!$B$35 - Sheet1!I4) / (Sheet1!$B$35 - Sheet1!$B$34)</f>
        <v>0.9461441744</v>
      </c>
      <c r="J4" s="3">
        <f>(Sheet1!$B$35 - Sheet1!J4) / (Sheet1!$B$35 - Sheet1!$B$34)</f>
        <v>0.9437492516</v>
      </c>
      <c r="K4" s="3">
        <f>(Sheet1!$B$35 - Sheet1!K4) / (Sheet1!$B$35 - Sheet1!$B$34)</f>
        <v>0.9497365585</v>
      </c>
      <c r="L4" s="3">
        <f>(Sheet1!$B$35 - Sheet1!L4) / (Sheet1!$B$35 - Sheet1!$B$34)</f>
        <v>0.8910609508</v>
      </c>
      <c r="M4" s="3">
        <f>(Sheet1!$B$35 - Sheet1!M4) / (Sheet1!$B$35 - Sheet1!$B$34)</f>
        <v>0.9611124416</v>
      </c>
      <c r="P4" s="3">
        <f>IFERROR(__xludf.DUMMYFUNCTION("""COMPUTED_VALUE"""),0.8880672973296608)</f>
        <v>0.8880672973</v>
      </c>
    </row>
    <row r="5">
      <c r="A5" s="1" t="s">
        <v>15</v>
      </c>
      <c r="B5" s="3">
        <f>(Sheet1!$B$35 - Sheet1!B5) / (Sheet1!$B$35 - Sheet1!$B$34)</f>
        <v>0.8036462699</v>
      </c>
      <c r="C5" s="3">
        <f>(Sheet1!$B$35 - Sheet1!C5) / (Sheet1!$B$35 - Sheet1!$B$34)</f>
        <v>0.8084361154</v>
      </c>
      <c r="D5" s="3">
        <f>(Sheet1!$B$35 - Sheet1!D5) / (Sheet1!$B$35 - Sheet1!$B$34)</f>
        <v>0.8078373847</v>
      </c>
      <c r="E5" s="3">
        <f>(Sheet1!$B$35 - Sheet1!E5) / (Sheet1!$B$35 - Sheet1!$B$34)</f>
        <v>0.6647407496</v>
      </c>
      <c r="F5" s="3">
        <f>(Sheet1!$B$35 - Sheet1!F5) / (Sheet1!$B$35 - Sheet1!$B$34)</f>
        <v>0.8114297689</v>
      </c>
      <c r="G5" s="3">
        <f>(Sheet1!$B$35 - Sheet1!G5) / (Sheet1!$B$35 - Sheet1!$B$34)</f>
        <v>0.9287809843</v>
      </c>
      <c r="H5" s="3">
        <f>(Sheet1!$B$35 - Sheet1!H5) / (Sheet1!$B$35 - Sheet1!$B$34)</f>
        <v>0.7856843492</v>
      </c>
      <c r="I5" s="3">
        <f>(Sheet1!$B$35 - Sheet1!I5) / (Sheet1!$B$35 - Sheet1!$B$34)</f>
        <v>0.8275954975</v>
      </c>
      <c r="J5" s="3">
        <f>(Sheet1!$B$35 - Sheet1!J5) / (Sheet1!$B$35 - Sheet1!$B$34)</f>
        <v>0.8269967669</v>
      </c>
      <c r="K5" s="3">
        <f>(Sheet1!$B$35 - Sheet1!K5) / (Sheet1!$B$35 - Sheet1!$B$34)</f>
        <v>0.9491378278</v>
      </c>
      <c r="L5" s="3">
        <f>(Sheet1!$B$35 - Sheet1!L5) / (Sheet1!$B$35 - Sheet1!$B$34)</f>
        <v>0.9491378278</v>
      </c>
      <c r="M5" s="3">
        <f>(Sheet1!$B$35 - Sheet1!M5) / (Sheet1!$B$35 - Sheet1!$B$34)</f>
        <v>0.9892527841</v>
      </c>
      <c r="P5" s="3">
        <f>IFERROR(__xludf.DUMMYFUNCTION("""COMPUTED_VALUE"""),0.8114297688899529)</f>
        <v>0.8114297689</v>
      </c>
    </row>
    <row r="6">
      <c r="A6" s="1" t="s">
        <v>16</v>
      </c>
      <c r="B6" s="3">
        <f>(Sheet1!$B$35 - Sheet1!B6) / (Sheet1!$B$35 - Sheet1!$B$34)</f>
        <v>0.724015088</v>
      </c>
      <c r="C6" s="3">
        <f>(Sheet1!$B$35 - Sheet1!C6) / (Sheet1!$B$35 - Sheet1!$B$34)</f>
        <v>0.7192252425</v>
      </c>
      <c r="D6" s="3">
        <f>(Sheet1!$B$35 - Sheet1!D6) / (Sheet1!$B$35 - Sheet1!$B$34)</f>
        <v>0.6946772842</v>
      </c>
      <c r="E6" s="3">
        <f>(Sheet1!$B$35 - Sheet1!E6) / (Sheet1!$B$35 - Sheet1!$B$34)</f>
        <v>0.468357083</v>
      </c>
      <c r="F6" s="3">
        <f>(Sheet1!$B$35 - Sheet1!F6) / (Sheet1!$B$35 - Sheet1!$B$34)</f>
        <v>0.5659501856</v>
      </c>
      <c r="G6" s="3">
        <f>(Sheet1!$B$35 - Sheet1!G6) / (Sheet1!$B$35 - Sheet1!$B$34)</f>
        <v>0.8222069213</v>
      </c>
      <c r="H6" s="3">
        <f>(Sheet1!$B$35 - Sheet1!H6) / (Sheet1!$B$35 - Sheet1!$B$34)</f>
        <v>0.5378098431</v>
      </c>
      <c r="I6" s="3">
        <f>(Sheet1!$B$35 - Sheet1!I6) / (Sheet1!$B$35 - Sheet1!$B$34)</f>
        <v>0.7000658604</v>
      </c>
      <c r="J6" s="3">
        <f>(Sheet1!$B$35 - Sheet1!J6) / (Sheet1!$B$35 - Sheet1!$B$34)</f>
        <v>0.6677344031</v>
      </c>
      <c r="K6" s="3">
        <f>(Sheet1!$B$35 - Sheet1!K6) / (Sheet1!$B$35 - Sheet1!$B$34)</f>
        <v>0.7689198898</v>
      </c>
      <c r="L6" s="3">
        <f>(Sheet1!$B$35 - Sheet1!L6) / (Sheet1!$B$35 - Sheet1!$B$34)</f>
        <v>0.8126272303</v>
      </c>
      <c r="M6" s="3">
        <f>(Sheet1!$B$35 - Sheet1!M6) / (Sheet1!$B$35 - Sheet1!$B$34)</f>
        <v>0.9437492516</v>
      </c>
      <c r="P6" s="3">
        <f>IFERROR(__xludf.DUMMYFUNCTION("""COMPUTED_VALUE"""),0.787480541252544)</f>
        <v>0.7874805413</v>
      </c>
    </row>
    <row r="7">
      <c r="A7" s="1" t="s">
        <v>17</v>
      </c>
      <c r="B7" s="3">
        <f>(Sheet1!$B$35 - Sheet1!B7) / (Sheet1!$B$35 - Sheet1!$B$34)</f>
        <v>0.4084840139</v>
      </c>
      <c r="C7" s="3">
        <f>(Sheet1!$B$35 - Sheet1!C7) / (Sheet1!$B$35 - Sheet1!$B$34)</f>
        <v>0.5282301521</v>
      </c>
      <c r="D7" s="3">
        <f>(Sheet1!$B$35 - Sheet1!D7) / (Sheet1!$B$35 - Sheet1!$B$34)</f>
        <v>0.7605376602</v>
      </c>
      <c r="E7" s="3">
        <f>(Sheet1!$B$35 - Sheet1!E7) / (Sheet1!$B$35 - Sheet1!$B$34)</f>
        <v>0.8180158065</v>
      </c>
      <c r="F7" s="3">
        <f>(Sheet1!$B$35 - Sheet1!F7) / (Sheet1!$B$35 - Sheet1!$B$34)</f>
        <v>0.9030355646</v>
      </c>
      <c r="G7" s="3">
        <f>(Sheet1!$B$35 - Sheet1!G7) / (Sheet1!$B$35 - Sheet1!$B$34)</f>
        <v>0.9605137109</v>
      </c>
      <c r="H7" s="3">
        <f>(Sheet1!$B$35 - Sheet1!H7) / (Sheet1!$B$35 - Sheet1!$B$34)</f>
        <v>0.9203987546</v>
      </c>
      <c r="I7" s="3">
        <f>(Sheet1!$B$35 - Sheet1!I7) / (Sheet1!$B$35 - Sheet1!$B$34)</f>
        <v>0.8096335768</v>
      </c>
      <c r="J7" s="3">
        <f>(Sheet1!$B$35 - Sheet1!J7) / (Sheet1!$B$35 - Sheet1!$B$34)</f>
        <v>0.7982576937</v>
      </c>
      <c r="K7" s="3">
        <f>(Sheet1!$B$35 - Sheet1!K7) / (Sheet1!$B$35 - Sheet1!$B$34)</f>
        <v>0.8784876063</v>
      </c>
      <c r="L7" s="3">
        <f>(Sheet1!$B$35 - Sheet1!L7) / (Sheet1!$B$35 - Sheet1!$B$34)</f>
        <v>0.8707041073</v>
      </c>
      <c r="M7" s="3">
        <f>(Sheet1!$B$35 - Sheet1!M7) / (Sheet1!$B$35 - Sheet1!$B$34)</f>
        <v>0.9922464376</v>
      </c>
      <c r="P7" s="3">
        <f>IFERROR(__xludf.DUMMYFUNCTION("""COMPUTED_VALUE"""),0.9479403664231827)</f>
        <v>0.9479403664</v>
      </c>
    </row>
    <row r="8">
      <c r="A8" s="1" t="s">
        <v>18</v>
      </c>
      <c r="B8" s="3">
        <f>(Sheet1!$B$35 - Sheet1!B8) / (Sheet1!$B$35 - Sheet1!$B$34)</f>
        <v>0.6102562567</v>
      </c>
      <c r="C8" s="3">
        <f>(Sheet1!$B$35 - Sheet1!C8) / (Sheet1!$B$35 - Sheet1!$B$34)</f>
        <v>0.6491737516</v>
      </c>
      <c r="D8" s="3">
        <f>(Sheet1!$B$35 - Sheet1!D8) / (Sheet1!$B$35 - Sheet1!$B$34)</f>
        <v>0.7880792719</v>
      </c>
      <c r="E8" s="3">
        <f>(Sheet1!$B$35 - Sheet1!E8) / (Sheet1!$B$35 - Sheet1!$B$34)</f>
        <v>0.6886899772</v>
      </c>
      <c r="F8" s="3">
        <f>(Sheet1!$B$35 - Sheet1!F8) / (Sheet1!$B$35 - Sheet1!$B$34)</f>
        <v>0.7796970423</v>
      </c>
      <c r="G8" s="3">
        <f>(Sheet1!$B$35 - Sheet1!G8) / (Sheet1!$B$35 - Sheet1!$B$34)</f>
        <v>0.8814812597</v>
      </c>
      <c r="H8" s="3">
        <f>(Sheet1!$B$35 - Sheet1!H8) / (Sheet1!$B$35 - Sheet1!$B$34)</f>
        <v>0.9569213268</v>
      </c>
      <c r="I8" s="3">
        <f>(Sheet1!$B$35 - Sheet1!I8) / (Sheet1!$B$35 - Sheet1!$B$34)</f>
        <v>0.9311759071</v>
      </c>
      <c r="J8" s="3">
        <f>(Sheet1!$B$35 - Sheet1!J8) / (Sheet1!$B$35 - Sheet1!$B$34)</f>
        <v>0.9443479823</v>
      </c>
      <c r="K8" s="3">
        <f>(Sheet1!$B$35 - Sheet1!K8) / (Sheet1!$B$35 - Sheet1!$B$34)</f>
        <v>0.9425517902</v>
      </c>
      <c r="L8" s="3">
        <f>(Sheet1!$B$35 - Sheet1!L8) / (Sheet1!$B$35 - Sheet1!$B$34)</f>
        <v>0.8311878817</v>
      </c>
      <c r="M8" s="3">
        <f>(Sheet1!$B$35 - Sheet1!M8) / (Sheet1!$B$35 - Sheet1!$B$34)</f>
        <v>0.9425517902</v>
      </c>
      <c r="P8" s="3">
        <f>IFERROR(__xludf.DUMMYFUNCTION("""COMPUTED_VALUE"""),0.8772901448928269)</f>
        <v>0.8772901449</v>
      </c>
    </row>
    <row r="9">
      <c r="A9" s="1" t="s">
        <v>19</v>
      </c>
      <c r="B9" s="3">
        <f>(Sheet1!$B$35 - Sheet1!B9) / (Sheet1!$B$35 - Sheet1!$B$34)</f>
        <v>0.6970722069</v>
      </c>
      <c r="C9" s="3">
        <f>(Sheet1!$B$35 - Sheet1!C9) / (Sheet1!$B$35 - Sheet1!$B$34)</f>
        <v>0.7006645911</v>
      </c>
      <c r="D9" s="3">
        <f>(Sheet1!$B$35 - Sheet1!D9) / (Sheet1!$B$35 - Sheet1!$B$34)</f>
        <v>0.7982576937</v>
      </c>
      <c r="E9" s="3">
        <f>(Sheet1!$B$35 - Sheet1!E9) / (Sheet1!$B$35 - Sheet1!$B$34)</f>
        <v>0.7629325829</v>
      </c>
      <c r="F9" s="3">
        <f>(Sheet1!$B$35 - Sheet1!F9) / (Sheet1!$B$35 - Sheet1!$B$34)</f>
        <v>0.8012513471</v>
      </c>
      <c r="G9" s="3">
        <f>(Sheet1!$B$35 - Sheet1!G9) / (Sheet1!$B$35 - Sheet1!$B$34)</f>
        <v>0.9299784457</v>
      </c>
      <c r="H9" s="3">
        <f>(Sheet1!$B$35 - Sheet1!H9) / (Sheet1!$B$35 - Sheet1!$B$34)</f>
        <v>0.8551371093</v>
      </c>
      <c r="I9" s="3">
        <f>(Sheet1!$B$35 - Sheet1!I9) / (Sheet1!$B$35 - Sheet1!$B$34)</f>
        <v>0.8467548797</v>
      </c>
      <c r="J9" s="3">
        <f>(Sheet1!$B$35 - Sheet1!J9) / (Sheet1!$B$35 - Sheet1!$B$34)</f>
        <v>0.8419650341</v>
      </c>
      <c r="K9" s="3">
        <f>(Sheet1!$B$35 - Sheet1!K9) / (Sheet1!$B$35 - Sheet1!$B$34)</f>
        <v>0.8174170758</v>
      </c>
      <c r="L9" s="3">
        <f>(Sheet1!$B$35 - Sheet1!L9) / (Sheet1!$B$35 - Sheet1!$B$34)</f>
        <v>0.7479643157</v>
      </c>
      <c r="M9" s="3">
        <f>(Sheet1!$B$35 - Sheet1!M9) / (Sheet1!$B$35 - Sheet1!$B$34)</f>
        <v>0.747365585</v>
      </c>
      <c r="P9" s="3">
        <f>IFERROR(__xludf.DUMMYFUNCTION("""COMPUTED_VALUE"""),0.8593282241647703)</f>
        <v>0.8593282242</v>
      </c>
    </row>
    <row r="10">
      <c r="A10" s="1" t="s">
        <v>20</v>
      </c>
      <c r="B10" s="3">
        <f>(Sheet1!$B$35 - Sheet1!B10) / (Sheet1!$B$35 - Sheet1!$B$34)</f>
        <v>0.9012393725</v>
      </c>
      <c r="C10" s="3">
        <f>(Sheet1!$B$35 - Sheet1!C10) / (Sheet1!$B$35 - Sheet1!$B$34)</f>
        <v>0.9186025626</v>
      </c>
      <c r="D10" s="3">
        <f>(Sheet1!$B$35 - Sheet1!D10) / (Sheet1!$B$35 - Sheet1!$B$34)</f>
        <v>0.8760926835</v>
      </c>
      <c r="E10" s="3">
        <f>(Sheet1!$B$35 - Sheet1!E10) / (Sheet1!$B$35 - Sheet1!$B$34)</f>
        <v>0.8647168004</v>
      </c>
      <c r="F10" s="3">
        <f>(Sheet1!$B$35 - Sheet1!F10) / (Sheet1!$B$35 - Sheet1!$B$34)</f>
        <v>0.8263980362</v>
      </c>
      <c r="G10" s="3">
        <f>(Sheet1!$B$35 - Sheet1!G10) / (Sheet1!$B$35 - Sheet1!$B$34)</f>
        <v>0.9030355646</v>
      </c>
      <c r="H10" s="3">
        <f>(Sheet1!$B$35 - Sheet1!H10) / (Sheet1!$B$35 - Sheet1!$B$34)</f>
        <v>0.815022153</v>
      </c>
      <c r="I10" s="3">
        <f>(Sheet1!$B$35 - Sheet1!I10) / (Sheet1!$B$35 - Sheet1!$B$34)</f>
        <v>0.7916716561</v>
      </c>
      <c r="J10" s="3">
        <f>(Sheet1!$B$35 - Sheet1!J10) / (Sheet1!$B$35 - Sheet1!$B$34)</f>
        <v>0.8210094599</v>
      </c>
      <c r="K10" s="3">
        <f>(Sheet1!$B$35 - Sheet1!K10) / (Sheet1!$B$35 - Sheet1!$B$34)</f>
        <v>0.8449586876</v>
      </c>
      <c r="L10" s="3">
        <f>(Sheet1!$B$35 - Sheet1!L10) / (Sheet1!$B$35 - Sheet1!$B$34)</f>
        <v>0.8210094599</v>
      </c>
      <c r="M10" s="3">
        <f>(Sheet1!$B$35 - Sheet1!M10) / (Sheet1!$B$35 - Sheet1!$B$34)</f>
        <v>0.8210094599</v>
      </c>
      <c r="P10" s="3">
        <f>IFERROR(__xludf.DUMMYFUNCTION("""COMPUTED_VALUE"""),0.8275954975452038)</f>
        <v>0.8275954975</v>
      </c>
    </row>
    <row r="11">
      <c r="A11" s="1" t="s">
        <v>21</v>
      </c>
      <c r="B11" s="3">
        <f>(Sheet1!$B$35 - Sheet1!B11) / (Sheet1!$B$35 - Sheet1!$B$34)</f>
        <v>0.4246497425</v>
      </c>
      <c r="C11" s="3">
        <f>(Sheet1!$B$35 - Sheet1!C11) / (Sheet1!$B$35 - Sheet1!$B$34)</f>
        <v>0.445006586</v>
      </c>
      <c r="D11" s="3">
        <f>(Sheet1!$B$35 - Sheet1!D11) / (Sheet1!$B$35 - Sheet1!$B$34)</f>
        <v>0.3528020596</v>
      </c>
      <c r="E11" s="3">
        <f>(Sheet1!$B$35 - Sheet1!E11) / (Sheet1!$B$35 - Sheet1!$B$34)</f>
        <v>0.4809304275</v>
      </c>
      <c r="F11" s="3">
        <f>(Sheet1!$B$35 - Sheet1!F11) / (Sheet1!$B$35 - Sheet1!$B$34)</f>
        <v>0.3510058676</v>
      </c>
      <c r="G11" s="3">
        <f>(Sheet1!$B$35 - Sheet1!G11) / (Sheet1!$B$35 - Sheet1!$B$34)</f>
        <v>0</v>
      </c>
      <c r="H11" s="3">
        <f>(Sheet1!$B$35 - Sheet1!H11) / (Sheet1!$B$35 - Sheet1!$B$34)</f>
        <v>0</v>
      </c>
      <c r="I11" s="3">
        <f>(Sheet1!$B$35 - Sheet1!I11) / (Sheet1!$B$35 - Sheet1!$B$34)</f>
        <v>0</v>
      </c>
      <c r="J11" s="3">
        <f>(Sheet1!$B$35 - Sheet1!J11) / (Sheet1!$B$35 - Sheet1!$B$34)</f>
        <v>0</v>
      </c>
      <c r="K11" s="3">
        <f>(Sheet1!$B$35 - Sheet1!K11) / (Sheet1!$B$35 - Sheet1!$B$34)</f>
        <v>0</v>
      </c>
      <c r="L11" s="3">
        <f>(Sheet1!$B$35 - Sheet1!L11) / (Sheet1!$B$35 - Sheet1!$B$34)</f>
        <v>0</v>
      </c>
      <c r="M11" s="3">
        <f>(Sheet1!$B$35 - Sheet1!M11) / (Sheet1!$B$35 - Sheet1!$B$34)</f>
        <v>0</v>
      </c>
      <c r="P11" s="3">
        <f>IFERROR(__xludf.DUMMYFUNCTION("""COMPUTED_VALUE"""),0.8407675727457785)</f>
        <v>0.8407675727</v>
      </c>
    </row>
    <row r="12">
      <c r="A12" s="1" t="s">
        <v>22</v>
      </c>
      <c r="B12" s="3">
        <f>(Sheet1!$B$35 - Sheet1!B12) / (Sheet1!$B$35 - Sheet1!$B$34)</f>
        <v>0.8826787211</v>
      </c>
      <c r="C12" s="3">
        <f>(Sheet1!$B$35 - Sheet1!C12) / (Sheet1!$B$35 - Sheet1!$B$34)</f>
        <v>0.8862711053</v>
      </c>
      <c r="D12" s="3">
        <f>(Sheet1!$B$35 - Sheet1!D12) / (Sheet1!$B$35 - Sheet1!$B$34)</f>
        <v>0.8946533349</v>
      </c>
      <c r="E12" s="3">
        <f>(Sheet1!$B$35 - Sheet1!E12) / (Sheet1!$B$35 - Sheet1!$B$34)</f>
        <v>0.8982457191</v>
      </c>
      <c r="F12" s="3">
        <f>(Sheet1!$B$35 - Sheet1!F12) / (Sheet1!$B$35 - Sheet1!$B$34)</f>
        <v>0.9126152557</v>
      </c>
      <c r="G12" s="3">
        <f>(Sheet1!$B$35 - Sheet1!G12) / (Sheet1!$B$35 - Sheet1!$B$34)</f>
        <v>0.9635073644</v>
      </c>
      <c r="H12" s="3">
        <f>(Sheet1!$B$35 - Sheet1!H12) / (Sheet1!$B$35 - Sheet1!$B$34)</f>
        <v>0.9299784457</v>
      </c>
      <c r="I12" s="3">
        <f>(Sheet1!$B$35 - Sheet1!I12) / (Sheet1!$B$35 - Sheet1!$B$34)</f>
        <v>0.9688959406</v>
      </c>
      <c r="J12" s="3">
        <f>(Sheet1!$B$35 - Sheet1!J12) / (Sheet1!$B$35 - Sheet1!$B$34)</f>
        <v>0.9730870554</v>
      </c>
      <c r="K12" s="3">
        <f>(Sheet1!$B$35 - Sheet1!K12) / (Sheet1!$B$35 - Sheet1!$B$34)</f>
        <v>0.977876901</v>
      </c>
      <c r="L12" s="3">
        <f>(Sheet1!$B$35 - Sheet1!L12) / (Sheet1!$B$35 - Sheet1!$B$34)</f>
        <v>0.9389594061</v>
      </c>
      <c r="M12" s="3">
        <f>(Sheet1!$B$35 - Sheet1!M12) / (Sheet1!$B$35 - Sheet1!$B$34)</f>
        <v>0.9557238654</v>
      </c>
      <c r="P12" s="3">
        <f>IFERROR(__xludf.DUMMYFUNCTION("""COMPUTED_VALUE"""),0.7138366662675122)</f>
        <v>0.7138366663</v>
      </c>
    </row>
    <row r="13">
      <c r="A13" s="1" t="s">
        <v>23</v>
      </c>
      <c r="B13" s="3">
        <f>(Sheet1!$B$35 - Sheet1!B13) / (Sheet1!$B$35 - Sheet1!$B$34)</f>
        <v>0.6611483655</v>
      </c>
      <c r="C13" s="3">
        <f>(Sheet1!$B$35 - Sheet1!C13) / (Sheet1!$B$35 - Sheet1!$B$34)</f>
        <v>0.6461800982</v>
      </c>
      <c r="D13" s="3">
        <f>(Sheet1!$B$35 - Sheet1!D13) / (Sheet1!$B$35 - Sheet1!$B$34)</f>
        <v>0.5994791043</v>
      </c>
      <c r="E13" s="3">
        <f>(Sheet1!$B$35 - Sheet1!E13) / (Sheet1!$B$35 - Sheet1!$B$34)</f>
        <v>0.4324332415</v>
      </c>
      <c r="F13" s="3">
        <f>(Sheet1!$B$35 - Sheet1!F13) / (Sheet1!$B$35 - Sheet1!$B$34)</f>
        <v>0.6126511795</v>
      </c>
      <c r="G13" s="3">
        <f>(Sheet1!$B$35 - Sheet1!G13) / (Sheet1!$B$35 - Sheet1!$B$34)</f>
        <v>0.8198119986</v>
      </c>
      <c r="H13" s="3">
        <f>(Sheet1!$B$35 - Sheet1!H13) / (Sheet1!$B$35 - Sheet1!$B$34)</f>
        <v>0.7713148126</v>
      </c>
      <c r="I13" s="3">
        <f>(Sheet1!$B$35 - Sheet1!I13) / (Sheet1!$B$35 - Sheet1!$B$34)</f>
        <v>0.8407675727</v>
      </c>
      <c r="J13" s="3">
        <f>(Sheet1!$B$35 - Sheet1!J13) / (Sheet1!$B$35 - Sheet1!$B$34)</f>
        <v>0.8653155311</v>
      </c>
      <c r="K13" s="3">
        <f>(Sheet1!$B$35 - Sheet1!K13) / (Sheet1!$B$35 - Sheet1!$B$34)</f>
        <v>0.7982576937</v>
      </c>
      <c r="L13" s="3">
        <f>(Sheet1!$B$35 - Sheet1!L13) / (Sheet1!$B$35 - Sheet1!$B$34)</f>
        <v>0.7689198898</v>
      </c>
      <c r="M13" s="3">
        <f>(Sheet1!$B$35 - Sheet1!M13) / (Sheet1!$B$35 - Sheet1!$B$34)</f>
        <v>0.8162196144</v>
      </c>
      <c r="P13" s="3">
        <f>IFERROR(__xludf.DUMMYFUNCTION("""COMPUTED_VALUE"""),0.8030475392168598)</f>
        <v>0.8030475392</v>
      </c>
    </row>
    <row r="14">
      <c r="A14" s="1" t="s">
        <v>24</v>
      </c>
      <c r="B14" s="3">
        <f>(Sheet1!$B$35 - Sheet1!B14) / (Sheet1!$B$35 - Sheet1!$B$34)</f>
        <v>0.6300143695</v>
      </c>
      <c r="C14" s="3">
        <f>(Sheet1!$B$35 - Sheet1!C14) / (Sheet1!$B$35 - Sheet1!$B$34)</f>
        <v>0.6383965992</v>
      </c>
      <c r="D14" s="3">
        <f>(Sheet1!$B$35 - Sheet1!D14) / (Sheet1!$B$35 - Sheet1!$B$34)</f>
        <v>0.6557597892</v>
      </c>
      <c r="E14" s="3">
        <f>(Sheet1!$B$35 - Sheet1!E14) / (Sheet1!$B$35 - Sheet1!$B$34)</f>
        <v>0.7719135433</v>
      </c>
      <c r="F14" s="3">
        <f>(Sheet1!$B$35 - Sheet1!F14) / (Sheet1!$B$35 - Sheet1!$B$34)</f>
        <v>0.8012513471</v>
      </c>
      <c r="G14" s="3">
        <f>(Sheet1!$B$35 - Sheet1!G14) / (Sheet1!$B$35 - Sheet1!$B$34)</f>
        <v>0.8742964914</v>
      </c>
      <c r="H14" s="3">
        <f>(Sheet1!$B$35 - Sheet1!H14) / (Sheet1!$B$35 - Sheet1!$B$34)</f>
        <v>0.7000658604</v>
      </c>
      <c r="I14" s="3">
        <f>(Sheet1!$B$35 - Sheet1!I14) / (Sheet1!$B$35 - Sheet1!$B$34)</f>
        <v>0.7120404742</v>
      </c>
      <c r="J14" s="3">
        <f>(Sheet1!$B$35 - Sheet1!J14) / (Sheet1!$B$35 - Sheet1!$B$34)</f>
        <v>0.6288169082</v>
      </c>
      <c r="K14" s="3">
        <f>(Sheet1!$B$35 - Sheet1!K14) / (Sheet1!$B$35 - Sheet1!$B$34)</f>
        <v>0.6976709376</v>
      </c>
      <c r="L14" s="3">
        <f>(Sheet1!$B$35 - Sheet1!L14) / (Sheet1!$B$35 - Sheet1!$B$34)</f>
        <v>0.574931146</v>
      </c>
      <c r="M14" s="3">
        <f>(Sheet1!$B$35 - Sheet1!M14) / (Sheet1!$B$35 - Sheet1!$B$34)</f>
        <v>0.4480002395</v>
      </c>
      <c r="P14" s="3">
        <f>IFERROR(__xludf.DUMMYFUNCTION("""COMPUTED_VALUE"""),0.3761525565800487)</f>
        <v>0.3761525566</v>
      </c>
    </row>
    <row r="15">
      <c r="A15" s="1" t="s">
        <v>25</v>
      </c>
      <c r="B15" s="3">
        <f>(Sheet1!$B$35 - Sheet1!B15) / (Sheet1!$B$35 - Sheet1!$B$34)</f>
        <v>0.904233026</v>
      </c>
      <c r="C15" s="3">
        <f>(Sheet1!$B$35 - Sheet1!C15) / (Sheet1!$B$35 - Sheet1!$B$34)</f>
        <v>0.9048317567</v>
      </c>
      <c r="D15" s="3">
        <f>(Sheet1!$B$35 - Sheet1!D15) / (Sheet1!$B$35 - Sheet1!$B$34)</f>
        <v>0.8838761825</v>
      </c>
      <c r="E15" s="3">
        <f>(Sheet1!$B$35 - Sheet1!E15) / (Sheet1!$B$35 - Sheet1!$B$34)</f>
        <v>0.8527421866</v>
      </c>
      <c r="F15" s="3">
        <f>(Sheet1!$B$35 - Sheet1!F15) / (Sheet1!$B$35 - Sheet1!$B$34)</f>
        <v>0.8216081906</v>
      </c>
      <c r="G15" s="3">
        <f>(Sheet1!$B$35 - Sheet1!G15) / (Sheet1!$B$35 - Sheet1!$B$34)</f>
        <v>0.8455574183</v>
      </c>
      <c r="H15" s="3">
        <f>(Sheet1!$B$35 - Sheet1!H15) / (Sheet1!$B$35 - Sheet1!$B$34)</f>
        <v>0.8042450006</v>
      </c>
      <c r="I15" s="3">
        <f>(Sheet1!$B$35 - Sheet1!I15) / (Sheet1!$B$35 - Sheet1!$B$34)</f>
        <v>0.8311878817</v>
      </c>
      <c r="J15" s="3">
        <f>(Sheet1!$B$35 - Sheet1!J15) / (Sheet1!$B$35 - Sheet1!$B$34)</f>
        <v>0.8186145372</v>
      </c>
      <c r="K15" s="3">
        <f>(Sheet1!$B$35 - Sheet1!K15) / (Sheet1!$B$35 - Sheet1!$B$34)</f>
        <v>0.8443599569</v>
      </c>
      <c r="L15" s="3">
        <f>(Sheet1!$B$35 - Sheet1!L15) / (Sheet1!$B$35 - Sheet1!$B$34)</f>
        <v>0.7940665789</v>
      </c>
      <c r="M15" s="3">
        <f>(Sheet1!$B$35 - Sheet1!M15) / (Sheet1!$B$35 - Sheet1!$B$34)</f>
        <v>0.8802837983</v>
      </c>
      <c r="P15" s="3">
        <f>IFERROR(__xludf.DUMMYFUNCTION("""COMPUTED_VALUE"""),0.19533588791761264)</f>
        <v>0.1953358879</v>
      </c>
    </row>
    <row r="16">
      <c r="A16" s="1" t="s">
        <v>26</v>
      </c>
      <c r="B16" s="3">
        <f>(Sheet1!$B$35 - Sheet1!B16) / (Sheet1!$B$35 - Sheet1!$B$34)</f>
        <v>0.7737097354</v>
      </c>
      <c r="C16" s="3">
        <f>(Sheet1!$B$35 - Sheet1!C16) / (Sheet1!$B$35 - Sheet1!$B$34)</f>
        <v>0.70844809</v>
      </c>
      <c r="D16" s="3">
        <f>(Sheet1!$B$35 - Sheet1!D16) / (Sheet1!$B$35 - Sheet1!$B$34)</f>
        <v>0.8641180697</v>
      </c>
      <c r="E16" s="3">
        <f>(Sheet1!$B$35 - Sheet1!E16) / (Sheet1!$B$35 - Sheet1!$B$34)</f>
        <v>0.8880672973</v>
      </c>
      <c r="F16" s="3">
        <f>(Sheet1!$B$35 - Sheet1!F16) / (Sheet1!$B$35 - Sheet1!$B$34)</f>
        <v>0.9108190636</v>
      </c>
      <c r="G16" s="3">
        <f>(Sheet1!$B$35 - Sheet1!G16) / (Sheet1!$B$35 - Sheet1!$B$34)</f>
        <v>0.9665010178</v>
      </c>
      <c r="H16" s="3">
        <f>(Sheet1!$B$35 - Sheet1!H16) / (Sheet1!$B$35 - Sheet1!$B$34)</f>
        <v>0.8814812597</v>
      </c>
      <c r="I16" s="3">
        <f>(Sheet1!$B$35 - Sheet1!I16) / (Sheet1!$B$35 - Sheet1!$B$34)</f>
        <v>0.8701053766</v>
      </c>
      <c r="J16" s="3">
        <f>(Sheet1!$B$35 - Sheet1!J16) / (Sheet1!$B$35 - Sheet1!$B$34)</f>
        <v>0.8922584122</v>
      </c>
      <c r="K16" s="3">
        <f>(Sheet1!$B$35 - Sheet1!K16) / (Sheet1!$B$35 - Sheet1!$B$34)</f>
        <v>0.9150101784</v>
      </c>
      <c r="L16" s="3">
        <f>(Sheet1!$B$35 - Sheet1!L16) / (Sheet1!$B$35 - Sheet1!$B$34)</f>
        <v>0.8341815351</v>
      </c>
      <c r="M16" s="3">
        <f>(Sheet1!$B$35 - Sheet1!M16) / (Sheet1!$B$35 - Sheet1!$B$34)</f>
        <v>0.880882529</v>
      </c>
      <c r="P16" s="3">
        <f>IFERROR(__xludf.DUMMYFUNCTION("""COMPUTED_VALUE"""),0.0767872111124394)</f>
        <v>0.07678721111</v>
      </c>
    </row>
    <row r="17">
      <c r="A17" s="1" t="s">
        <v>27</v>
      </c>
      <c r="B17" s="3">
        <f>(Sheet1!$B$35 - Sheet1!B17) / (Sheet1!$B$35 - Sheet1!$B$34)</f>
        <v>0.8371751886</v>
      </c>
      <c r="C17" s="3">
        <f>(Sheet1!$B$35 - Sheet1!C17) / (Sheet1!$B$35 - Sheet1!$B$34)</f>
        <v>0.8742964914</v>
      </c>
      <c r="D17" s="3">
        <f>(Sheet1!$B$35 - Sheet1!D17) / (Sheet1!$B$35 - Sheet1!$B$34)</f>
        <v>0.9311759071</v>
      </c>
      <c r="E17" s="3">
        <f>(Sheet1!$B$35 - Sheet1!E17) / (Sheet1!$B$35 - Sheet1!$B$34)</f>
        <v>0.954526404</v>
      </c>
      <c r="F17" s="3">
        <f>(Sheet1!$B$35 - Sheet1!F17) / (Sheet1!$B$35 - Sheet1!$B$34)</f>
        <v>0.9413543288</v>
      </c>
      <c r="G17" s="3">
        <f>(Sheet1!$B$35 - Sheet1!G17) / (Sheet1!$B$35 - Sheet1!$B$34)</f>
        <v>1</v>
      </c>
      <c r="H17" s="3">
        <f>(Sheet1!$B$35 - Sheet1!H17) / (Sheet1!$B$35 - Sheet1!$B$34)</f>
        <v>0.9587175189</v>
      </c>
      <c r="I17" s="3">
        <f>(Sheet1!$B$35 - Sheet1!I17) / (Sheet1!$B$35 - Sheet1!$B$34)</f>
        <v>0.937163214</v>
      </c>
      <c r="J17" s="3">
        <f>(Sheet1!$B$35 - Sheet1!J17) / (Sheet1!$B$35 - Sheet1!$B$34)</f>
        <v>0.9281822536</v>
      </c>
      <c r="K17" s="3">
        <f>(Sheet1!$B$35 - Sheet1!K17) / (Sheet1!$B$35 - Sheet1!$B$34)</f>
        <v>0.9203987546</v>
      </c>
      <c r="L17" s="3">
        <f>(Sheet1!$B$35 - Sheet1!L17) / (Sheet1!$B$35 - Sheet1!$B$34)</f>
        <v>0.9054304874</v>
      </c>
      <c r="M17" s="3">
        <f>(Sheet1!$B$35 - Sheet1!M17) / (Sheet1!$B$35 - Sheet1!$B$34)</f>
        <v>0.9192012933</v>
      </c>
      <c r="P17" s="3">
        <f>IFERROR(__xludf.DUMMYFUNCTION("""COMPUTED_VALUE"""),0.0)</f>
        <v>0</v>
      </c>
    </row>
    <row r="18">
      <c r="A18" s="1" t="s">
        <v>28</v>
      </c>
      <c r="B18" s="3">
        <f>(Sheet1!$B$35 - Sheet1!B18) / (Sheet1!$B$35 - Sheet1!$B$34)</f>
        <v>0.8431624955</v>
      </c>
      <c r="C18" s="3">
        <f>(Sheet1!$B$35 - Sheet1!C18) / (Sheet1!$B$35 - Sheet1!$B$34)</f>
        <v>0.7910729254</v>
      </c>
      <c r="D18" s="3">
        <f>(Sheet1!$B$35 - Sheet1!D18) / (Sheet1!$B$35 - Sheet1!$B$34)</f>
        <v>0.8257993055</v>
      </c>
      <c r="E18" s="3">
        <f>(Sheet1!$B$35 - Sheet1!E18) / (Sheet1!$B$35 - Sheet1!$B$34)</f>
        <v>0.8210094599</v>
      </c>
      <c r="F18" s="3">
        <f>(Sheet1!$B$35 - Sheet1!F18) / (Sheet1!$B$35 - Sheet1!$B$34)</f>
        <v>0.8317866124</v>
      </c>
      <c r="G18" s="3">
        <f>(Sheet1!$B$35 - Sheet1!G18) / (Sheet1!$B$35 - Sheet1!$B$34)</f>
        <v>0.9114177943</v>
      </c>
      <c r="H18" s="3">
        <f>(Sheet1!$B$35 - Sheet1!H18) / (Sheet1!$B$35 - Sheet1!$B$34)</f>
        <v>0.8120284996</v>
      </c>
      <c r="I18" s="3">
        <f>(Sheet1!$B$35 - Sheet1!I18) / (Sheet1!$B$35 - Sheet1!$B$34)</f>
        <v>0.6916836307</v>
      </c>
      <c r="J18" s="3">
        <f>(Sheet1!$B$35 - Sheet1!J18) / (Sheet1!$B$35 - Sheet1!$B$34)</f>
        <v>0.7743084661</v>
      </c>
      <c r="K18" s="3">
        <f>(Sheet1!$B$35 - Sheet1!K18) / (Sheet1!$B$35 - Sheet1!$B$34)</f>
        <v>0.8485510717</v>
      </c>
      <c r="L18" s="3">
        <f>(Sheet1!$B$35 - Sheet1!L18) / (Sheet1!$B$35 - Sheet1!$B$34)</f>
        <v>0.7934678482</v>
      </c>
      <c r="M18" s="3">
        <f>(Sheet1!$B$35 - Sheet1!M18) / (Sheet1!$B$35 - Sheet1!$B$34)</f>
        <v>0.9024368339</v>
      </c>
      <c r="P18" s="3">
        <f>IFERROR(__xludf.DUMMYFUNCTION("""COMPUTED_VALUE"""),0.0)</f>
        <v>0</v>
      </c>
    </row>
    <row r="19">
      <c r="A19" s="1" t="s">
        <v>29</v>
      </c>
      <c r="B19" s="3">
        <f>(Sheet1!$B$35 - Sheet1!B19) / (Sheet1!$B$35 - Sheet1!$B$34)</f>
        <v>0.9557238654</v>
      </c>
      <c r="C19" s="3">
        <f>(Sheet1!$B$35 - Sheet1!C19) / (Sheet1!$B$35 - Sheet1!$B$34)</f>
        <v>0.946742905</v>
      </c>
      <c r="D19" s="3">
        <f>(Sheet1!$B$35 - Sheet1!D19) / (Sheet1!$B$35 - Sheet1!$B$34)</f>
        <v>0.9988324752</v>
      </c>
      <c r="E19" s="3">
        <f>(Sheet1!$B$35 - Sheet1!E19) / (Sheet1!$B$35 - Sheet1!$B$34)</f>
        <v>1</v>
      </c>
      <c r="F19" s="3">
        <f>(Sheet1!$B$35 - Sheet1!F19) / (Sheet1!$B$35 - Sheet1!$B$34)</f>
        <v>1</v>
      </c>
      <c r="G19" s="3">
        <f>(Sheet1!$B$35 - Sheet1!G19) / (Sheet1!$B$35 - Sheet1!$B$34)</f>
        <v>1</v>
      </c>
      <c r="H19" s="3">
        <f>(Sheet1!$B$35 - Sheet1!H19) / (Sheet1!$B$35 - Sheet1!$B$34)</f>
        <v>0.9964375524</v>
      </c>
      <c r="I19" s="3">
        <f>(Sheet1!$B$35 - Sheet1!I19) / (Sheet1!$B$35 - Sheet1!$B$34)</f>
        <v>0.987456592</v>
      </c>
      <c r="J19" s="3">
        <f>(Sheet1!$B$35 - Sheet1!J19) / (Sheet1!$B$35 - Sheet1!$B$34)</f>
        <v>0.9844629386</v>
      </c>
      <c r="K19" s="3">
        <f>(Sheet1!$B$35 - Sheet1!K19) / (Sheet1!$B$35 - Sheet1!$B$34)</f>
        <v>0.9988324752</v>
      </c>
      <c r="L19" s="3">
        <f>(Sheet1!$B$35 - Sheet1!L19) / (Sheet1!$B$35 - Sheet1!$B$34)</f>
        <v>0.979673093</v>
      </c>
      <c r="M19" s="3">
        <f>(Sheet1!$B$35 - Sheet1!M19) / (Sheet1!$B$35 - Sheet1!$B$34)</f>
        <v>1</v>
      </c>
      <c r="P19" s="3">
        <f>IFERROR(__xludf.DUMMYFUNCTION("""COMPUTED_VALUE"""),0.12348820500538643)</f>
        <v>0.123488205</v>
      </c>
    </row>
    <row r="20">
      <c r="A20" s="1" t="s">
        <v>30</v>
      </c>
      <c r="B20" s="3">
        <f>(Sheet1!$B$35 - Sheet1!B20) / (Sheet1!$B$35 - Sheet1!$B$34)</f>
        <v>0.8934558735</v>
      </c>
      <c r="C20" s="3">
        <f>(Sheet1!$B$35 - Sheet1!C20) / (Sheet1!$B$35 - Sheet1!$B$34)</f>
        <v>0.8910609508</v>
      </c>
      <c r="D20" s="3">
        <f>(Sheet1!$B$35 - Sheet1!D20) / (Sheet1!$B$35 - Sheet1!$B$34)</f>
        <v>0.954526404</v>
      </c>
      <c r="E20" s="3">
        <f>(Sheet1!$B$35 - Sheet1!E20) / (Sheet1!$B$35 - Sheet1!$B$34)</f>
        <v>0.9497365585</v>
      </c>
      <c r="F20" s="3">
        <f>(Sheet1!$B$35 - Sheet1!F20) / (Sheet1!$B$35 - Sheet1!$B$34)</f>
        <v>0.9718895941</v>
      </c>
      <c r="G20" s="3">
        <f>(Sheet1!$B$35 - Sheet1!G20) / (Sheet1!$B$35 - Sheet1!$B$34)</f>
        <v>0.9910489762</v>
      </c>
      <c r="H20" s="3">
        <f>(Sheet1!$B$35 - Sheet1!H20) / (Sheet1!$B$35 - Sheet1!$B$34)</f>
        <v>0.9635073644</v>
      </c>
      <c r="I20" s="3">
        <f>(Sheet1!$B$35 - Sheet1!I20) / (Sheet1!$B$35 - Sheet1!$B$34)</f>
        <v>0.9569213268</v>
      </c>
      <c r="J20" s="3">
        <f>(Sheet1!$B$35 - Sheet1!J20) / (Sheet1!$B$35 - Sheet1!$B$34)</f>
        <v>0.9443479823</v>
      </c>
      <c r="K20" s="3">
        <f>(Sheet1!$B$35 - Sheet1!K20) / (Sheet1!$B$35 - Sheet1!$B$34)</f>
        <v>0.9688959406</v>
      </c>
      <c r="L20" s="3">
        <f>(Sheet1!$B$35 - Sheet1!L20) / (Sheet1!$B$35 - Sheet1!$B$34)</f>
        <v>0.9497365585</v>
      </c>
      <c r="M20" s="3">
        <f>(Sheet1!$B$35 - Sheet1!M20) / (Sheet1!$B$35 - Sheet1!$B$34)</f>
        <v>0.9736857861</v>
      </c>
      <c r="P20" s="3">
        <f>IFERROR(__xludf.DUMMYFUNCTION("""COMPUTED_VALUE"""),0.16360316129804608)</f>
        <v>0.1636031613</v>
      </c>
    </row>
    <row r="21">
      <c r="A21" s="1" t="s">
        <v>31</v>
      </c>
      <c r="B21" s="3">
        <f>(Sheet1!$B$35 - Sheet1!B21) / (Sheet1!$B$35 - Sheet1!$B$34)</f>
        <v>0.9455454437</v>
      </c>
      <c r="C21" s="3">
        <f>(Sheet1!$B$35 - Sheet1!C21) / (Sheet1!$B$35 - Sheet1!$B$34)</f>
        <v>0.9162076398</v>
      </c>
      <c r="D21" s="3">
        <f>(Sheet1!$B$35 - Sheet1!D21) / (Sheet1!$B$35 - Sheet1!$B$34)</f>
        <v>0.9365644833</v>
      </c>
      <c r="E21" s="3">
        <f>(Sheet1!$B$35 - Sheet1!E21) / (Sheet1!$B$35 - Sheet1!$B$34)</f>
        <v>0.9311759071</v>
      </c>
      <c r="F21" s="3">
        <f>(Sheet1!$B$35 - Sheet1!F21) / (Sheet1!$B$35 - Sheet1!$B$34)</f>
        <v>0.9581187882</v>
      </c>
      <c r="G21" s="3">
        <f>(Sheet1!$B$35 - Sheet1!G21) / (Sheet1!$B$35 - Sheet1!$B$34)</f>
        <v>0.9742845168</v>
      </c>
      <c r="H21" s="3">
        <f>(Sheet1!$B$35 - Sheet1!H21) / (Sheet1!$B$35 - Sheet1!$B$34)</f>
        <v>0.9431505209</v>
      </c>
      <c r="I21" s="3">
        <f>(Sheet1!$B$35 - Sheet1!I21) / (Sheet1!$B$35 - Sheet1!$B$34)</f>
        <v>0.9617111723</v>
      </c>
      <c r="J21" s="3">
        <f>(Sheet1!$B$35 - Sheet1!J21) / (Sheet1!$B$35 - Sheet1!$B$34)</f>
        <v>0.9790743624</v>
      </c>
      <c r="K21" s="3">
        <f>(Sheet1!$B$35 - Sheet1!K21) / (Sheet1!$B$35 - Sheet1!$B$34)</f>
        <v>0.9880553227</v>
      </c>
      <c r="L21" s="3">
        <f>(Sheet1!$B$35 - Sheet1!L21) / (Sheet1!$B$35 - Sheet1!$B$34)</f>
        <v>1</v>
      </c>
      <c r="M21" s="3">
        <f>(Sheet1!$B$35 - Sheet1!M21) / (Sheet1!$B$35 - Sheet1!$B$34)</f>
        <v>0.9856604</v>
      </c>
      <c r="P21" s="3">
        <f>IFERROR(__xludf.DUMMYFUNCTION("""COMPUTED_VALUE"""),0.30310741228595206)</f>
        <v>0.3031074123</v>
      </c>
    </row>
    <row r="22">
      <c r="A22" s="1" t="s">
        <v>32</v>
      </c>
      <c r="B22" s="3">
        <f>(Sheet1!$B$35 - Sheet1!B22) / (Sheet1!$B$35 - Sheet1!$B$34)</f>
        <v>0.9784756317</v>
      </c>
      <c r="C22" s="3">
        <f>(Sheet1!$B$35 - Sheet1!C22) / (Sheet1!$B$35 - Sheet1!$B$34)</f>
        <v>0.9647048258</v>
      </c>
      <c r="D22" s="3">
        <f>(Sheet1!$B$35 - Sheet1!D22) / (Sheet1!$B$35 - Sheet1!$B$34)</f>
        <v>0.9838642079</v>
      </c>
      <c r="E22" s="3">
        <f>(Sheet1!$B$35 - Sheet1!E22) / (Sheet1!$B$35 - Sheet1!$B$34)</f>
        <v>0.9748832475</v>
      </c>
      <c r="F22" s="3">
        <f>(Sheet1!$B$35 - Sheet1!F22) / (Sheet1!$B$35 - Sheet1!$B$34)</f>
        <v>0.9910489762</v>
      </c>
      <c r="G22" s="3">
        <f>(Sheet1!$B$35 - Sheet1!G22) / (Sheet1!$B$35 - Sheet1!$B$34)</f>
        <v>1</v>
      </c>
      <c r="H22" s="3">
        <f>(Sheet1!$B$35 - Sheet1!H22) / (Sheet1!$B$35 - Sheet1!$B$34)</f>
        <v>0.995240091</v>
      </c>
      <c r="I22" s="3">
        <f>(Sheet1!$B$35 - Sheet1!I22) / (Sheet1!$B$35 - Sheet1!$B$34)</f>
        <v>1</v>
      </c>
      <c r="J22" s="3">
        <f>(Sheet1!$B$35 - Sheet1!J22) / (Sheet1!$B$35 - Sheet1!$B$34)</f>
        <v>0.9916477069</v>
      </c>
      <c r="K22" s="3">
        <f>(Sheet1!$B$35 - Sheet1!K22) / (Sheet1!$B$35 - Sheet1!$B$34)</f>
        <v>1</v>
      </c>
      <c r="L22" s="3">
        <f>(Sheet1!$B$35 - Sheet1!L22) / (Sheet1!$B$35 - Sheet1!$B$34)</f>
        <v>0.9940426296</v>
      </c>
      <c r="M22" s="3">
        <f>(Sheet1!$B$35 - Sheet1!M22) / (Sheet1!$B$35 - Sheet1!$B$34)</f>
        <v>1</v>
      </c>
      <c r="P22" s="3">
        <f>IFERROR(__xludf.DUMMYFUNCTION("""COMPUTED_VALUE"""),0.2594000718476811)</f>
        <v>0.2594000718</v>
      </c>
    </row>
    <row r="23">
      <c r="A23" s="1" t="s">
        <v>33</v>
      </c>
      <c r="B23" s="3">
        <f>(Sheet1!$B$35 - Sheet1!B23) / (Sheet1!$B$35 - Sheet1!$B$34)</f>
        <v>0.7228176266</v>
      </c>
      <c r="C23" s="3">
        <f>(Sheet1!$B$35 - Sheet1!C23) / (Sheet1!$B$35 - Sheet1!$B$34)</f>
        <v>0.7024607831</v>
      </c>
      <c r="D23" s="3">
        <f>(Sheet1!$B$35 - Sheet1!D23) / (Sheet1!$B$35 - Sheet1!$B$34)</f>
        <v>0.8162196144</v>
      </c>
      <c r="E23" s="3">
        <f>(Sheet1!$B$35 - Sheet1!E23) / (Sheet1!$B$35 - Sheet1!$B$34)</f>
        <v>0.7946653095</v>
      </c>
      <c r="F23" s="3">
        <f>(Sheet1!$B$35 - Sheet1!F23) / (Sheet1!$B$35 - Sheet1!$B$34)</f>
        <v>0.8832774518</v>
      </c>
      <c r="G23" s="3">
        <f>(Sheet1!$B$35 - Sheet1!G23) / (Sheet1!$B$35 - Sheet1!$B$34)</f>
        <v>0.9563225961</v>
      </c>
      <c r="H23" s="3">
        <f>(Sheet1!$B$35 - Sheet1!H23) / (Sheet1!$B$35 - Sheet1!$B$34)</f>
        <v>0.9018381032</v>
      </c>
      <c r="I23" s="3">
        <f>(Sheet1!$B$35 - Sheet1!I23) / (Sheet1!$B$35 - Sheet1!$B$34)</f>
        <v>0.8814812597</v>
      </c>
      <c r="J23" s="3">
        <f>(Sheet1!$B$35 - Sheet1!J23) / (Sheet1!$B$35 - Sheet1!$B$34)</f>
        <v>0.7988564244</v>
      </c>
      <c r="K23" s="3">
        <f>(Sheet1!$B$35 - Sheet1!K23) / (Sheet1!$B$35 - Sheet1!$B$34)</f>
        <v>0.7102442821</v>
      </c>
      <c r="L23" s="3">
        <f>(Sheet1!$B$35 - Sheet1!L23) / (Sheet1!$B$35 - Sheet1!$B$34)</f>
        <v>0.5725362232</v>
      </c>
      <c r="M23" s="3">
        <f>(Sheet1!$B$35 - Sheet1!M23) / (Sheet1!$B$35 - Sheet1!$B$34)</f>
        <v>0.6844988624</v>
      </c>
      <c r="P23" s="3">
        <f>IFERROR(__xludf.DUMMYFUNCTION("""COMPUTED_VALUE"""),0.3037061429768873)</f>
        <v>0.303706143</v>
      </c>
    </row>
    <row r="24">
      <c r="A24" s="1" t="s">
        <v>34</v>
      </c>
      <c r="B24" s="3">
        <f>(Sheet1!$B$35 - Sheet1!B24) / (Sheet1!$B$35 - Sheet1!$B$34)</f>
        <v>0.9401568674</v>
      </c>
      <c r="C24" s="3">
        <f>(Sheet1!$B$35 - Sheet1!C24) / (Sheet1!$B$35 - Sheet1!$B$34)</f>
        <v>0.8000538858</v>
      </c>
      <c r="D24" s="3">
        <f>(Sheet1!$B$35 - Sheet1!D24) / (Sheet1!$B$35 - Sheet1!$B$34)</f>
        <v>0.85573584</v>
      </c>
      <c r="E24" s="3">
        <f>(Sheet1!$B$35 - Sheet1!E24) / (Sheet1!$B$35 - Sheet1!$B$34)</f>
        <v>0.8449586876</v>
      </c>
      <c r="F24" s="3">
        <f>(Sheet1!$B$35 - Sheet1!F24) / (Sheet1!$B$35 - Sheet1!$B$34)</f>
        <v>0.9431505209</v>
      </c>
      <c r="G24" s="3">
        <f>(Sheet1!$B$35 - Sheet1!G24) / (Sheet1!$B$35 - Sheet1!$B$34)</f>
        <v>1</v>
      </c>
      <c r="H24" s="3">
        <f>(Sheet1!$B$35 - Sheet1!H24) / (Sheet1!$B$35 - Sheet1!$B$34)</f>
        <v>1</v>
      </c>
      <c r="I24" s="3">
        <f>(Sheet1!$B$35 - Sheet1!I24) / (Sheet1!$B$35 - Sheet1!$B$34)</f>
        <v>0.9982337445</v>
      </c>
      <c r="J24" s="3">
        <f>(Sheet1!$B$35 - Sheet1!J24) / (Sheet1!$B$35 - Sheet1!$B$34)</f>
        <v>0.9048317567</v>
      </c>
      <c r="K24" s="3">
        <f>(Sheet1!$B$35 - Sheet1!K24) / (Sheet1!$B$35 - Sheet1!$B$34)</f>
        <v>0.9688959406</v>
      </c>
      <c r="L24" s="3">
        <f>(Sheet1!$B$35 - Sheet1!L24) / (Sheet1!$B$35 - Sheet1!$B$34)</f>
        <v>0.8796850677</v>
      </c>
      <c r="M24" s="3">
        <f>(Sheet1!$B$35 - Sheet1!M24) / (Sheet1!$B$35 - Sheet1!$B$34)</f>
        <v>0.9509340199</v>
      </c>
      <c r="P24" s="3">
        <f>IFERROR(__xludf.DUMMYFUNCTION("""COMPUTED_VALUE"""),0.08876182493114373)</f>
        <v>0.08876182493</v>
      </c>
    </row>
    <row r="25">
      <c r="A25" s="1" t="s">
        <v>35</v>
      </c>
      <c r="B25" s="3">
        <f>(Sheet1!$B$35 - Sheet1!B25) / (Sheet1!$B$35 - Sheet1!$B$34)</f>
        <v>0.9419530595</v>
      </c>
      <c r="C25" s="3">
        <f>(Sheet1!$B$35 - Sheet1!C25) / (Sheet1!$B$35 - Sheet1!$B$34)</f>
        <v>0.9419530595</v>
      </c>
      <c r="D25" s="3">
        <f>(Sheet1!$B$35 - Sheet1!D25) / (Sheet1!$B$35 - Sheet1!$B$34)</f>
        <v>0.9940426296</v>
      </c>
      <c r="E25" s="3">
        <f>(Sheet1!$B$35 - Sheet1!E25) / (Sheet1!$B$35 - Sheet1!$B$34)</f>
        <v>0.9850616693</v>
      </c>
      <c r="F25" s="3">
        <f>(Sheet1!$B$35 - Sheet1!F25) / (Sheet1!$B$35 - Sheet1!$B$34)</f>
        <v>0.9892527841</v>
      </c>
      <c r="G25" s="3">
        <f>(Sheet1!$B$35 - Sheet1!G25) / (Sheet1!$B$35 - Sheet1!$B$34)</f>
        <v>1</v>
      </c>
      <c r="H25" s="3">
        <f>(Sheet1!$B$35 - Sheet1!H25) / (Sheet1!$B$35 - Sheet1!$B$34)</f>
        <v>1</v>
      </c>
      <c r="I25" s="3">
        <f>(Sheet1!$B$35 - Sheet1!I25) / (Sheet1!$B$35 - Sheet1!$B$34)</f>
        <v>1</v>
      </c>
      <c r="J25" s="3">
        <f>(Sheet1!$B$35 - Sheet1!J25) / (Sheet1!$B$35 - Sheet1!$B$34)</f>
        <v>0.9892527841</v>
      </c>
      <c r="K25" s="3">
        <f>(Sheet1!$B$35 - Sheet1!K25) / (Sheet1!$B$35 - Sheet1!$B$34)</f>
        <v>1</v>
      </c>
      <c r="L25" s="3">
        <f>(Sheet1!$B$35 - Sheet1!L25) / (Sheet1!$B$35 - Sheet1!$B$34)</f>
        <v>1</v>
      </c>
      <c r="M25" s="3">
        <f>(Sheet1!$B$35 - Sheet1!M25) / (Sheet1!$B$35 - Sheet1!$B$34)</f>
        <v>1</v>
      </c>
      <c r="P25" s="3">
        <f>IFERROR(__xludf.DUMMYFUNCTION("""COMPUTED_VALUE"""),0.29113279846724766)</f>
        <v>0.2911327985</v>
      </c>
    </row>
    <row r="26">
      <c r="A26" s="1" t="s">
        <v>36</v>
      </c>
      <c r="B26" s="3">
        <f>(Sheet1!$B$35 - Sheet1!B26) / (Sheet1!$B$35 - Sheet1!$B$34)</f>
        <v>0.2438330739</v>
      </c>
      <c r="C26" s="3">
        <f>(Sheet1!$B$35 - Sheet1!C26) / (Sheet1!$B$35 - Sheet1!$B$34)</f>
        <v>0.1378577416</v>
      </c>
      <c r="D26" s="3">
        <f>(Sheet1!$B$35 - Sheet1!D26) / (Sheet1!$B$35 - Sheet1!$B$34)</f>
        <v>0.2911327985</v>
      </c>
      <c r="E26" s="3">
        <f>(Sheet1!$B$35 - Sheet1!E26) / (Sheet1!$B$35 - Sheet1!$B$34)</f>
        <v>0.1492336247</v>
      </c>
      <c r="F26" s="3">
        <f>(Sheet1!$B$35 - Sheet1!F26) / (Sheet1!$B$35 - Sheet1!$B$34)</f>
        <v>0.2540114956</v>
      </c>
      <c r="G26" s="3">
        <f>(Sheet1!$B$35 - Sheet1!G26) / (Sheet1!$B$35 - Sheet1!$B$34)</f>
        <v>0.5815171836</v>
      </c>
      <c r="H26" s="3">
        <f>(Sheet1!$B$35 - Sheet1!H26) / (Sheet1!$B$35 - Sheet1!$B$34)</f>
        <v>0.5659501856</v>
      </c>
      <c r="I26" s="3">
        <f>(Sheet1!$B$35 - Sheet1!I26) / (Sheet1!$B$35 - Sheet1!$B$34)</f>
        <v>0.6856963238</v>
      </c>
      <c r="J26" s="3">
        <f>(Sheet1!$B$35 - Sheet1!J26) / (Sheet1!$B$35 - Sheet1!$B$34)</f>
        <v>0.7353909711</v>
      </c>
      <c r="K26" s="3">
        <f>(Sheet1!$B$35 - Sheet1!K26) / (Sheet1!$B$35 - Sheet1!$B$34)</f>
        <v>0.6509699437</v>
      </c>
      <c r="L26" s="3">
        <f>(Sheet1!$B$35 - Sheet1!L26) / (Sheet1!$B$35 - Sheet1!$B$34)</f>
        <v>0.4785355047</v>
      </c>
      <c r="M26" s="3">
        <f>(Sheet1!$B$35 - Sheet1!M26) / (Sheet1!$B$35 - Sheet1!$B$34)</f>
        <v>0.5611603401</v>
      </c>
      <c r="P26" s="3">
        <f>IFERROR(__xludf.DUMMYFUNCTION("""COMPUTED_VALUE"""),0.9593162495509518)</f>
        <v>0.9593162496</v>
      </c>
    </row>
    <row r="27">
      <c r="A27" s="1" t="s">
        <v>37</v>
      </c>
      <c r="B27" s="3">
        <f>(Sheet1!$B$35 - Sheet1!B27) / (Sheet1!$B$35 - Sheet1!$B$34)</f>
        <v>0.7934678482</v>
      </c>
      <c r="C27" s="3">
        <f>(Sheet1!$B$35 - Sheet1!C27) / (Sheet1!$B$35 - Sheet1!$B$34)</f>
        <v>0.8204107293</v>
      </c>
      <c r="D27" s="3">
        <f>(Sheet1!$B$35 - Sheet1!D27) / (Sheet1!$B$35 - Sheet1!$B$34)</f>
        <v>0.8605256855</v>
      </c>
      <c r="E27" s="3">
        <f>(Sheet1!$B$35 - Sheet1!E27) / (Sheet1!$B$35 - Sheet1!$B$34)</f>
        <v>0.7755059274</v>
      </c>
      <c r="F27" s="3">
        <f>(Sheet1!$B$35 - Sheet1!F27) / (Sheet1!$B$35 - Sheet1!$B$34)</f>
        <v>0.8599269549</v>
      </c>
      <c r="G27" s="3">
        <f>(Sheet1!$B$35 - Sheet1!G27) / (Sheet1!$B$35 - Sheet1!$B$34)</f>
        <v>0.9329720991</v>
      </c>
      <c r="H27" s="3">
        <f>(Sheet1!$B$35 - Sheet1!H27) / (Sheet1!$B$35 - Sheet1!$B$34)</f>
        <v>0.8647168004</v>
      </c>
      <c r="I27" s="3">
        <f>(Sheet1!$B$35 - Sheet1!I27) / (Sheet1!$B$35 - Sheet1!$B$34)</f>
        <v>0.8892647587</v>
      </c>
      <c r="J27" s="3">
        <f>(Sheet1!$B$35 - Sheet1!J27) / (Sheet1!$B$35 - Sheet1!$B$34)</f>
        <v>0.921596216</v>
      </c>
      <c r="K27" s="3">
        <f>(Sheet1!$B$35 - Sheet1!K27) / (Sheet1!$B$35 - Sheet1!$B$34)</f>
        <v>0.8982457191</v>
      </c>
      <c r="L27" s="3">
        <f>(Sheet1!$B$35 - Sheet1!L27) / (Sheet1!$B$35 - Sheet1!$B$34)</f>
        <v>0.772512274</v>
      </c>
      <c r="M27" s="3">
        <f>(Sheet1!$B$35 - Sheet1!M27) / (Sheet1!$B$35 - Sheet1!$B$34)</f>
        <v>0.7952640402</v>
      </c>
      <c r="P27" s="3">
        <f>IFERROR(__xludf.DUMMYFUNCTION("""COMPUTED_VALUE"""),0.9449467129685065)</f>
        <v>0.944946713</v>
      </c>
    </row>
    <row r="28">
      <c r="A28" s="1" t="s">
        <v>38</v>
      </c>
      <c r="B28" s="3">
        <f>(Sheet1!$B$35 - Sheet1!B28) / (Sheet1!$B$35 - Sheet1!$B$34)</f>
        <v>0</v>
      </c>
      <c r="C28" s="3">
        <f>(Sheet1!$B$35 - Sheet1!C28) / (Sheet1!$B$35 - Sheet1!$B$34)</f>
        <v>0</v>
      </c>
      <c r="D28" s="3">
        <f>(Sheet1!$B$35 - Sheet1!D28) / (Sheet1!$B$35 - Sheet1!$B$34)</f>
        <v>0</v>
      </c>
      <c r="E28" s="3">
        <f>(Sheet1!$B$35 - Sheet1!E28) / (Sheet1!$B$35 - Sheet1!$B$34)</f>
        <v>0</v>
      </c>
      <c r="F28" s="3">
        <f>(Sheet1!$B$35 - Sheet1!F28) / (Sheet1!$B$35 - Sheet1!$B$34)</f>
        <v>0</v>
      </c>
      <c r="G28" s="3">
        <f>(Sheet1!$B$35 - Sheet1!G28) / (Sheet1!$B$35 - Sheet1!$B$34)</f>
        <v>0.3240629865</v>
      </c>
      <c r="H28" s="3">
        <f>(Sheet1!$B$35 - Sheet1!H28) / (Sheet1!$B$35 - Sheet1!$B$34)</f>
        <v>0.07199736558</v>
      </c>
      <c r="I28" s="3">
        <f>(Sheet1!$B$35 - Sheet1!I28) / (Sheet1!$B$35 - Sheet1!$B$34)</f>
        <v>0.08516944079</v>
      </c>
      <c r="J28" s="3">
        <f>(Sheet1!$B$35 - Sheet1!J28) / (Sheet1!$B$35 - Sheet1!$B$34)</f>
        <v>0.4887139265</v>
      </c>
      <c r="K28" s="3">
        <f>(Sheet1!$B$35 - Sheet1!K28) / (Sheet1!$B$35 - Sheet1!$B$34)</f>
        <v>0.5545743025</v>
      </c>
      <c r="L28" s="3">
        <f>(Sheet1!$B$35 - Sheet1!L28) / (Sheet1!$B$35 - Sheet1!$B$34)</f>
        <v>0.3923182852</v>
      </c>
      <c r="M28" s="3">
        <f>(Sheet1!$B$35 - Sheet1!M28) / (Sheet1!$B$35 - Sheet1!$B$34)</f>
        <v>0.5150580769</v>
      </c>
      <c r="P28" s="3">
        <f>IFERROR(__xludf.DUMMYFUNCTION("""COMPUTED_VALUE"""),0.9461441743503771)</f>
        <v>0.9461441744</v>
      </c>
    </row>
    <row r="29">
      <c r="A29" s="1" t="s">
        <v>39</v>
      </c>
      <c r="B29" s="3">
        <f>(Sheet1!$B$35 - Sheet1!B29) / (Sheet1!$B$35 - Sheet1!$B$34)</f>
        <v>0</v>
      </c>
      <c r="C29" s="3">
        <f>(Sheet1!$B$35 - Sheet1!C29) / (Sheet1!$B$35 - Sheet1!$B$34)</f>
        <v>0</v>
      </c>
      <c r="D29" s="3">
        <f>(Sheet1!$B$35 - Sheet1!D29) / (Sheet1!$B$35 - Sheet1!$B$34)</f>
        <v>0</v>
      </c>
      <c r="E29" s="3">
        <f>(Sheet1!$B$35 - Sheet1!E29) / (Sheet1!$B$35 - Sheet1!$B$34)</f>
        <v>0</v>
      </c>
      <c r="F29" s="3">
        <f>(Sheet1!$B$35 - Sheet1!F29) / (Sheet1!$B$35 - Sheet1!$B$34)</f>
        <v>0.3767512873</v>
      </c>
      <c r="G29" s="3">
        <f>(Sheet1!$B$35 - Sheet1!G29) / (Sheet1!$B$35 - Sheet1!$B$34)</f>
        <v>0.6413902527</v>
      </c>
      <c r="H29" s="3">
        <f>(Sheet1!$B$35 - Sheet1!H29) / (Sheet1!$B$35 - Sheet1!$B$34)</f>
        <v>0.6336067537</v>
      </c>
      <c r="I29" s="3">
        <f>(Sheet1!$B$35 - Sheet1!I29) / (Sheet1!$B$35 - Sheet1!$B$34)</f>
        <v>0.6366004071</v>
      </c>
      <c r="J29" s="3">
        <f>(Sheet1!$B$35 - Sheet1!J29) / (Sheet1!$B$35 - Sheet1!$B$34)</f>
        <v>0.7270087415</v>
      </c>
      <c r="K29" s="3">
        <f>(Sheet1!$B$35 - Sheet1!K29) / (Sheet1!$B$35 - Sheet1!$B$34)</f>
        <v>0.8527421866</v>
      </c>
      <c r="L29" s="3">
        <f>(Sheet1!$B$35 - Sheet1!L29) / (Sheet1!$B$35 - Sheet1!$B$34)</f>
        <v>0.8629206083</v>
      </c>
      <c r="M29" s="3">
        <f>(Sheet1!$B$35 - Sheet1!M29) / (Sheet1!$B$35 - Sheet1!$B$34)</f>
        <v>0.8623218776</v>
      </c>
      <c r="P29" s="3">
        <f>IFERROR(__xludf.DUMMYFUNCTION("""COMPUTED_VALUE"""),0.9503352891869236)</f>
        <v>0.9503352892</v>
      </c>
    </row>
    <row r="30">
      <c r="A30" s="1" t="s">
        <v>40</v>
      </c>
      <c r="B30" s="3">
        <f>(Sheet1!$B$35 - Sheet1!B30) / (Sheet1!$B$35 - Sheet1!$B$34)</f>
        <v>0.7814932343</v>
      </c>
      <c r="C30" s="3">
        <f>(Sheet1!$B$35 - Sheet1!C30) / (Sheet1!$B$35 - Sheet1!$B$34)</f>
        <v>0.7886780026</v>
      </c>
      <c r="D30" s="3">
        <f>(Sheet1!$B$35 - Sheet1!D30) / (Sheet1!$B$35 - Sheet1!$B$34)</f>
        <v>0.8257993055</v>
      </c>
      <c r="E30" s="3">
        <f>(Sheet1!$B$35 - Sheet1!E30) / (Sheet1!$B$35 - Sheet1!$B$34)</f>
        <v>0.8419650341</v>
      </c>
      <c r="F30" s="3">
        <f>(Sheet1!$B$35 - Sheet1!F30) / (Sheet1!$B$35 - Sheet1!$B$34)</f>
        <v>0.8048437313</v>
      </c>
      <c r="G30" s="3">
        <f>(Sheet1!$B$35 - Sheet1!G30) / (Sheet1!$B$35 - Sheet1!$B$34)</f>
        <v>0.9239911388</v>
      </c>
      <c r="H30" s="3">
        <f>(Sheet1!$B$35 - Sheet1!H30) / (Sheet1!$B$35 - Sheet1!$B$34)</f>
        <v>0.8365764579</v>
      </c>
      <c r="I30" s="3">
        <f>(Sheet1!$B$35 - Sheet1!I30) / (Sheet1!$B$35 - Sheet1!$B$34)</f>
        <v>0.8222069213</v>
      </c>
      <c r="J30" s="3">
        <f>(Sheet1!$B$35 - Sheet1!J30) / (Sheet1!$B$35 - Sheet1!$B$34)</f>
        <v>0.7994551551</v>
      </c>
      <c r="K30" s="3">
        <f>(Sheet1!$B$35 - Sheet1!K30) / (Sheet1!$B$35 - Sheet1!$B$34)</f>
        <v>0.8263980362</v>
      </c>
      <c r="L30" s="3">
        <f>(Sheet1!$B$35 - Sheet1!L30) / (Sheet1!$B$35 - Sheet1!$B$34)</f>
        <v>0.8204107293</v>
      </c>
      <c r="M30" s="3">
        <f>(Sheet1!$B$35 - Sheet1!M30) / (Sheet1!$B$35 - Sheet1!$B$34)</f>
        <v>0.8593282242</v>
      </c>
      <c r="P30" s="3">
        <f>IFERROR(__xludf.DUMMYFUNCTION("""COMPUTED_VALUE"""),0.9449467129685065)</f>
        <v>0.944946713</v>
      </c>
    </row>
    <row r="31">
      <c r="P31" s="3">
        <f>IFERROR(__xludf.DUMMYFUNCTION("""COMPUTED_VALUE"""),0.9940426296251946)</f>
        <v>0.9940426296</v>
      </c>
    </row>
    <row r="32">
      <c r="P32" s="3">
        <f>IFERROR(__xludf.DUMMYFUNCTION("""COMPUTED_VALUE"""),0.8922584121662074)</f>
        <v>0.8922584122</v>
      </c>
    </row>
    <row r="33">
      <c r="P33" s="3">
        <f>IFERROR(__xludf.DUMMYFUNCTION("""COMPUTED_VALUE"""),0.9461441743503771)</f>
        <v>0.9461441744</v>
      </c>
    </row>
    <row r="34">
      <c r="A34" s="5" t="s">
        <v>41</v>
      </c>
      <c r="B34" s="6">
        <f>MIN(B2:N30)</f>
        <v>0</v>
      </c>
      <c r="P34" s="3">
        <f>IFERROR(__xludf.DUMMYFUNCTION("""COMPUTED_VALUE"""),0.9437492515866361)</f>
        <v>0.9437492516</v>
      </c>
    </row>
    <row r="35">
      <c r="A35" s="5" t="s">
        <v>42</v>
      </c>
      <c r="B35" s="6">
        <f>MAX(B2:N30)</f>
        <v>1</v>
      </c>
      <c r="P35" s="3">
        <f>IFERROR(__xludf.DUMMYFUNCTION("""COMPUTED_VALUE"""),0.9497365584959884)</f>
        <v>0.9497365585</v>
      </c>
    </row>
    <row r="36">
      <c r="P36" s="3">
        <f>IFERROR(__xludf.DUMMYFUNCTION("""COMPUTED_VALUE"""),0.8910609507843369)</f>
        <v>0.8910609508</v>
      </c>
    </row>
    <row r="37">
      <c r="P37" s="3">
        <f>IFERROR(__xludf.DUMMYFUNCTION("""COMPUTED_VALUE"""),0.9611124416237575)</f>
        <v>0.9611124416</v>
      </c>
    </row>
    <row r="38">
      <c r="P38" s="3">
        <f>IFERROR(__xludf.DUMMYFUNCTION("""COMPUTED_VALUE"""),0.803646269907795)</f>
        <v>0.8036462699</v>
      </c>
    </row>
    <row r="39">
      <c r="P39" s="3">
        <f>IFERROR(__xludf.DUMMYFUNCTION("""COMPUTED_VALUE"""),0.8084361154352767)</f>
        <v>0.8084361154</v>
      </c>
    </row>
    <row r="40">
      <c r="P40" s="3">
        <f>IFERROR(__xludf.DUMMYFUNCTION("""COMPUTED_VALUE"""),0.8078373847443415)</f>
        <v>0.8078373847</v>
      </c>
    </row>
    <row r="41">
      <c r="P41" s="3">
        <f>IFERROR(__xludf.DUMMYFUNCTION("""COMPUTED_VALUE"""),0.6647407496108242)</f>
        <v>0.6647407496</v>
      </c>
    </row>
    <row r="42">
      <c r="P42" s="3">
        <f>IFERROR(__xludf.DUMMYFUNCTION("""COMPUTED_VALUE"""),0.8114297688899529)</f>
        <v>0.8114297689</v>
      </c>
    </row>
    <row r="43">
      <c r="P43" s="3">
        <f>IFERROR(__xludf.DUMMYFUNCTION("""COMPUTED_VALUE"""),0.9287809843132557)</f>
        <v>0.9287809843</v>
      </c>
    </row>
    <row r="44">
      <c r="P44" s="3">
        <f>IFERROR(__xludf.DUMMYFUNCTION("""COMPUTED_VALUE"""),0.7856843491797385)</f>
        <v>0.7856843492</v>
      </c>
    </row>
    <row r="45">
      <c r="P45" s="3">
        <f>IFERROR(__xludf.DUMMYFUNCTION("""COMPUTED_VALUE"""),0.8275954975452038)</f>
        <v>0.8275954975</v>
      </c>
    </row>
    <row r="46">
      <c r="P46" s="3">
        <f>IFERROR(__xludf.DUMMYFUNCTION("""COMPUTED_VALUE"""),0.8269967668542684)</f>
        <v>0.8269967669</v>
      </c>
    </row>
    <row r="47">
      <c r="P47" s="3">
        <f>IFERROR(__xludf.DUMMYFUNCTION("""COMPUTED_VALUE"""),0.9491378278050531)</f>
        <v>0.9491378278</v>
      </c>
    </row>
    <row r="48">
      <c r="P48" s="3">
        <f>IFERROR(__xludf.DUMMYFUNCTION("""COMPUTED_VALUE"""),0.9491378278050531)</f>
        <v>0.9491378278</v>
      </c>
    </row>
    <row r="49">
      <c r="P49" s="3">
        <f>IFERROR(__xludf.DUMMYFUNCTION("""COMPUTED_VALUE"""),0.9892527840977128)</f>
        <v>0.9892527841</v>
      </c>
    </row>
    <row r="50">
      <c r="P50" s="3">
        <f>IFERROR(__xludf.DUMMYFUNCTION("""COMPUTED_VALUE"""),0.7240150880134109)</f>
        <v>0.724015088</v>
      </c>
    </row>
    <row r="51">
      <c r="P51" s="3">
        <f>IFERROR(__xludf.DUMMYFUNCTION("""COMPUTED_VALUE"""),0.7192252424859291)</f>
        <v>0.7192252425</v>
      </c>
    </row>
    <row r="52">
      <c r="P52" s="3">
        <f>IFERROR(__xludf.DUMMYFUNCTION("""COMPUTED_VALUE"""),0.6946772841575851)</f>
        <v>0.6946772842</v>
      </c>
    </row>
    <row r="53">
      <c r="P53" s="3">
        <f>IFERROR(__xludf.DUMMYFUNCTION("""COMPUTED_VALUE"""),0.46835708298407247)</f>
        <v>0.468357083</v>
      </c>
    </row>
    <row r="54">
      <c r="P54" s="3">
        <f>IFERROR(__xludf.DUMMYFUNCTION("""COMPUTED_VALUE"""),0.5659501856065131)</f>
        <v>0.5659501856</v>
      </c>
    </row>
    <row r="55">
      <c r="P55" s="3">
        <f>IFERROR(__xludf.DUMMYFUNCTION("""COMPUTED_VALUE"""),0.8222069213267867)</f>
        <v>0.8222069213</v>
      </c>
    </row>
    <row r="56">
      <c r="P56" s="3">
        <f>IFERROR(__xludf.DUMMYFUNCTION("""COMPUTED_VALUE"""),0.5378098431325579)</f>
        <v>0.5378098431</v>
      </c>
    </row>
    <row r="57">
      <c r="P57" s="3">
        <f>IFERROR(__xludf.DUMMYFUNCTION("""COMPUTED_VALUE"""),0.700065860376002)</f>
        <v>0.7000658604</v>
      </c>
    </row>
    <row r="58">
      <c r="P58" s="3">
        <f>IFERROR(__xludf.DUMMYFUNCTION("""COMPUTED_VALUE"""),0.6677344030655002)</f>
        <v>0.6677344031</v>
      </c>
    </row>
    <row r="59">
      <c r="P59" s="3">
        <f>IFERROR(__xludf.DUMMYFUNCTION("""COMPUTED_VALUE"""),0.7689198898335523)</f>
        <v>0.7689198898</v>
      </c>
    </row>
    <row r="60">
      <c r="P60" s="3">
        <f>IFERROR(__xludf.DUMMYFUNCTION("""COMPUTED_VALUE"""),0.8126272302718233)</f>
        <v>0.8126272303</v>
      </c>
    </row>
    <row r="61">
      <c r="P61" s="3">
        <f>IFERROR(__xludf.DUMMYFUNCTION("""COMPUTED_VALUE"""),0.9437492515866361)</f>
        <v>0.9437492516</v>
      </c>
    </row>
    <row r="62">
      <c r="P62" s="3">
        <f>IFERROR(__xludf.DUMMYFUNCTION("""COMPUTED_VALUE"""),0.40848401389055056)</f>
        <v>0.4084840139</v>
      </c>
    </row>
    <row r="63">
      <c r="P63" s="3">
        <f>IFERROR(__xludf.DUMMYFUNCTION("""COMPUTED_VALUE"""),0.5282301520775944)</f>
        <v>0.5282301521</v>
      </c>
    </row>
    <row r="64">
      <c r="P64" s="3">
        <f>IFERROR(__xludf.DUMMYFUNCTION("""COMPUTED_VALUE"""),0.7605376601604592)</f>
        <v>0.7605376602</v>
      </c>
    </row>
    <row r="65">
      <c r="P65" s="3">
        <f>IFERROR(__xludf.DUMMYFUNCTION("""COMPUTED_VALUE"""),0.8180158064902402)</f>
        <v>0.8180158065</v>
      </c>
    </row>
    <row r="66">
      <c r="P66" s="3">
        <f>IFERROR(__xludf.DUMMYFUNCTION("""COMPUTED_VALUE"""),0.9030355646030412)</f>
        <v>0.9030355646</v>
      </c>
    </row>
    <row r="67">
      <c r="P67" s="3">
        <f>IFERROR(__xludf.DUMMYFUNCTION("""COMPUTED_VALUE"""),0.9605137109328222)</f>
        <v>0.9605137109</v>
      </c>
    </row>
    <row r="68">
      <c r="P68" s="3">
        <f>IFERROR(__xludf.DUMMYFUNCTION("""COMPUTED_VALUE"""),0.9203987546401626)</f>
        <v>0.9203987546</v>
      </c>
    </row>
    <row r="69">
      <c r="P69" s="3">
        <f>IFERROR(__xludf.DUMMYFUNCTION("""COMPUTED_VALUE"""),0.8096335768171471)</f>
        <v>0.8096335768</v>
      </c>
    </row>
    <row r="70">
      <c r="P70" s="3">
        <f>IFERROR(__xludf.DUMMYFUNCTION("""COMPUTED_VALUE"""),0.798257693689378)</f>
        <v>0.7982576937</v>
      </c>
    </row>
    <row r="71">
      <c r="P71" s="3">
        <f>IFERROR(__xludf.DUMMYFUNCTION("""COMPUTED_VALUE"""),0.8784876062746974)</f>
        <v>0.8784876063</v>
      </c>
    </row>
    <row r="72">
      <c r="P72" s="3">
        <f>IFERROR(__xludf.DUMMYFUNCTION("""COMPUTED_VALUE"""),0.8707041072925394)</f>
        <v>0.8707041073</v>
      </c>
    </row>
    <row r="73">
      <c r="P73" s="3">
        <f>IFERROR(__xludf.DUMMYFUNCTION("""COMPUTED_VALUE"""),0.992246437552389)</f>
        <v>0.9922464376</v>
      </c>
    </row>
    <row r="74">
      <c r="P74" s="3">
        <f>IFERROR(__xludf.DUMMYFUNCTION("""COMPUTED_VALUE"""),0.6102562567357193)</f>
        <v>0.6102562567</v>
      </c>
    </row>
    <row r="75">
      <c r="P75" s="3">
        <f>IFERROR(__xludf.DUMMYFUNCTION("""COMPUTED_VALUE"""),0.6491737516465085)</f>
        <v>0.6491737516</v>
      </c>
    </row>
    <row r="76">
      <c r="P76" s="3">
        <f>IFERROR(__xludf.DUMMYFUNCTION("""COMPUTED_VALUE"""),0.7880792719434793)</f>
        <v>0.7880792719</v>
      </c>
    </row>
    <row r="77">
      <c r="P77" s="3">
        <f>IFERROR(__xludf.DUMMYFUNCTION("""COMPUTED_VALUE"""),0.688689977248233)</f>
        <v>0.6886899772</v>
      </c>
    </row>
    <row r="78">
      <c r="P78" s="3">
        <f>IFERROR(__xludf.DUMMYFUNCTION("""COMPUTED_VALUE"""),0.7796970422703862)</f>
        <v>0.7796970423</v>
      </c>
    </row>
    <row r="79">
      <c r="P79" s="3">
        <f>IFERROR(__xludf.DUMMYFUNCTION("""COMPUTED_VALUE"""),0.8814812597293733)</f>
        <v>0.8814812597</v>
      </c>
    </row>
    <row r="80">
      <c r="P80" s="3">
        <f>IFERROR(__xludf.DUMMYFUNCTION("""COMPUTED_VALUE"""),0.956921326787211)</f>
        <v>0.9569213268</v>
      </c>
    </row>
    <row r="81">
      <c r="P81" s="3">
        <f>IFERROR(__xludf.DUMMYFUNCTION("""COMPUTED_VALUE"""),0.9311759070769966)</f>
        <v>0.9311759071</v>
      </c>
    </row>
    <row r="82">
      <c r="P82" s="3">
        <f>IFERROR(__xludf.DUMMYFUNCTION("""COMPUTED_VALUE"""),0.9443479822775713)</f>
        <v>0.9443479823</v>
      </c>
    </row>
    <row r="83">
      <c r="P83" s="3">
        <f>IFERROR(__xludf.DUMMYFUNCTION("""COMPUTED_VALUE"""),0.9425517902047658)</f>
        <v>0.9425517902</v>
      </c>
    </row>
    <row r="84">
      <c r="P84" s="3">
        <f>IFERROR(__xludf.DUMMYFUNCTION("""COMPUTED_VALUE"""),0.8311878816908149)</f>
        <v>0.8311878817</v>
      </c>
    </row>
    <row r="85">
      <c r="P85" s="3">
        <f>IFERROR(__xludf.DUMMYFUNCTION("""COMPUTED_VALUE"""),0.9425517902047658)</f>
        <v>0.9425517902</v>
      </c>
    </row>
    <row r="86">
      <c r="P86" s="3">
        <f>IFERROR(__xludf.DUMMYFUNCTION("""COMPUTED_VALUE"""),0.6970722069213261)</f>
        <v>0.6970722069</v>
      </c>
    </row>
    <row r="87">
      <c r="P87" s="3">
        <f>IFERROR(__xludf.DUMMYFUNCTION("""COMPUTED_VALUE"""),0.7006645910669372)</f>
        <v>0.7006645911</v>
      </c>
    </row>
    <row r="88">
      <c r="P88" s="3">
        <f>IFERROR(__xludf.DUMMYFUNCTION("""COMPUTED_VALUE"""),0.798257693689378)</f>
        <v>0.7982576937</v>
      </c>
    </row>
    <row r="89">
      <c r="P89" s="3">
        <f>IFERROR(__xludf.DUMMYFUNCTION("""COMPUTED_VALUE"""),0.7629325829242001)</f>
        <v>0.7629325829</v>
      </c>
    </row>
    <row r="90">
      <c r="P90" s="3">
        <f>IFERROR(__xludf.DUMMYFUNCTION("""COMPUTED_VALUE"""),0.801251347144054)</f>
        <v>0.8012513471</v>
      </c>
    </row>
    <row r="91">
      <c r="P91" s="3">
        <f>IFERROR(__xludf.DUMMYFUNCTION("""COMPUTED_VALUE"""),0.9299784456951261)</f>
        <v>0.9299784457</v>
      </c>
    </row>
    <row r="92">
      <c r="P92" s="3">
        <f>IFERROR(__xludf.DUMMYFUNCTION("""COMPUTED_VALUE"""),0.8551371093282237)</f>
        <v>0.8551371093</v>
      </c>
    </row>
    <row r="93">
      <c r="P93" s="3">
        <f>IFERROR(__xludf.DUMMYFUNCTION("""COMPUTED_VALUE"""),0.8467548796551307)</f>
        <v>0.8467548797</v>
      </c>
    </row>
    <row r="94">
      <c r="P94" s="3">
        <f>IFERROR(__xludf.DUMMYFUNCTION("""COMPUTED_VALUE"""),0.841965034127649)</f>
        <v>0.8419650341</v>
      </c>
    </row>
    <row r="95">
      <c r="P95" s="3">
        <f>IFERROR(__xludf.DUMMYFUNCTION("""COMPUTED_VALUE"""),0.8174170757993049)</f>
        <v>0.8174170758</v>
      </c>
    </row>
    <row r="96">
      <c r="P96" s="3">
        <f>IFERROR(__xludf.DUMMYFUNCTION("""COMPUTED_VALUE"""),0.7479643156508197)</f>
        <v>0.7479643157</v>
      </c>
    </row>
    <row r="97">
      <c r="P97" s="3">
        <f>IFERROR(__xludf.DUMMYFUNCTION("""COMPUTED_VALUE"""),0.7473655849598845)</f>
        <v>0.747365585</v>
      </c>
    </row>
    <row r="98">
      <c r="P98" s="3">
        <f>IFERROR(__xludf.DUMMYFUNCTION("""COMPUTED_VALUE"""),0.9012393725302357)</f>
        <v>0.9012393725</v>
      </c>
    </row>
    <row r="99">
      <c r="P99" s="3">
        <f>IFERROR(__xludf.DUMMYFUNCTION("""COMPUTED_VALUE"""),0.918602562567357)</f>
        <v>0.9186025626</v>
      </c>
    </row>
    <row r="100">
      <c r="P100" s="3">
        <f>IFERROR(__xludf.DUMMYFUNCTION("""COMPUTED_VALUE"""),0.8760926835109564)</f>
        <v>0.8760926835</v>
      </c>
    </row>
    <row r="101">
      <c r="P101" s="3">
        <f>IFERROR(__xludf.DUMMYFUNCTION("""COMPUTED_VALUE"""),0.8647168003831872)</f>
        <v>0.8647168004</v>
      </c>
    </row>
    <row r="102">
      <c r="P102" s="3">
        <f>IFERROR(__xludf.DUMMYFUNCTION("""COMPUTED_VALUE"""),0.8263980361633333)</f>
        <v>0.8263980362</v>
      </c>
    </row>
    <row r="103">
      <c r="P103" s="3">
        <f>IFERROR(__xludf.DUMMYFUNCTION("""COMPUTED_VALUE"""),0.9030355646030412)</f>
        <v>0.9030355646</v>
      </c>
    </row>
    <row r="104">
      <c r="P104" s="3">
        <f>IFERROR(__xludf.DUMMYFUNCTION("""COMPUTED_VALUE"""),0.8150221530355641)</f>
        <v>0.815022153</v>
      </c>
    </row>
    <row r="105">
      <c r="P105" s="3">
        <f>IFERROR(__xludf.DUMMYFUNCTION("""COMPUTED_VALUE"""),0.7916716560890905)</f>
        <v>0.7916716561</v>
      </c>
    </row>
    <row r="106">
      <c r="P106" s="3">
        <f>IFERROR(__xludf.DUMMYFUNCTION("""COMPUTED_VALUE"""),0.8210094599449164)</f>
        <v>0.8210094599</v>
      </c>
    </row>
    <row r="107">
      <c r="P107" s="3">
        <f>IFERROR(__xludf.DUMMYFUNCTION("""COMPUTED_VALUE"""),0.8449586875823251)</f>
        <v>0.8449586876</v>
      </c>
    </row>
    <row r="108">
      <c r="P108" s="3">
        <f>IFERROR(__xludf.DUMMYFUNCTION("""COMPUTED_VALUE"""),0.8210094599449164)</f>
        <v>0.8210094599</v>
      </c>
    </row>
    <row r="109">
      <c r="P109" s="3">
        <f>IFERROR(__xludf.DUMMYFUNCTION("""COMPUTED_VALUE"""),0.8210094599449164)</f>
        <v>0.8210094599</v>
      </c>
    </row>
    <row r="110">
      <c r="P110" s="3">
        <f>IFERROR(__xludf.DUMMYFUNCTION("""COMPUTED_VALUE"""),0.42464974254580146)</f>
        <v>0.4246497425</v>
      </c>
    </row>
    <row r="111">
      <c r="P111" s="3">
        <f>IFERROR(__xludf.DUMMYFUNCTION("""COMPUTED_VALUE"""),0.4450065860375989)</f>
        <v>0.445006586</v>
      </c>
    </row>
    <row r="112">
      <c r="P112" s="3">
        <f>IFERROR(__xludf.DUMMYFUNCTION("""COMPUTED_VALUE"""),0.35280205963357525)</f>
        <v>0.3528020596</v>
      </c>
    </row>
    <row r="113">
      <c r="P113" s="3">
        <f>IFERROR(__xludf.DUMMYFUNCTION("""COMPUTED_VALUE"""),0.480930427493712)</f>
        <v>0.4809304275</v>
      </c>
    </row>
    <row r="114">
      <c r="P114" s="3">
        <f>IFERROR(__xludf.DUMMYFUNCTION("""COMPUTED_VALUE"""),0.3510058675607695)</f>
        <v>0.3510058676</v>
      </c>
    </row>
    <row r="115">
      <c r="P115" s="3">
        <f>IFERROR(__xludf.DUMMYFUNCTION("""COMPUTED_VALUE"""),0.0)</f>
        <v>0</v>
      </c>
    </row>
    <row r="116">
      <c r="P116" s="3">
        <f>IFERROR(__xludf.DUMMYFUNCTION("""COMPUTED_VALUE"""),0.0)</f>
        <v>0</v>
      </c>
    </row>
    <row r="117">
      <c r="P117" s="3">
        <f>IFERROR(__xludf.DUMMYFUNCTION("""COMPUTED_VALUE"""),0.0)</f>
        <v>0</v>
      </c>
    </row>
    <row r="118">
      <c r="P118" s="3">
        <f>IFERROR(__xludf.DUMMYFUNCTION("""COMPUTED_VALUE"""),0.0)</f>
        <v>0</v>
      </c>
    </row>
    <row r="119">
      <c r="P119" s="3">
        <f>IFERROR(__xludf.DUMMYFUNCTION("""COMPUTED_VALUE"""),0.0)</f>
        <v>0</v>
      </c>
    </row>
    <row r="120">
      <c r="P120" s="3">
        <f>IFERROR(__xludf.DUMMYFUNCTION("""COMPUTED_VALUE"""),0.0)</f>
        <v>0</v>
      </c>
    </row>
    <row r="121">
      <c r="P121" s="3">
        <f>IFERROR(__xludf.DUMMYFUNCTION("""COMPUTED_VALUE"""),0.0)</f>
        <v>0</v>
      </c>
    </row>
    <row r="122">
      <c r="P122" s="3">
        <f>IFERROR(__xludf.DUMMYFUNCTION("""COMPUTED_VALUE"""),0.8826787211112439)</f>
        <v>0.8826787211</v>
      </c>
    </row>
    <row r="123">
      <c r="P123" s="3">
        <f>IFERROR(__xludf.DUMMYFUNCTION("""COMPUTED_VALUE"""),0.8862711052568552)</f>
        <v>0.8862711053</v>
      </c>
    </row>
    <row r="124">
      <c r="P124" s="3">
        <f>IFERROR(__xludf.DUMMYFUNCTION("""COMPUTED_VALUE"""),0.8946533349299481)</f>
        <v>0.8946533349</v>
      </c>
    </row>
    <row r="125">
      <c r="P125" s="3">
        <f>IFERROR(__xludf.DUMMYFUNCTION("""COMPUTED_VALUE"""),0.8982457190755595)</f>
        <v>0.8982457191</v>
      </c>
    </row>
    <row r="126">
      <c r="P126" s="3">
        <f>IFERROR(__xludf.DUMMYFUNCTION("""COMPUTED_VALUE"""),0.9126152556580048)</f>
        <v>0.9126152557</v>
      </c>
    </row>
    <row r="127">
      <c r="P127" s="3">
        <f>IFERROR(__xludf.DUMMYFUNCTION("""COMPUTED_VALUE"""),0.9635073643874984)</f>
        <v>0.9635073644</v>
      </c>
    </row>
    <row r="128">
      <c r="P128" s="3">
        <f>IFERROR(__xludf.DUMMYFUNCTION("""COMPUTED_VALUE"""),0.9299784456951261)</f>
        <v>0.9299784457</v>
      </c>
    </row>
    <row r="129">
      <c r="P129" s="3">
        <f>IFERROR(__xludf.DUMMYFUNCTION("""COMPUTED_VALUE"""),0.9688959406059153)</f>
        <v>0.9688959406</v>
      </c>
    </row>
    <row r="130">
      <c r="P130" s="3">
        <f>IFERROR(__xludf.DUMMYFUNCTION("""COMPUTED_VALUE"""),0.9730870554424619)</f>
        <v>0.9730870554</v>
      </c>
    </row>
    <row r="131">
      <c r="P131" s="3">
        <f>IFERROR(__xludf.DUMMYFUNCTION("""COMPUTED_VALUE"""),0.9778769009699435)</f>
        <v>0.977876901</v>
      </c>
    </row>
    <row r="132">
      <c r="P132" s="3">
        <f>IFERROR(__xludf.DUMMYFUNCTION("""COMPUTED_VALUE"""),0.9389594060591544)</f>
        <v>0.9389594061</v>
      </c>
    </row>
    <row r="133">
      <c r="P133" s="3">
        <f>IFERROR(__xludf.DUMMYFUNCTION("""COMPUTED_VALUE"""),0.9557238654053406)</f>
        <v>0.9557238654</v>
      </c>
    </row>
    <row r="134">
      <c r="P134" s="3">
        <f>IFERROR(__xludf.DUMMYFUNCTION("""COMPUTED_VALUE"""),0.6611483654652128)</f>
        <v>0.6611483655</v>
      </c>
    </row>
    <row r="135">
      <c r="P135" s="3">
        <f>IFERROR(__xludf.DUMMYFUNCTION("""COMPUTED_VALUE"""),0.6461800981918324)</f>
        <v>0.6461800982</v>
      </c>
    </row>
    <row r="136">
      <c r="P136" s="3">
        <f>IFERROR(__xludf.DUMMYFUNCTION("""COMPUTED_VALUE"""),0.5994791042988853)</f>
        <v>0.5994791043</v>
      </c>
    </row>
    <row r="137">
      <c r="P137" s="3">
        <f>IFERROR(__xludf.DUMMYFUNCTION("""COMPUTED_VALUE"""),0.43243324152795937)</f>
        <v>0.4324332415</v>
      </c>
    </row>
    <row r="138">
      <c r="P138" s="3">
        <f>IFERROR(__xludf.DUMMYFUNCTION("""COMPUTED_VALUE"""),0.6126511794994602)</f>
        <v>0.6126511795</v>
      </c>
    </row>
    <row r="139">
      <c r="P139" s="3">
        <f>IFERROR(__xludf.DUMMYFUNCTION("""COMPUTED_VALUE"""),0.8198119985630459)</f>
        <v>0.8198119986</v>
      </c>
    </row>
    <row r="140">
      <c r="P140" s="3">
        <f>IFERROR(__xludf.DUMMYFUNCTION("""COMPUTED_VALUE"""),0.7713148125972931)</f>
        <v>0.7713148126</v>
      </c>
    </row>
    <row r="141">
      <c r="P141" s="3">
        <f>IFERROR(__xludf.DUMMYFUNCTION("""COMPUTED_VALUE"""),0.8407675727457785)</f>
        <v>0.8407675727</v>
      </c>
    </row>
    <row r="142">
      <c r="P142" s="3">
        <f>IFERROR(__xludf.DUMMYFUNCTION("""COMPUTED_VALUE"""),0.8653155310741225)</f>
        <v>0.8653155311</v>
      </c>
    </row>
    <row r="143">
      <c r="P143" s="3">
        <f>IFERROR(__xludf.DUMMYFUNCTION("""COMPUTED_VALUE"""),0.798257693689378)</f>
        <v>0.7982576937</v>
      </c>
    </row>
    <row r="144">
      <c r="P144" s="3">
        <f>IFERROR(__xludf.DUMMYFUNCTION("""COMPUTED_VALUE"""),0.7689198898335523)</f>
        <v>0.7689198898</v>
      </c>
    </row>
    <row r="145">
      <c r="P145" s="3">
        <f>IFERROR(__xludf.DUMMYFUNCTION("""COMPUTED_VALUE"""),0.8162196144174345)</f>
        <v>0.8162196144</v>
      </c>
    </row>
    <row r="146">
      <c r="P146" s="3">
        <f>IFERROR(__xludf.DUMMYFUNCTION("""COMPUTED_VALUE"""),0.6300143695365815)</f>
        <v>0.6300143695</v>
      </c>
    </row>
    <row r="147">
      <c r="P147" s="3">
        <f>IFERROR(__xludf.DUMMYFUNCTION("""COMPUTED_VALUE"""),0.6383965992096746)</f>
        <v>0.6383965992</v>
      </c>
    </row>
    <row r="148">
      <c r="P148" s="3">
        <f>IFERROR(__xludf.DUMMYFUNCTION("""COMPUTED_VALUE"""),0.6557597892467959)</f>
        <v>0.6557597892</v>
      </c>
    </row>
    <row r="149">
      <c r="P149" s="3">
        <f>IFERROR(__xludf.DUMMYFUNCTION("""COMPUTED_VALUE"""),0.7719135432882284)</f>
        <v>0.7719135433</v>
      </c>
    </row>
    <row r="150">
      <c r="P150" s="3">
        <f>IFERROR(__xludf.DUMMYFUNCTION("""COMPUTED_VALUE"""),0.801251347144054)</f>
        <v>0.8012513471</v>
      </c>
    </row>
    <row r="151">
      <c r="P151" s="3">
        <f>IFERROR(__xludf.DUMMYFUNCTION("""COMPUTED_VALUE"""),0.8742964914381508)</f>
        <v>0.8742964914</v>
      </c>
    </row>
    <row r="152">
      <c r="P152" s="3">
        <f>IFERROR(__xludf.DUMMYFUNCTION("""COMPUTED_VALUE"""),0.700065860376002)</f>
        <v>0.7000658604</v>
      </c>
    </row>
    <row r="153">
      <c r="P153" s="3">
        <f>IFERROR(__xludf.DUMMYFUNCTION("""COMPUTED_VALUE"""),0.7120404741947065)</f>
        <v>0.7120404742</v>
      </c>
    </row>
    <row r="154">
      <c r="P154" s="3">
        <f>IFERROR(__xludf.DUMMYFUNCTION("""COMPUTED_VALUE"""),0.628816908154711)</f>
        <v>0.6288169082</v>
      </c>
    </row>
    <row r="155">
      <c r="P155" s="3">
        <f>IFERROR(__xludf.DUMMYFUNCTION("""COMPUTED_VALUE"""),0.6976709376122612)</f>
        <v>0.6976709376</v>
      </c>
    </row>
    <row r="156">
      <c r="P156" s="3">
        <f>IFERROR(__xludf.DUMMYFUNCTION("""COMPUTED_VALUE"""),0.5749311459705414)</f>
        <v>0.574931146</v>
      </c>
    </row>
    <row r="157">
      <c r="P157" s="3">
        <f>IFERROR(__xludf.DUMMYFUNCTION("""COMPUTED_VALUE"""),0.448000239492275)</f>
        <v>0.4480002395</v>
      </c>
    </row>
    <row r="158">
      <c r="P158" s="3">
        <f>IFERROR(__xludf.DUMMYFUNCTION("""COMPUTED_VALUE"""),0.9042330259849117)</f>
        <v>0.904233026</v>
      </c>
    </row>
    <row r="159">
      <c r="P159" s="3">
        <f>IFERROR(__xludf.DUMMYFUNCTION("""COMPUTED_VALUE"""),0.9048317566758469)</f>
        <v>0.9048317567</v>
      </c>
    </row>
    <row r="160">
      <c r="P160" s="3">
        <f>IFERROR(__xludf.DUMMYFUNCTION("""COMPUTED_VALUE"""),0.8838761824931143)</f>
        <v>0.8838761825</v>
      </c>
    </row>
    <row r="161">
      <c r="P161" s="3">
        <f>IFERROR(__xludf.DUMMYFUNCTION("""COMPUTED_VALUE"""),0.852742186564483)</f>
        <v>0.8527421866</v>
      </c>
    </row>
    <row r="162">
      <c r="P162" s="3">
        <f>IFERROR(__xludf.DUMMYFUNCTION("""COMPUTED_VALUE"""),0.8216081906358514)</f>
        <v>0.8216081906</v>
      </c>
    </row>
    <row r="163">
      <c r="P163" s="3">
        <f>IFERROR(__xludf.DUMMYFUNCTION("""COMPUTED_VALUE"""),0.8455574182732603)</f>
        <v>0.8455574183</v>
      </c>
    </row>
    <row r="164">
      <c r="P164" s="3">
        <f>IFERROR(__xludf.DUMMYFUNCTION("""COMPUTED_VALUE"""),0.8042450005987302)</f>
        <v>0.8042450006</v>
      </c>
    </row>
    <row r="165">
      <c r="P165" s="3">
        <f>IFERROR(__xludf.DUMMYFUNCTION("""COMPUTED_VALUE"""),0.8311878816908149)</f>
        <v>0.8311878817</v>
      </c>
    </row>
    <row r="166">
      <c r="P166" s="3">
        <f>IFERROR(__xludf.DUMMYFUNCTION("""COMPUTED_VALUE"""),0.8186145371811754)</f>
        <v>0.8186145372</v>
      </c>
    </row>
    <row r="167">
      <c r="P167" s="3">
        <f>IFERROR(__xludf.DUMMYFUNCTION("""COMPUTED_VALUE"""),0.8443599568913899)</f>
        <v>0.8443599569</v>
      </c>
    </row>
    <row r="168">
      <c r="P168" s="3">
        <f>IFERROR(__xludf.DUMMYFUNCTION("""COMPUTED_VALUE"""),0.7940665788528315)</f>
        <v>0.7940665789</v>
      </c>
    </row>
    <row r="169">
      <c r="P169" s="3">
        <f>IFERROR(__xludf.DUMMYFUNCTION("""COMPUTED_VALUE"""),0.8802837983475029)</f>
        <v>0.8802837983</v>
      </c>
    </row>
    <row r="170">
      <c r="P170" s="3">
        <f>IFERROR(__xludf.DUMMYFUNCTION("""COMPUTED_VALUE"""),0.773709735361034)</f>
        <v>0.7737097354</v>
      </c>
    </row>
    <row r="171">
      <c r="P171" s="3">
        <f>IFERROR(__xludf.DUMMYFUNCTION("""COMPUTED_VALUE"""),0.7084480900490951)</f>
        <v>0.70844809</v>
      </c>
    </row>
    <row r="172">
      <c r="P172" s="3">
        <f>IFERROR(__xludf.DUMMYFUNCTION("""COMPUTED_VALUE"""),0.864118069692252)</f>
        <v>0.8641180697</v>
      </c>
    </row>
    <row r="173">
      <c r="P173" s="3">
        <f>IFERROR(__xludf.DUMMYFUNCTION("""COMPUTED_VALUE"""),0.8880672973296608)</f>
        <v>0.8880672973</v>
      </c>
    </row>
    <row r="174">
      <c r="P174" s="3">
        <f>IFERROR(__xludf.DUMMYFUNCTION("""COMPUTED_VALUE"""),0.9108190635851992)</f>
        <v>0.9108190636</v>
      </c>
    </row>
    <row r="175">
      <c r="P175" s="3">
        <f>IFERROR(__xludf.DUMMYFUNCTION("""COMPUTED_VALUE"""),0.9665010178421746)</f>
        <v>0.9665010178</v>
      </c>
    </row>
    <row r="176">
      <c r="P176" s="3">
        <f>IFERROR(__xludf.DUMMYFUNCTION("""COMPUTED_VALUE"""),0.8814812597293733)</f>
        <v>0.8814812597</v>
      </c>
    </row>
    <row r="177">
      <c r="P177" s="3">
        <f>IFERROR(__xludf.DUMMYFUNCTION("""COMPUTED_VALUE"""),0.8701053766016043)</f>
        <v>0.8701053766</v>
      </c>
    </row>
    <row r="178">
      <c r="P178" s="3">
        <f>IFERROR(__xludf.DUMMYFUNCTION("""COMPUTED_VALUE"""),0.8922584121662074)</f>
        <v>0.8922584122</v>
      </c>
    </row>
    <row r="179">
      <c r="P179" s="3">
        <f>IFERROR(__xludf.DUMMYFUNCTION("""COMPUTED_VALUE"""),0.9150101784217456)</f>
        <v>0.9150101784</v>
      </c>
    </row>
    <row r="180">
      <c r="P180" s="3">
        <f>IFERROR(__xludf.DUMMYFUNCTION("""COMPUTED_VALUE"""),0.8341815351454911)</f>
        <v>0.8341815351</v>
      </c>
    </row>
    <row r="181">
      <c r="P181" s="3">
        <f>IFERROR(__xludf.DUMMYFUNCTION("""COMPUTED_VALUE"""),0.8808825290384382)</f>
        <v>0.880882529</v>
      </c>
    </row>
    <row r="182">
      <c r="P182" s="3">
        <f>IFERROR(__xludf.DUMMYFUNCTION("""COMPUTED_VALUE"""),0.8371751886001673)</f>
        <v>0.8371751886</v>
      </c>
    </row>
    <row r="183">
      <c r="P183" s="3">
        <f>IFERROR(__xludf.DUMMYFUNCTION("""COMPUTED_VALUE"""),0.8742964914381508)</f>
        <v>0.8742964914</v>
      </c>
    </row>
    <row r="184">
      <c r="P184" s="3">
        <f>IFERROR(__xludf.DUMMYFUNCTION("""COMPUTED_VALUE"""),0.9311759070769966)</f>
        <v>0.9311759071</v>
      </c>
    </row>
    <row r="185">
      <c r="P185" s="3">
        <f>IFERROR(__xludf.DUMMYFUNCTION("""COMPUTED_VALUE"""),0.9545264040234701)</f>
        <v>0.954526404</v>
      </c>
    </row>
    <row r="186">
      <c r="P186" s="3">
        <f>IFERROR(__xludf.DUMMYFUNCTION("""COMPUTED_VALUE"""),0.9413543288228953)</f>
        <v>0.9413543288</v>
      </c>
    </row>
    <row r="187">
      <c r="P187" s="3">
        <f>IFERROR(__xludf.DUMMYFUNCTION("""COMPUTED_VALUE"""),1.0)</f>
        <v>1</v>
      </c>
    </row>
    <row r="188">
      <c r="P188" s="3">
        <f>IFERROR(__xludf.DUMMYFUNCTION("""COMPUTED_VALUE"""),0.9587175188600168)</f>
        <v>0.9587175189</v>
      </c>
    </row>
    <row r="189">
      <c r="P189" s="3">
        <f>IFERROR(__xludf.DUMMYFUNCTION("""COMPUTED_VALUE"""),0.9371632139863488)</f>
        <v>0.937163214</v>
      </c>
    </row>
    <row r="190">
      <c r="P190" s="3">
        <f>IFERROR(__xludf.DUMMYFUNCTION("""COMPUTED_VALUE"""),0.9281822536223204)</f>
        <v>0.9281822536</v>
      </c>
    </row>
    <row r="191">
      <c r="P191" s="3">
        <f>IFERROR(__xludf.DUMMYFUNCTION("""COMPUTED_VALUE"""),0.9203987546401626)</f>
        <v>0.9203987546</v>
      </c>
    </row>
    <row r="192">
      <c r="P192" s="3">
        <f>IFERROR(__xludf.DUMMYFUNCTION("""COMPUTED_VALUE"""),0.9054304873667821)</f>
        <v>0.9054304874</v>
      </c>
    </row>
    <row r="193">
      <c r="P193" s="3">
        <f>IFERROR(__xludf.DUMMYFUNCTION("""COMPUTED_VALUE"""),0.9192012932582921)</f>
        <v>0.9192012933</v>
      </c>
    </row>
    <row r="194">
      <c r="P194" s="3">
        <f>IFERROR(__xludf.DUMMYFUNCTION("""COMPUTED_VALUE"""),0.8431624955095194)</f>
        <v>0.8431624955</v>
      </c>
    </row>
    <row r="195">
      <c r="P195" s="3">
        <f>IFERROR(__xludf.DUMMYFUNCTION("""COMPUTED_VALUE"""),0.7910729253981554)</f>
        <v>0.7910729254</v>
      </c>
    </row>
    <row r="196">
      <c r="P196" s="3">
        <f>IFERROR(__xludf.DUMMYFUNCTION("""COMPUTED_VALUE"""),0.825799305472398)</f>
        <v>0.8257993055</v>
      </c>
    </row>
    <row r="197">
      <c r="P197" s="3">
        <f>IFERROR(__xludf.DUMMYFUNCTION("""COMPUTED_VALUE"""),0.8210094599449164)</f>
        <v>0.8210094599</v>
      </c>
    </row>
    <row r="198">
      <c r="P198" s="3">
        <f>IFERROR(__xludf.DUMMYFUNCTION("""COMPUTED_VALUE"""),0.8317866123817503)</f>
        <v>0.8317866124</v>
      </c>
    </row>
    <row r="199">
      <c r="P199" s="3">
        <f>IFERROR(__xludf.DUMMYFUNCTION("""COMPUTED_VALUE"""),0.9114177942761342)</f>
        <v>0.9114177943</v>
      </c>
    </row>
    <row r="200">
      <c r="P200" s="3">
        <f>IFERROR(__xludf.DUMMYFUNCTION("""COMPUTED_VALUE"""),0.812028499580888)</f>
        <v>0.8120284996</v>
      </c>
    </row>
    <row r="201">
      <c r="P201" s="3">
        <f>IFERROR(__xludf.DUMMYFUNCTION("""COMPUTED_VALUE"""),0.6916836307029091)</f>
        <v>0.6916836307</v>
      </c>
    </row>
    <row r="202">
      <c r="P202" s="3">
        <f>IFERROR(__xludf.DUMMYFUNCTION("""COMPUTED_VALUE"""),0.7743084660519692)</f>
        <v>0.7743084661</v>
      </c>
    </row>
    <row r="203">
      <c r="P203" s="3">
        <f>IFERROR(__xludf.DUMMYFUNCTION("""COMPUTED_VALUE"""),0.8485510717279364)</f>
        <v>0.8485510717</v>
      </c>
    </row>
    <row r="204">
      <c r="P204" s="3">
        <f>IFERROR(__xludf.DUMMYFUNCTION("""COMPUTED_VALUE"""),0.7934678481618962)</f>
        <v>0.7934678482</v>
      </c>
    </row>
    <row r="205">
      <c r="P205" s="3">
        <f>IFERROR(__xludf.DUMMYFUNCTION("""COMPUTED_VALUE"""),0.902436833912106)</f>
        <v>0.9024368339</v>
      </c>
    </row>
    <row r="206">
      <c r="P206" s="3">
        <f>IFERROR(__xludf.DUMMYFUNCTION("""COMPUTED_VALUE"""),0.9557238654053406)</f>
        <v>0.9557238654</v>
      </c>
    </row>
    <row r="207">
      <c r="P207" s="3">
        <f>IFERROR(__xludf.DUMMYFUNCTION("""COMPUTED_VALUE"""),0.9467429050413123)</f>
        <v>0.946742905</v>
      </c>
    </row>
    <row r="208">
      <c r="P208" s="3">
        <f>IFERROR(__xludf.DUMMYFUNCTION("""COMPUTED_VALUE"""),0.9988324751526763)</f>
        <v>0.9988324752</v>
      </c>
    </row>
    <row r="209">
      <c r="P209" s="3">
        <f>IFERROR(__xludf.DUMMYFUNCTION("""COMPUTED_VALUE"""),1.0)</f>
        <v>1</v>
      </c>
    </row>
    <row r="210">
      <c r="P210" s="3">
        <f>IFERROR(__xludf.DUMMYFUNCTION("""COMPUTED_VALUE"""),1.0)</f>
        <v>1</v>
      </c>
    </row>
    <row r="211">
      <c r="P211" s="3">
        <f>IFERROR(__xludf.DUMMYFUNCTION("""COMPUTED_VALUE"""),1.0)</f>
        <v>1</v>
      </c>
    </row>
    <row r="212">
      <c r="P212" s="3">
        <f>IFERROR(__xludf.DUMMYFUNCTION("""COMPUTED_VALUE"""),0.9964375523889355)</f>
        <v>0.9964375524</v>
      </c>
    </row>
    <row r="213">
      <c r="P213" s="3">
        <f>IFERROR(__xludf.DUMMYFUNCTION("""COMPUTED_VALUE"""),0.9874565920249071)</f>
        <v>0.987456592</v>
      </c>
    </row>
    <row r="214">
      <c r="P214" s="3">
        <f>IFERROR(__xludf.DUMMYFUNCTION("""COMPUTED_VALUE"""),0.9844629385702311)</f>
        <v>0.9844629386</v>
      </c>
    </row>
    <row r="215">
      <c r="P215" s="3">
        <f>IFERROR(__xludf.DUMMYFUNCTION("""COMPUTED_VALUE"""),0.9988324751526763)</f>
        <v>0.9988324752</v>
      </c>
    </row>
    <row r="216">
      <c r="P216" s="3">
        <f>IFERROR(__xludf.DUMMYFUNCTION("""COMPUTED_VALUE"""),0.9796730930427493)</f>
        <v>0.979673093</v>
      </c>
    </row>
    <row r="217">
      <c r="P217" s="3">
        <f>IFERROR(__xludf.DUMMYFUNCTION("""COMPUTED_VALUE"""),1.0)</f>
        <v>1</v>
      </c>
    </row>
    <row r="218">
      <c r="P218" s="3">
        <f>IFERROR(__xludf.DUMMYFUNCTION("""COMPUTED_VALUE"""),0.8934558735480778)</f>
        <v>0.8934558735</v>
      </c>
    </row>
    <row r="219">
      <c r="P219" s="3">
        <f>IFERROR(__xludf.DUMMYFUNCTION("""COMPUTED_VALUE"""),0.8910609507843369)</f>
        <v>0.8910609508</v>
      </c>
    </row>
    <row r="220">
      <c r="P220" s="3">
        <f>IFERROR(__xludf.DUMMYFUNCTION("""COMPUTED_VALUE"""),0.9545264040234701)</f>
        <v>0.954526404</v>
      </c>
    </row>
    <row r="221">
      <c r="P221" s="3">
        <f>IFERROR(__xludf.DUMMYFUNCTION("""COMPUTED_VALUE"""),0.9497365584959884)</f>
        <v>0.9497365585</v>
      </c>
    </row>
    <row r="222">
      <c r="P222" s="3">
        <f>IFERROR(__xludf.DUMMYFUNCTION("""COMPUTED_VALUE"""),0.9718895940605915)</f>
        <v>0.9718895941</v>
      </c>
    </row>
    <row r="223">
      <c r="P223" s="3">
        <f>IFERROR(__xludf.DUMMYFUNCTION("""COMPUTED_VALUE"""),0.9910489761705185)</f>
        <v>0.9910489762</v>
      </c>
    </row>
    <row r="224">
      <c r="P224" s="3">
        <f>IFERROR(__xludf.DUMMYFUNCTION("""COMPUTED_VALUE"""),0.9635073643874984)</f>
        <v>0.9635073644</v>
      </c>
    </row>
    <row r="225">
      <c r="P225" s="3">
        <f>IFERROR(__xludf.DUMMYFUNCTION("""COMPUTED_VALUE"""),0.956921326787211)</f>
        <v>0.9569213268</v>
      </c>
    </row>
    <row r="226">
      <c r="P226" s="3">
        <f>IFERROR(__xludf.DUMMYFUNCTION("""COMPUTED_VALUE"""),0.9443479822775713)</f>
        <v>0.9443479823</v>
      </c>
    </row>
    <row r="227">
      <c r="P227" s="3">
        <f>IFERROR(__xludf.DUMMYFUNCTION("""COMPUTED_VALUE"""),0.9688959406059153)</f>
        <v>0.9688959406</v>
      </c>
    </row>
    <row r="228">
      <c r="P228" s="3">
        <f>IFERROR(__xludf.DUMMYFUNCTION("""COMPUTED_VALUE"""),0.9497365584959884)</f>
        <v>0.9497365585</v>
      </c>
    </row>
    <row r="229">
      <c r="P229" s="3">
        <f>IFERROR(__xludf.DUMMYFUNCTION("""COMPUTED_VALUE"""),0.9736857861333972)</f>
        <v>0.9736857861</v>
      </c>
    </row>
    <row r="230">
      <c r="P230" s="3">
        <f>IFERROR(__xludf.DUMMYFUNCTION("""COMPUTED_VALUE"""),0.9455454436594418)</f>
        <v>0.9455454437</v>
      </c>
    </row>
    <row r="231">
      <c r="P231" s="3">
        <f>IFERROR(__xludf.DUMMYFUNCTION("""COMPUTED_VALUE"""),0.9162076398036162)</f>
        <v>0.9162076398</v>
      </c>
    </row>
    <row r="232">
      <c r="P232" s="3">
        <f>IFERROR(__xludf.DUMMYFUNCTION("""COMPUTED_VALUE"""),0.9365644832954135)</f>
        <v>0.9365644833</v>
      </c>
    </row>
    <row r="233">
      <c r="P233" s="3">
        <f>IFERROR(__xludf.DUMMYFUNCTION("""COMPUTED_VALUE"""),0.9311759070769966)</f>
        <v>0.9311759071</v>
      </c>
    </row>
    <row r="234">
      <c r="P234" s="3">
        <f>IFERROR(__xludf.DUMMYFUNCTION("""COMPUTED_VALUE"""),0.9581187881690815)</f>
        <v>0.9581187882</v>
      </c>
    </row>
    <row r="235">
      <c r="P235" s="3">
        <f>IFERROR(__xludf.DUMMYFUNCTION("""COMPUTED_VALUE"""),0.9742845168243323)</f>
        <v>0.9742845168</v>
      </c>
    </row>
    <row r="236">
      <c r="P236" s="3">
        <f>IFERROR(__xludf.DUMMYFUNCTION("""COMPUTED_VALUE"""),0.943150520895701)</f>
        <v>0.9431505209</v>
      </c>
    </row>
    <row r="237">
      <c r="P237" s="3">
        <f>IFERROR(__xludf.DUMMYFUNCTION("""COMPUTED_VALUE"""),0.9617111723146926)</f>
        <v>0.9617111723</v>
      </c>
    </row>
    <row r="238">
      <c r="P238" s="3">
        <f>IFERROR(__xludf.DUMMYFUNCTION("""COMPUTED_VALUE"""),0.9790743623518141)</f>
        <v>0.9790743624</v>
      </c>
    </row>
    <row r="239">
      <c r="P239" s="3">
        <f>IFERROR(__xludf.DUMMYFUNCTION("""COMPUTED_VALUE"""),0.9880553227158424)</f>
        <v>0.9880553227</v>
      </c>
    </row>
    <row r="240">
      <c r="P240" s="3">
        <f>IFERROR(__xludf.DUMMYFUNCTION("""COMPUTED_VALUE"""),1.0)</f>
        <v>1</v>
      </c>
    </row>
    <row r="241">
      <c r="P241" s="3">
        <f>IFERROR(__xludf.DUMMYFUNCTION("""COMPUTED_VALUE"""),0.9856603999521015)</f>
        <v>0.9856604</v>
      </c>
    </row>
    <row r="242">
      <c r="P242" s="3">
        <f>IFERROR(__xludf.DUMMYFUNCTION("""COMPUTED_VALUE"""),0.9784756316608788)</f>
        <v>0.9784756317</v>
      </c>
    </row>
    <row r="243">
      <c r="P243" s="3">
        <f>IFERROR(__xludf.DUMMYFUNCTION("""COMPUTED_VALUE"""),0.9647048257693688)</f>
        <v>0.9647048258</v>
      </c>
    </row>
    <row r="244">
      <c r="P244" s="3">
        <f>IFERROR(__xludf.DUMMYFUNCTION("""COMPUTED_VALUE"""),0.9838642078792958)</f>
        <v>0.9838642079</v>
      </c>
    </row>
    <row r="245">
      <c r="P245" s="3">
        <f>IFERROR(__xludf.DUMMYFUNCTION("""COMPUTED_VALUE"""),0.9748832475152676)</f>
        <v>0.9748832475</v>
      </c>
    </row>
    <row r="246">
      <c r="P246" s="3">
        <f>IFERROR(__xludf.DUMMYFUNCTION("""COMPUTED_VALUE"""),0.9910489761705185)</f>
        <v>0.9910489762</v>
      </c>
    </row>
    <row r="247">
      <c r="P247" s="3">
        <f>IFERROR(__xludf.DUMMYFUNCTION("""COMPUTED_VALUE"""),1.0)</f>
        <v>1</v>
      </c>
    </row>
    <row r="248">
      <c r="P248" s="3">
        <f>IFERROR(__xludf.DUMMYFUNCTION("""COMPUTED_VALUE"""),0.995240091007065)</f>
        <v>0.995240091</v>
      </c>
    </row>
    <row r="249">
      <c r="P249" s="3">
        <f>IFERROR(__xludf.DUMMYFUNCTION("""COMPUTED_VALUE"""),1.0)</f>
        <v>1</v>
      </c>
    </row>
    <row r="250">
      <c r="P250" s="3">
        <f>IFERROR(__xludf.DUMMYFUNCTION("""COMPUTED_VALUE"""),0.9916477068614536)</f>
        <v>0.9916477069</v>
      </c>
    </row>
    <row r="251">
      <c r="P251" s="3">
        <f>IFERROR(__xludf.DUMMYFUNCTION("""COMPUTED_VALUE"""),1.0)</f>
        <v>1</v>
      </c>
    </row>
    <row r="252">
      <c r="P252" s="3">
        <f>IFERROR(__xludf.DUMMYFUNCTION("""COMPUTED_VALUE"""),0.9940426296251946)</f>
        <v>0.9940426296</v>
      </c>
    </row>
    <row r="253">
      <c r="P253" s="3">
        <f>IFERROR(__xludf.DUMMYFUNCTION("""COMPUTED_VALUE"""),1.0)</f>
        <v>1</v>
      </c>
    </row>
    <row r="254">
      <c r="P254" s="3">
        <f>IFERROR(__xludf.DUMMYFUNCTION("""COMPUTED_VALUE"""),0.7228176266315405)</f>
        <v>0.7228176266</v>
      </c>
    </row>
    <row r="255">
      <c r="P255" s="3">
        <f>IFERROR(__xludf.DUMMYFUNCTION("""COMPUTED_VALUE"""),0.702460783139743)</f>
        <v>0.7024607831</v>
      </c>
    </row>
    <row r="256">
      <c r="P256" s="3">
        <f>IFERROR(__xludf.DUMMYFUNCTION("""COMPUTED_VALUE"""),0.8162196144174345)</f>
        <v>0.8162196144</v>
      </c>
    </row>
    <row r="257">
      <c r="P257" s="3">
        <f>IFERROR(__xludf.DUMMYFUNCTION("""COMPUTED_VALUE"""),0.7946653095437667)</f>
        <v>0.7946653095</v>
      </c>
    </row>
    <row r="258">
      <c r="P258" s="3">
        <f>IFERROR(__xludf.DUMMYFUNCTION("""COMPUTED_VALUE"""),0.8832774518021791)</f>
        <v>0.8832774518</v>
      </c>
    </row>
    <row r="259">
      <c r="P259" s="3">
        <f>IFERROR(__xludf.DUMMYFUNCTION("""COMPUTED_VALUE"""),0.9563225960962757)</f>
        <v>0.9563225961</v>
      </c>
    </row>
    <row r="260">
      <c r="P260" s="3">
        <f>IFERROR(__xludf.DUMMYFUNCTION("""COMPUTED_VALUE"""),0.9018381032211709)</f>
        <v>0.9018381032</v>
      </c>
    </row>
    <row r="261">
      <c r="P261" s="3">
        <f>IFERROR(__xludf.DUMMYFUNCTION("""COMPUTED_VALUE"""),0.8814812597293733)</f>
        <v>0.8814812597</v>
      </c>
    </row>
    <row r="262">
      <c r="P262" s="3">
        <f>IFERROR(__xludf.DUMMYFUNCTION("""COMPUTED_VALUE"""),0.7988564243803132)</f>
        <v>0.7988564244</v>
      </c>
    </row>
    <row r="263">
      <c r="P263" s="3">
        <f>IFERROR(__xludf.DUMMYFUNCTION("""COMPUTED_VALUE"""),0.7102442821219008)</f>
        <v>0.7102442821</v>
      </c>
    </row>
    <row r="264">
      <c r="P264" s="3">
        <f>IFERROR(__xludf.DUMMYFUNCTION("""COMPUTED_VALUE"""),0.5725362232068005)</f>
        <v>0.5725362232</v>
      </c>
    </row>
    <row r="265">
      <c r="P265" s="3">
        <f>IFERROR(__xludf.DUMMYFUNCTION("""COMPUTED_VALUE"""),0.6844988624116864)</f>
        <v>0.6844988624</v>
      </c>
    </row>
    <row r="266">
      <c r="P266" s="3">
        <f>IFERROR(__xludf.DUMMYFUNCTION("""COMPUTED_VALUE"""),0.9401568674410248)</f>
        <v>0.9401568674</v>
      </c>
    </row>
    <row r="267">
      <c r="P267" s="3">
        <f>IFERROR(__xludf.DUMMYFUNCTION("""COMPUTED_VALUE"""),0.8000538857621836)</f>
        <v>0.8000538858</v>
      </c>
    </row>
    <row r="268">
      <c r="P268" s="3">
        <f>IFERROR(__xludf.DUMMYFUNCTION("""COMPUTED_VALUE"""),0.8557358400191589)</f>
        <v>0.85573584</v>
      </c>
    </row>
    <row r="269">
      <c r="P269" s="3">
        <f>IFERROR(__xludf.DUMMYFUNCTION("""COMPUTED_VALUE"""),0.8449586875823251)</f>
        <v>0.8449586876</v>
      </c>
    </row>
    <row r="270">
      <c r="P270" s="3">
        <f>IFERROR(__xludf.DUMMYFUNCTION("""COMPUTED_VALUE"""),0.943150520895701)</f>
        <v>0.9431505209</v>
      </c>
    </row>
    <row r="271">
      <c r="P271" s="3">
        <f>IFERROR(__xludf.DUMMYFUNCTION("""COMPUTED_VALUE"""),1.0)</f>
        <v>1</v>
      </c>
    </row>
    <row r="272">
      <c r="P272" s="3">
        <f>IFERROR(__xludf.DUMMYFUNCTION("""COMPUTED_VALUE"""),1.0)</f>
        <v>1</v>
      </c>
    </row>
    <row r="273">
      <c r="P273" s="3">
        <f>IFERROR(__xludf.DUMMYFUNCTION("""COMPUTED_VALUE"""),0.998233744461741)</f>
        <v>0.9982337445</v>
      </c>
    </row>
    <row r="274">
      <c r="P274" s="3">
        <f>IFERROR(__xludf.DUMMYFUNCTION("""COMPUTED_VALUE"""),0.9048317566758469)</f>
        <v>0.9048317567</v>
      </c>
    </row>
    <row r="275">
      <c r="P275" s="3">
        <f>IFERROR(__xludf.DUMMYFUNCTION("""COMPUTED_VALUE"""),0.9688959406059153)</f>
        <v>0.9688959406</v>
      </c>
    </row>
    <row r="276">
      <c r="P276" s="3">
        <f>IFERROR(__xludf.DUMMYFUNCTION("""COMPUTED_VALUE"""),0.8796850676565677)</f>
        <v>0.8796850677</v>
      </c>
    </row>
    <row r="277">
      <c r="P277" s="3">
        <f>IFERROR(__xludf.DUMMYFUNCTION("""COMPUTED_VALUE"""),0.9509340198778587)</f>
        <v>0.9509340199</v>
      </c>
    </row>
    <row r="278">
      <c r="P278" s="3">
        <f>IFERROR(__xludf.DUMMYFUNCTION("""COMPUTED_VALUE"""),0.9419530595138306)</f>
        <v>0.9419530595</v>
      </c>
    </row>
    <row r="279">
      <c r="P279" s="3">
        <f>IFERROR(__xludf.DUMMYFUNCTION("""COMPUTED_VALUE"""),0.9419530595138306)</f>
        <v>0.9419530595</v>
      </c>
    </row>
    <row r="280">
      <c r="P280" s="3">
        <f>IFERROR(__xludf.DUMMYFUNCTION("""COMPUTED_VALUE"""),0.9940426296251946)</f>
        <v>0.9940426296</v>
      </c>
    </row>
    <row r="281">
      <c r="P281" s="3">
        <f>IFERROR(__xludf.DUMMYFUNCTION("""COMPUTED_VALUE"""),0.9850616692611662)</f>
        <v>0.9850616693</v>
      </c>
    </row>
    <row r="282">
      <c r="P282" s="3">
        <f>IFERROR(__xludf.DUMMYFUNCTION("""COMPUTED_VALUE"""),0.9892527840977128)</f>
        <v>0.9892527841</v>
      </c>
    </row>
    <row r="283">
      <c r="P283" s="3">
        <f>IFERROR(__xludf.DUMMYFUNCTION("""COMPUTED_VALUE"""),1.0)</f>
        <v>1</v>
      </c>
    </row>
    <row r="284">
      <c r="P284" s="3">
        <f>IFERROR(__xludf.DUMMYFUNCTION("""COMPUTED_VALUE"""),1.0)</f>
        <v>1</v>
      </c>
    </row>
    <row r="285">
      <c r="P285" s="3">
        <f>IFERROR(__xludf.DUMMYFUNCTION("""COMPUTED_VALUE"""),1.0)</f>
        <v>1</v>
      </c>
    </row>
    <row r="286">
      <c r="P286" s="3">
        <f>IFERROR(__xludf.DUMMYFUNCTION("""COMPUTED_VALUE"""),0.9892527840977128)</f>
        <v>0.9892527841</v>
      </c>
    </row>
    <row r="287">
      <c r="P287" s="3">
        <f>IFERROR(__xludf.DUMMYFUNCTION("""COMPUTED_VALUE"""),1.0)</f>
        <v>1</v>
      </c>
    </row>
    <row r="288">
      <c r="P288" s="3">
        <f>IFERROR(__xludf.DUMMYFUNCTION("""COMPUTED_VALUE"""),1.0)</f>
        <v>1</v>
      </c>
    </row>
    <row r="289">
      <c r="P289" s="3">
        <f>IFERROR(__xludf.DUMMYFUNCTION("""COMPUTED_VALUE"""),1.0)</f>
        <v>1</v>
      </c>
    </row>
    <row r="290">
      <c r="P290" s="3">
        <f>IFERROR(__xludf.DUMMYFUNCTION("""COMPUTED_VALUE"""),0.2438330738833654)</f>
        <v>0.2438330739</v>
      </c>
    </row>
    <row r="291">
      <c r="P291" s="3">
        <f>IFERROR(__xludf.DUMMYFUNCTION("""COMPUTED_VALUE"""),0.1378577415878317)</f>
        <v>0.1378577416</v>
      </c>
    </row>
    <row r="292">
      <c r="P292" s="3">
        <f>IFERROR(__xludf.DUMMYFUNCTION("""COMPUTED_VALUE"""),0.29113279846724766)</f>
        <v>0.2911327985</v>
      </c>
    </row>
    <row r="293">
      <c r="P293" s="3">
        <f>IFERROR(__xludf.DUMMYFUNCTION("""COMPUTED_VALUE"""),0.14923362471560084)</f>
        <v>0.1492336247</v>
      </c>
    </row>
    <row r="294">
      <c r="P294" s="3">
        <f>IFERROR(__xludf.DUMMYFUNCTION("""COMPUTED_VALUE"""),0.2540114956292641)</f>
        <v>0.2540114956</v>
      </c>
    </row>
    <row r="295">
      <c r="P295" s="3">
        <f>IFERROR(__xludf.DUMMYFUNCTION("""COMPUTED_VALUE"""),0.5815171835708287)</f>
        <v>0.5815171836</v>
      </c>
    </row>
    <row r="296">
      <c r="P296" s="3">
        <f>IFERROR(__xludf.DUMMYFUNCTION("""COMPUTED_VALUE"""),0.5659501856065131)</f>
        <v>0.5659501856</v>
      </c>
    </row>
    <row r="297">
      <c r="P297" s="3">
        <f>IFERROR(__xludf.DUMMYFUNCTION("""COMPUTED_VALUE"""),0.6856963237935568)</f>
        <v>0.6856963238</v>
      </c>
    </row>
    <row r="298">
      <c r="P298" s="3">
        <f>IFERROR(__xludf.DUMMYFUNCTION("""COMPUTED_VALUE"""),0.7353909711411801)</f>
        <v>0.7353909711</v>
      </c>
    </row>
    <row r="299">
      <c r="P299" s="3">
        <f>IFERROR(__xludf.DUMMYFUNCTION("""COMPUTED_VALUE"""),0.6509699437193143)</f>
        <v>0.6509699437</v>
      </c>
    </row>
    <row r="300">
      <c r="P300" s="3">
        <f>IFERROR(__xludf.DUMMYFUNCTION("""COMPUTED_VALUE"""),0.47853550472997114)</f>
        <v>0.4785355047</v>
      </c>
    </row>
    <row r="301">
      <c r="P301" s="3">
        <f>IFERROR(__xludf.DUMMYFUNCTION("""COMPUTED_VALUE"""),0.5611603400790313)</f>
        <v>0.5611603401</v>
      </c>
    </row>
    <row r="302">
      <c r="P302" s="3">
        <f>IFERROR(__xludf.DUMMYFUNCTION("""COMPUTED_VALUE"""),0.7934678481618962)</f>
        <v>0.7934678482</v>
      </c>
    </row>
    <row r="303">
      <c r="P303" s="3">
        <f>IFERROR(__xludf.DUMMYFUNCTION("""COMPUTED_VALUE"""),0.8204107292539811)</f>
        <v>0.8204107293</v>
      </c>
    </row>
    <row r="304">
      <c r="P304" s="3">
        <f>IFERROR(__xludf.DUMMYFUNCTION("""COMPUTED_VALUE"""),0.8605256855466407)</f>
        <v>0.8605256855</v>
      </c>
    </row>
    <row r="305">
      <c r="P305" s="3">
        <f>IFERROR(__xludf.DUMMYFUNCTION("""COMPUTED_VALUE"""),0.7755059274338396)</f>
        <v>0.7755059274</v>
      </c>
    </row>
    <row r="306">
      <c r="P306" s="3">
        <f>IFERROR(__xludf.DUMMYFUNCTION("""COMPUTED_VALUE"""),0.8599269548557055)</f>
        <v>0.8599269549</v>
      </c>
    </row>
    <row r="307">
      <c r="P307" s="3">
        <f>IFERROR(__xludf.DUMMYFUNCTION("""COMPUTED_VALUE"""),0.9329720991498023)</f>
        <v>0.9329720991</v>
      </c>
    </row>
    <row r="308">
      <c r="P308" s="3">
        <f>IFERROR(__xludf.DUMMYFUNCTION("""COMPUTED_VALUE"""),0.8647168003831872)</f>
        <v>0.8647168004</v>
      </c>
    </row>
    <row r="309">
      <c r="P309" s="3">
        <f>IFERROR(__xludf.DUMMYFUNCTION("""COMPUTED_VALUE"""),0.8892647587115312)</f>
        <v>0.8892647587</v>
      </c>
    </row>
    <row r="310">
      <c r="P310" s="3">
        <f>IFERROR(__xludf.DUMMYFUNCTION("""COMPUTED_VALUE"""),0.9215962160220331)</f>
        <v>0.921596216</v>
      </c>
    </row>
    <row r="311">
      <c r="P311" s="3">
        <f>IFERROR(__xludf.DUMMYFUNCTION("""COMPUTED_VALUE"""),0.8982457190755595)</f>
        <v>0.8982457191</v>
      </c>
    </row>
    <row r="312">
      <c r="P312" s="3">
        <f>IFERROR(__xludf.DUMMYFUNCTION("""COMPUTED_VALUE"""),0.7725122739791636)</f>
        <v>0.772512274</v>
      </c>
    </row>
    <row r="313">
      <c r="P313" s="3">
        <f>IFERROR(__xludf.DUMMYFUNCTION("""COMPUTED_VALUE"""),0.795264040234702)</f>
        <v>0.7952640402</v>
      </c>
    </row>
    <row r="314">
      <c r="P314" s="3">
        <f>IFERROR(__xludf.DUMMYFUNCTION("""COMPUTED_VALUE"""),0.0)</f>
        <v>0</v>
      </c>
    </row>
    <row r="315">
      <c r="P315" s="3">
        <f>IFERROR(__xludf.DUMMYFUNCTION("""COMPUTED_VALUE"""),0.0)</f>
        <v>0</v>
      </c>
    </row>
    <row r="316">
      <c r="P316" s="3">
        <f>IFERROR(__xludf.DUMMYFUNCTION("""COMPUTED_VALUE"""),0.0)</f>
        <v>0</v>
      </c>
    </row>
    <row r="317">
      <c r="P317" s="3">
        <f>IFERROR(__xludf.DUMMYFUNCTION("""COMPUTED_VALUE"""),0.0)</f>
        <v>0</v>
      </c>
    </row>
    <row r="318">
      <c r="P318" s="3">
        <f>IFERROR(__xludf.DUMMYFUNCTION("""COMPUTED_VALUE"""),0.0)</f>
        <v>0</v>
      </c>
    </row>
    <row r="319">
      <c r="P319" s="3">
        <f>IFERROR(__xludf.DUMMYFUNCTION("""COMPUTED_VALUE"""),0.3240629864686847)</f>
        <v>0.3240629865</v>
      </c>
    </row>
    <row r="320">
      <c r="P320" s="3">
        <f>IFERROR(__xludf.DUMMYFUNCTION("""COMPUTED_VALUE"""),0.07199736558495755)</f>
        <v>0.07199736558</v>
      </c>
    </row>
    <row r="321">
      <c r="P321" s="3">
        <f>IFERROR(__xludf.DUMMYFUNCTION("""COMPUTED_VALUE"""),0.08516944078553229)</f>
        <v>0.08516944079</v>
      </c>
    </row>
    <row r="322">
      <c r="P322" s="3">
        <f>IFERROR(__xludf.DUMMYFUNCTION("""COMPUTED_VALUE"""),0.48871392647586986)</f>
        <v>0.4887139265</v>
      </c>
    </row>
    <row r="323">
      <c r="P323" s="3">
        <f>IFERROR(__xludf.DUMMYFUNCTION("""COMPUTED_VALUE"""),0.554574302478744)</f>
        <v>0.5545743025</v>
      </c>
    </row>
    <row r="324">
      <c r="P324" s="3">
        <f>IFERROR(__xludf.DUMMYFUNCTION("""COMPUTED_VALUE"""),0.3923182852352997)</f>
        <v>0.3923182852</v>
      </c>
    </row>
    <row r="325">
      <c r="P325" s="3">
        <f>IFERROR(__xludf.DUMMYFUNCTION("""COMPUTED_VALUE"""),0.5150580768770194)</f>
        <v>0.5150580769</v>
      </c>
    </row>
    <row r="326">
      <c r="P326" s="3">
        <f>IFERROR(__xludf.DUMMYFUNCTION("""COMPUTED_VALUE"""),0.0)</f>
        <v>0</v>
      </c>
    </row>
    <row r="327">
      <c r="P327" s="3">
        <f>IFERROR(__xludf.DUMMYFUNCTION("""COMPUTED_VALUE"""),0.0)</f>
        <v>0</v>
      </c>
    </row>
    <row r="328">
      <c r="P328" s="3">
        <f>IFERROR(__xludf.DUMMYFUNCTION("""COMPUTED_VALUE"""),0.0)</f>
        <v>0</v>
      </c>
    </row>
    <row r="329">
      <c r="P329" s="3">
        <f>IFERROR(__xludf.DUMMYFUNCTION("""COMPUTED_VALUE"""),0.0)</f>
        <v>0</v>
      </c>
    </row>
    <row r="330">
      <c r="P330" s="3">
        <f>IFERROR(__xludf.DUMMYFUNCTION("""COMPUTED_VALUE"""),0.3767512872709839)</f>
        <v>0.3767512873</v>
      </c>
    </row>
    <row r="331">
      <c r="P331" s="3">
        <f>IFERROR(__xludf.DUMMYFUNCTION("""COMPUTED_VALUE"""),0.6413902526643507)</f>
        <v>0.6413902527</v>
      </c>
    </row>
    <row r="332">
      <c r="P332" s="3">
        <f>IFERROR(__xludf.DUMMYFUNCTION("""COMPUTED_VALUE"""),0.6336067536821929)</f>
        <v>0.6336067537</v>
      </c>
    </row>
    <row r="333">
      <c r="P333" s="3">
        <f>IFERROR(__xludf.DUMMYFUNCTION("""COMPUTED_VALUE"""),0.6366004071368688)</f>
        <v>0.6366004071</v>
      </c>
    </row>
    <row r="334">
      <c r="P334" s="3">
        <f>IFERROR(__xludf.DUMMYFUNCTION("""COMPUTED_VALUE"""),0.727008741468087)</f>
        <v>0.7270087415</v>
      </c>
    </row>
    <row r="335">
      <c r="P335" s="3">
        <f>IFERROR(__xludf.DUMMYFUNCTION("""COMPUTED_VALUE"""),0.852742186564483)</f>
        <v>0.8527421866</v>
      </c>
    </row>
    <row r="336">
      <c r="P336" s="3">
        <f>IFERROR(__xludf.DUMMYFUNCTION("""COMPUTED_VALUE"""),0.8629206083103816)</f>
        <v>0.8629206083</v>
      </c>
    </row>
    <row r="337">
      <c r="P337" s="3">
        <f>IFERROR(__xludf.DUMMYFUNCTION("""COMPUTED_VALUE"""),0.8623218776194465)</f>
        <v>0.8623218776</v>
      </c>
    </row>
    <row r="338">
      <c r="P338" s="3">
        <f>IFERROR(__xludf.DUMMYFUNCTION("""COMPUTED_VALUE"""),0.781493234343192)</f>
        <v>0.7814932343</v>
      </c>
    </row>
    <row r="339">
      <c r="P339" s="3">
        <f>IFERROR(__xludf.DUMMYFUNCTION("""COMPUTED_VALUE"""),0.7886780026344145)</f>
        <v>0.7886780026</v>
      </c>
    </row>
    <row r="340">
      <c r="P340" s="3">
        <f>IFERROR(__xludf.DUMMYFUNCTION("""COMPUTED_VALUE"""),0.825799305472398)</f>
        <v>0.8257993055</v>
      </c>
    </row>
    <row r="341">
      <c r="P341" s="3">
        <f>IFERROR(__xludf.DUMMYFUNCTION("""COMPUTED_VALUE"""),0.841965034127649)</f>
        <v>0.8419650341</v>
      </c>
    </row>
    <row r="342">
      <c r="P342" s="3">
        <f>IFERROR(__xludf.DUMMYFUNCTION("""COMPUTED_VALUE"""),0.8048437312896654)</f>
        <v>0.8048437313</v>
      </c>
    </row>
    <row r="343">
      <c r="P343" s="3">
        <f>IFERROR(__xludf.DUMMYFUNCTION("""COMPUTED_VALUE"""),0.9239911387857739)</f>
        <v>0.9239911388</v>
      </c>
    </row>
    <row r="344">
      <c r="P344" s="3">
        <f>IFERROR(__xludf.DUMMYFUNCTION("""COMPUTED_VALUE"""),0.836576457909232)</f>
        <v>0.8365764579</v>
      </c>
    </row>
    <row r="345">
      <c r="P345" s="3">
        <f>IFERROR(__xludf.DUMMYFUNCTION("""COMPUTED_VALUE"""),0.8222069213267867)</f>
        <v>0.8222069213</v>
      </c>
    </row>
    <row r="346">
      <c r="P346" s="3">
        <f>IFERROR(__xludf.DUMMYFUNCTION("""COMPUTED_VALUE"""),0.7994551550712484)</f>
        <v>0.7994551551</v>
      </c>
    </row>
    <row r="347">
      <c r="P347" s="3">
        <f>IFERROR(__xludf.DUMMYFUNCTION("""COMPUTED_VALUE"""),0.8263980361633333)</f>
        <v>0.8263980362</v>
      </c>
    </row>
    <row r="348">
      <c r="P348" s="3">
        <f>IFERROR(__xludf.DUMMYFUNCTION("""COMPUTED_VALUE"""),0.8204107292539811)</f>
        <v>0.8204107293</v>
      </c>
    </row>
    <row r="349">
      <c r="P349" s="3">
        <f>IFERROR(__xludf.DUMMYFUNCTION("""COMPUTED_VALUE"""),0.8593282241647703)</f>
        <v>0.8593282242</v>
      </c>
    </row>
  </sheetData>
  <drawing r:id="rId1"/>
</worksheet>
</file>