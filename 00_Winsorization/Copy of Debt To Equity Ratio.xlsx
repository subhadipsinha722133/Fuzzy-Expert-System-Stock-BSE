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LOG_DE" sheetId="2" r:id="rId6"/>
    <sheet state="visible" name="non_bank" sheetId="3" r:id="rId7"/>
    <sheet state="visible" name="bank" sheetId="4" r:id="rId8"/>
    <sheet state="visible" name="non_bank_normalise" sheetId="5" r:id="rId9"/>
    <sheet state="visible" name="bank_normalise" sheetId="6" r:id="rId10"/>
    <sheet state="visible" name="combined_normalised" sheetId="7" r:id="rId11"/>
  </sheets>
  <definedNames/>
  <calcPr/>
</workbook>
</file>

<file path=xl/sharedStrings.xml><?xml version="1.0" encoding="utf-8"?>
<sst xmlns="http://schemas.openxmlformats.org/spreadsheetml/2006/main" count="160" uniqueCount="34">
  <si>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</si>
  <si>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</si>
  <si>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</si>
  <si>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</si>
  <si>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</si>
  <si>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</si>
  <si>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</si>
  <si>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</si>
  <si>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</si>
  <si>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</si>
  <si>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</si>
  <si>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</si>
  <si>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</si>
  <si>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</si>
  <si>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</si>
  <si>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</si>
  <si>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</si>
  <si>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</si>
  <si>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</si>
  <si>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</si>
  <si>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</si>
  <si>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</si>
  <si>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</si>
  <si>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</si>
  <si>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</si>
  <si>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</si>
  <si>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</si>
  <si>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</si>
  <si>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</si>
  <si>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>min</t>
  </si>
  <si>
    <t>max</t>
  </si>
  <si>
    <t>percentile min</t>
  </si>
  <si>
    <t>percentile max</t>
  </si>
  <si>
    <t>flattened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</si>
</sst>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  <font>
      <sz val="11.0"/>
      <color rgb="FF000000"/>
      <name val="Calibri"/>
    </font>
    <font>
      <color rgb="FF181A1B"/>
      <name val="Arial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  <top style="thin">
        <color rgb="FF000000"/>
      </top>
      <bottom style="thin">
        <color rgb="FF363A3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readingOrder="0" shrinkToFit="0" vertical="bottom" wrapText="0"/>
    </xf>
    <xf borderId="0" fillId="0" fontId="1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11" xfId="0" applyAlignment="1" applyFont="1" applyNumberFormat="1">
      <alignment horizontal="right"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shrinkToFit="0" vertical="bottom" wrapText="1"/>
    </xf>
    <xf borderId="1" fillId="0" fontId="4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2552700</xdr:colOff>
      <xdr:row>39</xdr:row>
      <xdr:rowOff>95250</xdr:rowOff>
    </xdr:from>
    <xdr:ext cx="10687050" cy="6600825"/>
    <xdr:pic>
      <xdr:nvPicPr>
        <xdr:cNvPr id="4922911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>
        <v>2025.0</v>
      </c>
      <c r="C1" s="2">
        <v>2024.0</v>
      </c>
      <c r="D1" s="2">
        <v>2023.0</v>
      </c>
      <c r="E1" s="2">
        <v>2022.0</v>
      </c>
      <c r="F1" s="2">
        <v>2021.0</v>
      </c>
      <c r="G1" s="2">
        <v>2020.0</v>
      </c>
      <c r="H1" s="2">
        <v>2019.0</v>
      </c>
      <c r="I1" s="2">
        <v>2018.0</v>
      </c>
      <c r="J1" s="2">
        <v>2017.0</v>
      </c>
      <c r="K1" s="2">
        <v>2016.0</v>
      </c>
      <c r="L1" s="2">
        <v>2015.0</v>
      </c>
      <c r="M1" s="2">
        <v>2014.0</v>
      </c>
      <c r="N1" s="2"/>
      <c r="O1" s="2"/>
    </row>
    <row r="2">
      <c r="A2" s="1" t="s">
        <v>0</v>
      </c>
      <c r="B2" s="1">
        <v>0.73</v>
      </c>
      <c r="C2" s="1">
        <v>0.87</v>
      </c>
      <c r="D2" s="1">
        <v>1.09</v>
      </c>
      <c r="E2" s="1">
        <v>1.19</v>
      </c>
      <c r="F2" s="1">
        <v>1.13</v>
      </c>
      <c r="G2" s="1">
        <v>1.09</v>
      </c>
      <c r="H2" s="1">
        <v>1.07</v>
      </c>
      <c r="I2" s="1">
        <v>1.01</v>
      </c>
      <c r="J2" s="1">
        <v>1.2</v>
      </c>
      <c r="K2" s="1">
        <v>1.4</v>
      </c>
      <c r="L2" s="1">
        <v>1.41</v>
      </c>
      <c r="M2" s="1">
        <v>1.33</v>
      </c>
      <c r="N2" s="3"/>
    </row>
    <row r="3">
      <c r="A3" s="1" t="s">
        <v>1</v>
      </c>
      <c r="B3" s="1">
        <v>0.04</v>
      </c>
      <c r="C3" s="1">
        <v>0.06</v>
      </c>
      <c r="D3" s="1">
        <v>0.06</v>
      </c>
      <c r="E3" s="1">
        <v>0.06</v>
      </c>
      <c r="F3" s="1">
        <v>0.03</v>
      </c>
      <c r="G3" s="1">
        <v>0.03</v>
      </c>
      <c r="H3" s="1">
        <v>0.07</v>
      </c>
      <c r="I3" s="1">
        <v>0.06</v>
      </c>
      <c r="J3" s="1">
        <v>0.07</v>
      </c>
      <c r="K3" s="1">
        <v>0.05</v>
      </c>
      <c r="L3" s="1">
        <v>0.09</v>
      </c>
      <c r="M3" s="1">
        <v>0.06</v>
      </c>
      <c r="N3" s="4"/>
    </row>
    <row r="4">
      <c r="A4" s="1" t="s">
        <v>2</v>
      </c>
      <c r="B4" s="1">
        <v>7.88</v>
      </c>
      <c r="C4" s="1">
        <v>8.69</v>
      </c>
      <c r="D4" s="1">
        <v>9.39</v>
      </c>
      <c r="E4" s="1">
        <v>9.12</v>
      </c>
      <c r="F4" s="1">
        <v>8.66</v>
      </c>
      <c r="G4" s="1">
        <v>8.0</v>
      </c>
      <c r="H4" s="1">
        <v>10.99</v>
      </c>
      <c r="I4" s="1">
        <v>9.72</v>
      </c>
      <c r="J4" s="1">
        <v>9.79</v>
      </c>
      <c r="K4" s="1">
        <v>8.88</v>
      </c>
      <c r="L4" s="1">
        <v>9.33</v>
      </c>
      <c r="M4" s="1">
        <v>9.06</v>
      </c>
      <c r="N4" s="3"/>
    </row>
    <row r="5">
      <c r="A5" s="1" t="s">
        <v>3</v>
      </c>
      <c r="B5" s="1">
        <v>4.89</v>
      </c>
      <c r="C5" s="1">
        <v>4.77</v>
      </c>
      <c r="D5" s="1">
        <v>4.56</v>
      </c>
      <c r="E5" s="1">
        <v>3.99</v>
      </c>
      <c r="F5" s="1">
        <v>3.57</v>
      </c>
      <c r="G5" s="1">
        <v>4.04</v>
      </c>
      <c r="H5" s="1">
        <v>4.2</v>
      </c>
      <c r="I5" s="1">
        <v>3.21</v>
      </c>
      <c r="J5" s="1">
        <v>2.99</v>
      </c>
      <c r="K5" s="1">
        <v>2.65</v>
      </c>
      <c r="L5" s="1">
        <v>2.01</v>
      </c>
      <c r="M5" s="1">
        <v>1.66</v>
      </c>
      <c r="N5" s="4"/>
    </row>
    <row r="6">
      <c r="A6" s="1" t="s">
        <v>4</v>
      </c>
      <c r="B6" s="1">
        <v>3.74</v>
      </c>
      <c r="C6" s="1">
        <v>3.82</v>
      </c>
      <c r="D6" s="1">
        <v>3.99</v>
      </c>
      <c r="E6" s="1">
        <v>3.78</v>
      </c>
      <c r="F6" s="1">
        <v>3.57</v>
      </c>
      <c r="G6" s="1">
        <v>4.02</v>
      </c>
      <c r="H6" s="1">
        <v>5.16</v>
      </c>
      <c r="I6" s="1">
        <v>3.42</v>
      </c>
      <c r="J6" s="1">
        <v>4.38</v>
      </c>
      <c r="K6" s="1">
        <v>4.99</v>
      </c>
      <c r="L6" s="1">
        <v>4.71</v>
      </c>
      <c r="M6" s="1">
        <v>5.17</v>
      </c>
      <c r="N6" s="5"/>
    </row>
    <row r="7">
      <c r="A7" s="1" t="s">
        <v>5</v>
      </c>
      <c r="B7" s="1">
        <v>1.2</v>
      </c>
      <c r="C7" s="1">
        <v>1.13</v>
      </c>
      <c r="D7" s="1">
        <v>1.1</v>
      </c>
      <c r="E7" s="1">
        <v>0.93</v>
      </c>
      <c r="F7" s="1">
        <v>0.82</v>
      </c>
      <c r="G7" s="1">
        <v>1.41</v>
      </c>
      <c r="H7" s="1">
        <v>1.26</v>
      </c>
      <c r="I7" s="1">
        <v>0.63</v>
      </c>
      <c r="J7" s="1">
        <v>0.73</v>
      </c>
      <c r="K7" s="1">
        <v>0.56</v>
      </c>
      <c r="L7" s="1">
        <v>0.7</v>
      </c>
      <c r="M7" s="1">
        <v>0.78</v>
      </c>
      <c r="O7" s="6"/>
    </row>
    <row r="8">
      <c r="A8" s="1" t="s">
        <v>6</v>
      </c>
      <c r="B8" s="1">
        <v>1.13</v>
      </c>
      <c r="C8" s="1">
        <v>1.5</v>
      </c>
      <c r="D8" s="1">
        <v>1.82</v>
      </c>
      <c r="E8" s="1">
        <v>2.0</v>
      </c>
      <c r="F8" s="1">
        <v>2.2</v>
      </c>
      <c r="G8" s="1">
        <v>1.52</v>
      </c>
      <c r="H8" s="1">
        <v>1.69</v>
      </c>
      <c r="I8" s="1">
        <v>1.41</v>
      </c>
      <c r="J8" s="1">
        <v>1.52</v>
      </c>
      <c r="K8" s="1">
        <v>1.5</v>
      </c>
      <c r="L8" s="1">
        <v>1.76</v>
      </c>
      <c r="M8" s="1">
        <v>1.27</v>
      </c>
      <c r="N8" s="4"/>
    </row>
    <row r="9">
      <c r="A9" s="1" t="s">
        <v>7</v>
      </c>
      <c r="B9" s="1">
        <v>0.03</v>
      </c>
      <c r="C9" s="1">
        <v>0.03</v>
      </c>
      <c r="D9" s="1">
        <v>0.03</v>
      </c>
      <c r="E9" s="1">
        <v>0.06</v>
      </c>
      <c r="F9" s="1">
        <v>0.06</v>
      </c>
      <c r="G9" s="1">
        <v>0.09</v>
      </c>
      <c r="H9" s="1">
        <v>0.09</v>
      </c>
      <c r="I9" s="1">
        <v>0.01</v>
      </c>
      <c r="J9" s="1">
        <v>0.01</v>
      </c>
      <c r="K9" s="1">
        <v>0.03</v>
      </c>
      <c r="L9" s="1">
        <v>0.02</v>
      </c>
      <c r="M9" s="1">
        <v>0.02</v>
      </c>
      <c r="N9" s="4"/>
    </row>
    <row r="10">
      <c r="A10" s="1" t="s">
        <v>8</v>
      </c>
      <c r="B10" s="1">
        <v>6.27</v>
      </c>
      <c r="C10" s="1">
        <v>7.12</v>
      </c>
      <c r="D10" s="1">
        <v>7.8</v>
      </c>
      <c r="E10" s="1">
        <v>7.58</v>
      </c>
      <c r="F10" s="1">
        <v>7.58</v>
      </c>
      <c r="G10" s="1">
        <v>7.92</v>
      </c>
      <c r="H10" s="1">
        <v>7.43</v>
      </c>
      <c r="I10" s="1">
        <v>9.17</v>
      </c>
      <c r="J10" s="1">
        <v>8.02</v>
      </c>
      <c r="K10" s="1">
        <v>7.89</v>
      </c>
      <c r="L10" s="1">
        <v>8.61</v>
      </c>
      <c r="M10" s="1">
        <v>10.36</v>
      </c>
      <c r="N10" s="3"/>
    </row>
    <row r="11">
      <c r="A11" s="1" t="s">
        <v>9</v>
      </c>
      <c r="B11" s="1">
        <v>0.56</v>
      </c>
      <c r="C11" s="1">
        <v>0.57</v>
      </c>
      <c r="D11" s="1">
        <v>0.54</v>
      </c>
      <c r="E11" s="1">
        <v>0.52</v>
      </c>
      <c r="F11" s="1">
        <v>0.49</v>
      </c>
      <c r="G11" s="1">
        <v>1.64</v>
      </c>
      <c r="H11" s="1">
        <v>1.38</v>
      </c>
      <c r="I11" s="1">
        <v>1.41</v>
      </c>
      <c r="J11" s="1">
        <v>1.57</v>
      </c>
      <c r="K11" s="1">
        <v>1.34</v>
      </c>
      <c r="L11" s="1">
        <v>1.94</v>
      </c>
      <c r="M11" s="1">
        <v>2.36</v>
      </c>
      <c r="N11" s="3"/>
    </row>
    <row r="12">
      <c r="A12" s="1" t="s">
        <v>10</v>
      </c>
      <c r="B12" s="1">
        <v>8.87</v>
      </c>
      <c r="C12" s="1">
        <v>8.92</v>
      </c>
      <c r="D12" s="1">
        <v>7.67</v>
      </c>
      <c r="E12" s="1">
        <v>8.13</v>
      </c>
      <c r="F12" s="1">
        <v>8.31</v>
      </c>
      <c r="G12" s="1">
        <v>9.38</v>
      </c>
      <c r="H12" s="1">
        <v>9.13</v>
      </c>
      <c r="I12" s="1">
        <v>8.63</v>
      </c>
      <c r="J12" s="1">
        <v>8.2</v>
      </c>
      <c r="K12" s="1">
        <v>8.19</v>
      </c>
      <c r="L12" s="1">
        <v>8.35</v>
      </c>
      <c r="M12" s="1">
        <v>8.29</v>
      </c>
    </row>
    <row r="13">
      <c r="A13" s="1" t="s">
        <v>11</v>
      </c>
      <c r="B13" s="1">
        <v>0.47</v>
      </c>
      <c r="C13" s="1">
        <v>0.49</v>
      </c>
      <c r="D13" s="1">
        <v>0.57</v>
      </c>
      <c r="E13" s="1">
        <v>0.56</v>
      </c>
      <c r="F13" s="1">
        <v>0.43</v>
      </c>
      <c r="G13" s="1">
        <v>0.42</v>
      </c>
      <c r="H13" s="1">
        <v>0.28</v>
      </c>
      <c r="I13" s="1">
        <v>0.23</v>
      </c>
      <c r="J13" s="1">
        <v>0.19</v>
      </c>
      <c r="K13" s="1">
        <v>0.2</v>
      </c>
      <c r="L13" s="1">
        <v>0.2</v>
      </c>
      <c r="M13" s="1">
        <v>0.26</v>
      </c>
      <c r="N13" s="3"/>
    </row>
    <row r="14">
      <c r="A14" s="1" t="s">
        <v>12</v>
      </c>
      <c r="B14" s="1">
        <v>0.13</v>
      </c>
      <c r="C14" s="1">
        <v>0.14</v>
      </c>
      <c r="D14" s="1">
        <v>0.23</v>
      </c>
      <c r="E14" s="1">
        <v>0.24</v>
      </c>
      <c r="F14" s="1">
        <v>0.23</v>
      </c>
      <c r="G14" s="1">
        <v>0.21</v>
      </c>
      <c r="H14" s="1">
        <v>0.24</v>
      </c>
      <c r="I14" s="1">
        <v>0.23</v>
      </c>
      <c r="J14" s="1">
        <v>0.25</v>
      </c>
      <c r="K14" s="1">
        <v>0.42</v>
      </c>
      <c r="L14" s="1">
        <v>0.44</v>
      </c>
      <c r="M14" s="1">
        <v>0.46</v>
      </c>
      <c r="N14" s="3"/>
    </row>
    <row r="15">
      <c r="A15" s="1" t="s">
        <v>13</v>
      </c>
      <c r="B15" s="1">
        <v>4.41</v>
      </c>
      <c r="C15" s="1">
        <v>4.91</v>
      </c>
      <c r="D15" s="1">
        <v>4.54</v>
      </c>
      <c r="E15" s="1">
        <v>4.54</v>
      </c>
      <c r="F15" s="1">
        <v>4.67</v>
      </c>
      <c r="G15" s="1">
        <v>5.32</v>
      </c>
      <c r="H15" s="1">
        <v>5.76</v>
      </c>
      <c r="I15" s="1">
        <v>5.86</v>
      </c>
      <c r="J15" s="1">
        <v>6.18</v>
      </c>
      <c r="K15" s="1">
        <v>6.34</v>
      </c>
      <c r="L15" s="1">
        <v>6.09</v>
      </c>
      <c r="M15" s="1">
        <v>6.55</v>
      </c>
      <c r="N15" s="3"/>
    </row>
    <row r="16">
      <c r="A16" s="1" t="s">
        <v>14</v>
      </c>
      <c r="B16" s="1">
        <v>1.33</v>
      </c>
      <c r="C16" s="1">
        <v>1.32</v>
      </c>
      <c r="D16" s="1">
        <v>1.33</v>
      </c>
      <c r="E16" s="1">
        <v>1.5</v>
      </c>
      <c r="F16" s="1">
        <v>1.73</v>
      </c>
      <c r="G16" s="1">
        <v>2.09</v>
      </c>
      <c r="H16" s="1">
        <v>2.02</v>
      </c>
      <c r="I16" s="1">
        <v>1.66</v>
      </c>
      <c r="J16" s="1">
        <v>1.68</v>
      </c>
      <c r="K16" s="1">
        <v>1.99</v>
      </c>
      <c r="L16" s="1">
        <v>2.01</v>
      </c>
      <c r="M16" s="1">
        <v>2.13</v>
      </c>
      <c r="N16" s="3"/>
    </row>
    <row r="17">
      <c r="A17" s="1" t="s">
        <v>15</v>
      </c>
      <c r="B17" s="1">
        <v>1.57</v>
      </c>
      <c r="C17" s="1">
        <v>1.56</v>
      </c>
      <c r="D17" s="1">
        <v>1.57</v>
      </c>
      <c r="E17" s="1">
        <v>1.58</v>
      </c>
      <c r="F17" s="1">
        <v>1.43</v>
      </c>
      <c r="G17" s="1">
        <v>1.56</v>
      </c>
      <c r="H17" s="1">
        <v>1.35</v>
      </c>
      <c r="I17" s="1">
        <v>1.23</v>
      </c>
      <c r="J17" s="1">
        <v>1.35</v>
      </c>
      <c r="K17" s="1">
        <v>1.16</v>
      </c>
      <c r="L17" s="1">
        <v>1.14</v>
      </c>
      <c r="M17" s="1">
        <v>1.21</v>
      </c>
      <c r="N17" s="4"/>
    </row>
    <row r="18">
      <c r="A18" s="1" t="s">
        <v>16</v>
      </c>
      <c r="B18" s="1">
        <v>0.3</v>
      </c>
      <c r="C18" s="1">
        <v>0.36</v>
      </c>
      <c r="D18" s="1">
        <v>0.36</v>
      </c>
      <c r="E18" s="1">
        <v>0.34</v>
      </c>
      <c r="F18" s="1">
        <v>0.33</v>
      </c>
      <c r="G18" s="1">
        <v>0.27</v>
      </c>
      <c r="H18" s="1">
        <v>0.31</v>
      </c>
      <c r="I18" s="1">
        <v>0.34</v>
      </c>
      <c r="J18" s="1">
        <v>0.35</v>
      </c>
      <c r="K18" s="1">
        <v>0.41</v>
      </c>
      <c r="L18" s="1">
        <v>0.54</v>
      </c>
      <c r="M18" s="1">
        <v>0.62</v>
      </c>
      <c r="N18" s="4"/>
    </row>
    <row r="19">
      <c r="A19" s="1" t="s">
        <v>17</v>
      </c>
      <c r="B19" s="1">
        <v>1.15</v>
      </c>
      <c r="C19" s="1">
        <v>1.24</v>
      </c>
      <c r="D19" s="1">
        <v>1.33</v>
      </c>
      <c r="E19" s="1">
        <v>1.33</v>
      </c>
      <c r="F19" s="1">
        <v>1.38</v>
      </c>
      <c r="G19" s="1">
        <v>1.41</v>
      </c>
      <c r="H19" s="1">
        <v>1.26</v>
      </c>
      <c r="I19" s="1">
        <v>1.13</v>
      </c>
      <c r="J19" s="1">
        <v>1.04</v>
      </c>
      <c r="K19" s="1">
        <v>0.95</v>
      </c>
      <c r="L19" s="1">
        <v>0.96</v>
      </c>
      <c r="M19" s="1">
        <v>0.73</v>
      </c>
      <c r="N19" s="4"/>
    </row>
    <row r="20">
      <c r="A20" s="1" t="s">
        <v>18</v>
      </c>
      <c r="B20" s="1">
        <v>1.41</v>
      </c>
      <c r="C20" s="1">
        <v>1.42</v>
      </c>
      <c r="D20" s="1">
        <v>1.52</v>
      </c>
      <c r="E20" s="1">
        <v>1.77</v>
      </c>
      <c r="F20" s="1">
        <v>1.87</v>
      </c>
      <c r="G20" s="1">
        <v>2.14</v>
      </c>
      <c r="H20" s="1">
        <v>2.3</v>
      </c>
      <c r="I20" s="1">
        <v>2.27</v>
      </c>
      <c r="J20" s="1">
        <v>2.26</v>
      </c>
      <c r="K20" s="1">
        <v>2.33</v>
      </c>
      <c r="L20" s="1">
        <v>2.39</v>
      </c>
      <c r="M20" s="1">
        <v>2.32</v>
      </c>
      <c r="N20" s="4"/>
    </row>
    <row r="21">
      <c r="A21" s="1" t="s">
        <v>19</v>
      </c>
      <c r="B21" s="1">
        <v>0.41</v>
      </c>
      <c r="C21" s="1">
        <v>0.41</v>
      </c>
      <c r="D21" s="1">
        <v>0.44</v>
      </c>
      <c r="E21" s="1">
        <v>0.34</v>
      </c>
      <c r="F21" s="1">
        <v>0.32</v>
      </c>
      <c r="G21" s="1">
        <v>0.65</v>
      </c>
      <c r="H21" s="1">
        <v>0.7</v>
      </c>
      <c r="I21" s="1">
        <v>0.62</v>
      </c>
      <c r="J21" s="1">
        <v>0.7</v>
      </c>
      <c r="K21" s="1">
        <v>0.72</v>
      </c>
      <c r="L21" s="1">
        <v>0.68</v>
      </c>
      <c r="M21" s="1">
        <v>0.68</v>
      </c>
      <c r="N21" s="3"/>
    </row>
    <row r="22">
      <c r="A22" s="1" t="s">
        <v>20</v>
      </c>
      <c r="B22" s="1">
        <v>13.98</v>
      </c>
      <c r="C22" s="1">
        <v>15.19</v>
      </c>
      <c r="D22" s="1">
        <v>15.55</v>
      </c>
      <c r="E22" s="1">
        <v>16.51</v>
      </c>
      <c r="F22" s="1">
        <v>16.55</v>
      </c>
      <c r="G22" s="1">
        <v>15.69</v>
      </c>
      <c r="H22" s="1">
        <v>15.56</v>
      </c>
      <c r="I22" s="1">
        <v>14.68</v>
      </c>
      <c r="J22" s="1">
        <v>14.83</v>
      </c>
      <c r="K22" s="1">
        <v>15.42</v>
      </c>
      <c r="L22" s="1">
        <v>15.7</v>
      </c>
      <c r="M22" s="1">
        <v>15.23</v>
      </c>
      <c r="N22" s="3"/>
    </row>
    <row r="23">
      <c r="A23" s="1" t="s">
        <v>21</v>
      </c>
      <c r="B23" s="1">
        <v>0.27</v>
      </c>
      <c r="C23" s="1">
        <v>0.34</v>
      </c>
      <c r="D23" s="1">
        <v>0.39</v>
      </c>
      <c r="E23" s="1">
        <v>0.39</v>
      </c>
      <c r="F23" s="1">
        <v>0.39</v>
      </c>
      <c r="G23" s="1">
        <v>0.43</v>
      </c>
      <c r="H23" s="1">
        <v>0.4</v>
      </c>
      <c r="I23" s="1">
        <v>0.41</v>
      </c>
      <c r="J23" s="1">
        <v>0.33</v>
      </c>
      <c r="K23" s="1">
        <v>0.33</v>
      </c>
      <c r="L23" s="1">
        <v>0.42</v>
      </c>
      <c r="M23" s="1">
        <v>0.3</v>
      </c>
      <c r="N23" s="4"/>
    </row>
    <row r="24">
      <c r="A24" s="1" t="s">
        <v>22</v>
      </c>
      <c r="B24" s="1">
        <v>0.54</v>
      </c>
      <c r="C24" s="1">
        <v>1.16</v>
      </c>
      <c r="D24" s="1">
        <v>2.77</v>
      </c>
      <c r="E24" s="1">
        <v>3.13</v>
      </c>
      <c r="F24" s="1">
        <v>2.08</v>
      </c>
      <c r="G24" s="1">
        <v>1.58</v>
      </c>
      <c r="H24" s="1">
        <v>1.51</v>
      </c>
      <c r="I24" s="1">
        <v>0.82</v>
      </c>
      <c r="J24" s="1">
        <v>1.28</v>
      </c>
      <c r="K24" s="1">
        <v>0.78</v>
      </c>
      <c r="L24" s="1">
        <v>1.23</v>
      </c>
      <c r="M24" s="1">
        <v>0.84</v>
      </c>
      <c r="N24" s="4"/>
    </row>
    <row r="25">
      <c r="A25" s="1" t="s">
        <v>23</v>
      </c>
      <c r="B25" s="1">
        <v>0.98</v>
      </c>
      <c r="C25" s="1">
        <v>0.89</v>
      </c>
      <c r="D25" s="1">
        <v>0.76</v>
      </c>
      <c r="E25" s="1">
        <v>0.6</v>
      </c>
      <c r="F25" s="1">
        <v>1.1</v>
      </c>
      <c r="G25" s="1">
        <v>1.59</v>
      </c>
      <c r="H25" s="1">
        <v>1.37</v>
      </c>
      <c r="I25" s="1">
        <v>1.51</v>
      </c>
      <c r="J25" s="1">
        <v>2.32</v>
      </c>
      <c r="K25" s="1">
        <v>1.94</v>
      </c>
      <c r="L25" s="1">
        <v>2.21</v>
      </c>
      <c r="M25" s="1">
        <v>1.69</v>
      </c>
      <c r="N25" s="4"/>
    </row>
    <row r="26">
      <c r="A26" s="1" t="s">
        <v>24</v>
      </c>
      <c r="B26" s="1">
        <v>0.69</v>
      </c>
      <c r="C26" s="1">
        <v>0.67</v>
      </c>
      <c r="D26" s="1">
        <v>0.59</v>
      </c>
      <c r="E26" s="1">
        <v>0.58</v>
      </c>
      <c r="F26" s="1">
        <v>0.5</v>
      </c>
      <c r="G26" s="1">
        <v>0.42</v>
      </c>
      <c r="H26" s="1">
        <v>0.26</v>
      </c>
      <c r="I26" s="1">
        <v>0.26</v>
      </c>
      <c r="J26" s="1">
        <v>0.19</v>
      </c>
      <c r="K26" s="1">
        <v>0.22</v>
      </c>
      <c r="L26" s="1">
        <v>0.26</v>
      </c>
      <c r="M26" s="1">
        <v>0.27</v>
      </c>
      <c r="N26" s="4"/>
    </row>
    <row r="27">
      <c r="A27" s="1" t="s">
        <v>25</v>
      </c>
      <c r="B27" s="1">
        <v>0.02</v>
      </c>
      <c r="C27" s="1">
        <v>0.06</v>
      </c>
      <c r="D27" s="1">
        <v>0.06</v>
      </c>
      <c r="E27" s="1">
        <v>0.06</v>
      </c>
      <c r="F27" s="1">
        <v>0.07</v>
      </c>
      <c r="G27" s="1">
        <v>0.11</v>
      </c>
      <c r="H27" s="1">
        <v>0.07</v>
      </c>
      <c r="I27" s="1">
        <v>0.09</v>
      </c>
      <c r="J27" s="1">
        <v>0.07</v>
      </c>
      <c r="K27" s="1">
        <v>0.07</v>
      </c>
      <c r="L27" s="1">
        <v>0.06</v>
      </c>
      <c r="M27" s="1">
        <v>0.01</v>
      </c>
      <c r="N27" s="4"/>
    </row>
    <row r="28">
      <c r="A28" s="1" t="s">
        <v>26</v>
      </c>
      <c r="B28" s="1">
        <v>1.56</v>
      </c>
      <c r="C28" s="1">
        <v>1.4</v>
      </c>
      <c r="D28" s="1">
        <v>0.63</v>
      </c>
      <c r="E28" s="1">
        <v>0.06</v>
      </c>
      <c r="F28" s="1">
        <v>0.58</v>
      </c>
      <c r="G28" s="1">
        <v>0.35</v>
      </c>
      <c r="H28" s="1">
        <v>0.39</v>
      </c>
      <c r="I28" s="1">
        <v>0.33</v>
      </c>
      <c r="J28" s="1">
        <v>0.44</v>
      </c>
      <c r="K28" s="1">
        <v>0.03</v>
      </c>
      <c r="L28" s="1">
        <v>0.03</v>
      </c>
      <c r="M28" s="1">
        <v>0.32</v>
      </c>
      <c r="N28" s="3"/>
    </row>
    <row r="29">
      <c r="A29" s="1" t="s">
        <v>27</v>
      </c>
      <c r="B29" s="1">
        <v>0.09</v>
      </c>
      <c r="C29" s="1">
        <v>0.12</v>
      </c>
      <c r="D29" s="1">
        <v>0.19</v>
      </c>
      <c r="E29" s="1">
        <v>0.21</v>
      </c>
      <c r="F29" s="1">
        <v>0.0</v>
      </c>
      <c r="G29" s="1">
        <v>0.13</v>
      </c>
      <c r="H29" s="1">
        <v>0.24</v>
      </c>
      <c r="I29" s="1">
        <v>0.25</v>
      </c>
      <c r="J29" s="1">
        <v>0.19</v>
      </c>
      <c r="K29" s="1">
        <v>0.07</v>
      </c>
      <c r="L29" s="1">
        <v>0.08</v>
      </c>
      <c r="M29" s="1">
        <v>0.33</v>
      </c>
      <c r="N29" s="4"/>
    </row>
    <row r="30">
      <c r="A30" s="1" t="s">
        <v>28</v>
      </c>
      <c r="B30" s="1">
        <v>0.33</v>
      </c>
      <c r="C30" s="1">
        <v>0.17</v>
      </c>
      <c r="D30" s="1">
        <v>0.18</v>
      </c>
      <c r="E30" s="1">
        <v>0.2</v>
      </c>
      <c r="F30" s="1">
        <v>0.4</v>
      </c>
      <c r="G30" s="1">
        <v>0.55</v>
      </c>
      <c r="H30" s="1">
        <v>0.86</v>
      </c>
      <c r="I30" s="1">
        <v>0.71</v>
      </c>
      <c r="J30" s="1">
        <v>0.31</v>
      </c>
      <c r="K30" s="1">
        <v>0.34</v>
      </c>
      <c r="L30" s="1">
        <v>0.4</v>
      </c>
      <c r="M30" s="1">
        <v>0.41</v>
      </c>
      <c r="N30" s="3"/>
    </row>
    <row r="31">
      <c r="B31" s="3"/>
      <c r="C31" s="3"/>
      <c r="D31" s="5"/>
      <c r="E31" s="3"/>
      <c r="F31" s="3"/>
      <c r="G31" s="3"/>
      <c r="H31" s="3"/>
      <c r="I31" s="5"/>
      <c r="J31" s="5"/>
      <c r="K31" s="5"/>
      <c r="L31" s="5"/>
      <c r="M31" s="5"/>
      <c r="N31" s="5"/>
    </row>
    <row r="32">
      <c r="B32" s="3"/>
      <c r="C32" s="3"/>
      <c r="D32" s="3"/>
      <c r="E32" s="3"/>
      <c r="F32" s="5"/>
      <c r="G32" s="3"/>
      <c r="H32" s="3"/>
      <c r="I32" s="3"/>
      <c r="J32" s="3"/>
      <c r="K32" s="3"/>
      <c r="L32" s="3"/>
      <c r="M32" s="3"/>
      <c r="N32" s="3"/>
    </row>
    <row r="3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>
        <v>2025.0</v>
      </c>
      <c r="C1" s="2">
        <v>2024.0</v>
      </c>
      <c r="D1" s="2">
        <v>2023.0</v>
      </c>
      <c r="E1" s="2">
        <v>2022.0</v>
      </c>
      <c r="F1" s="2">
        <v>2021.0</v>
      </c>
      <c r="G1" s="2">
        <v>2020.0</v>
      </c>
      <c r="H1" s="2">
        <v>2019.0</v>
      </c>
      <c r="I1" s="2">
        <v>2018.0</v>
      </c>
      <c r="J1" s="2">
        <v>2017.0</v>
      </c>
      <c r="K1" s="2">
        <v>2016.0</v>
      </c>
      <c r="L1" s="2">
        <v>2015.0</v>
      </c>
      <c r="M1" s="2">
        <v>2014.0</v>
      </c>
      <c r="N1" s="2"/>
      <c r="O1" s="2"/>
    </row>
    <row r="2">
      <c r="A2" s="1" t="s">
        <v>0</v>
      </c>
      <c r="B2" s="7">
        <f>LN(Sheet1!B2 + 1)</f>
        <v>0.5481214085</v>
      </c>
      <c r="C2" s="7">
        <f>LN(Sheet1!C2 + 1)</f>
        <v>0.6259384309</v>
      </c>
      <c r="D2" s="7">
        <f>LN(Sheet1!D2 + 1)</f>
        <v>0.737164066</v>
      </c>
      <c r="E2" s="7">
        <f>LN(Sheet1!E2 + 1)</f>
        <v>0.7839015438</v>
      </c>
      <c r="F2" s="7">
        <f>LN(Sheet1!F2 + 1)</f>
        <v>0.7561219797</v>
      </c>
      <c r="G2" s="7">
        <f>LN(Sheet1!G2 + 1)</f>
        <v>0.737164066</v>
      </c>
      <c r="H2" s="7">
        <f>LN(Sheet1!H2 + 1)</f>
        <v>0.7275486073</v>
      </c>
      <c r="I2" s="7">
        <f>LN(Sheet1!I2 + 1)</f>
        <v>0.6981347221</v>
      </c>
      <c r="J2" s="7">
        <f>LN(Sheet1!J2 + 1)</f>
        <v>0.7884573604</v>
      </c>
      <c r="K2" s="7">
        <f>LN(Sheet1!K2 + 1)</f>
        <v>0.8754687374</v>
      </c>
      <c r="L2" s="7">
        <f>LN(Sheet1!L2 + 1)</f>
        <v>0.8796267475</v>
      </c>
      <c r="M2" s="7">
        <f>LN(Sheet1!M2 + 1)</f>
        <v>0.8458682676</v>
      </c>
      <c r="N2" s="3"/>
    </row>
    <row r="3">
      <c r="A3" s="1" t="s">
        <v>1</v>
      </c>
      <c r="B3" s="7">
        <f>LN(Sheet1!B3 + 1)</f>
        <v>0.03922071315</v>
      </c>
      <c r="C3" s="7">
        <f>LN(Sheet1!C3 + 1)</f>
        <v>0.05826890812</v>
      </c>
      <c r="D3" s="7">
        <f>LN(Sheet1!D3 + 1)</f>
        <v>0.05826890812</v>
      </c>
      <c r="E3" s="7">
        <f>LN(Sheet1!E3 + 1)</f>
        <v>0.05826890812</v>
      </c>
      <c r="F3" s="7">
        <f>LN(Sheet1!F3 + 1)</f>
        <v>0.02955880224</v>
      </c>
      <c r="G3" s="7">
        <f>LN(Sheet1!G3 + 1)</f>
        <v>0.02955880224</v>
      </c>
      <c r="H3" s="7">
        <f>LN(Sheet1!H3 + 1)</f>
        <v>0.06765864847</v>
      </c>
      <c r="I3" s="7">
        <f>LN(Sheet1!I3 + 1)</f>
        <v>0.05826890812</v>
      </c>
      <c r="J3" s="7">
        <f>LN(Sheet1!J3 + 1)</f>
        <v>0.06765864847</v>
      </c>
      <c r="K3" s="7">
        <f>LN(Sheet1!K3 + 1)</f>
        <v>0.04879016417</v>
      </c>
      <c r="L3" s="7">
        <f>LN(Sheet1!L3 + 1)</f>
        <v>0.08617769624</v>
      </c>
      <c r="M3" s="7">
        <f>LN(Sheet1!M3 + 1)</f>
        <v>0.05826890812</v>
      </c>
      <c r="N3" s="4"/>
    </row>
    <row r="4">
      <c r="A4" s="1" t="s">
        <v>2</v>
      </c>
      <c r="B4" s="7">
        <f>LN(Sheet1!B4 + 1)</f>
        <v>2.183801557</v>
      </c>
      <c r="C4" s="7">
        <f>LN(Sheet1!C4 + 1)</f>
        <v>2.271094426</v>
      </c>
      <c r="D4" s="7">
        <f>LN(Sheet1!D4 + 1)</f>
        <v>2.340843805</v>
      </c>
      <c r="E4" s="7">
        <f>LN(Sheet1!E4 + 1)</f>
        <v>2.314513664</v>
      </c>
      <c r="F4" s="7">
        <f>LN(Sheet1!F4 + 1)</f>
        <v>2.267993648</v>
      </c>
      <c r="G4" s="7">
        <f>LN(Sheet1!G4 + 1)</f>
        <v>2.197224577</v>
      </c>
      <c r="H4" s="7">
        <f>LN(Sheet1!H4 + 1)</f>
        <v>2.484072969</v>
      </c>
      <c r="I4" s="7">
        <f>LN(Sheet1!I4 + 1)</f>
        <v>2.372111156</v>
      </c>
      <c r="J4" s="7">
        <f>LN(Sheet1!J4 + 1)</f>
        <v>2.378619779</v>
      </c>
      <c r="K4" s="7">
        <f>LN(Sheet1!K4 + 1)</f>
        <v>2.290512512</v>
      </c>
      <c r="L4" s="7">
        <f>LN(Sheet1!L4 + 1)</f>
        <v>2.335052283</v>
      </c>
      <c r="M4" s="7">
        <f>LN(Sheet1!M4 + 1)</f>
        <v>2.308567165</v>
      </c>
      <c r="N4" s="3"/>
    </row>
    <row r="5">
      <c r="A5" s="1" t="s">
        <v>3</v>
      </c>
      <c r="B5" s="7">
        <f>LN(Sheet1!B5 + 1)</f>
        <v>1.773255998</v>
      </c>
      <c r="C5" s="7">
        <f>LN(Sheet1!C5 + 1)</f>
        <v>1.752672081</v>
      </c>
      <c r="D5" s="7">
        <f>LN(Sheet1!D5 + 1)</f>
        <v>1.715598108</v>
      </c>
      <c r="E5" s="7">
        <f>LN(Sheet1!E5 + 1)</f>
        <v>1.60743591</v>
      </c>
      <c r="F5" s="7">
        <f>LN(Sheet1!F5 + 1)</f>
        <v>1.519513205</v>
      </c>
      <c r="G5" s="7">
        <f>LN(Sheet1!G5 + 1)</f>
        <v>1.617406082</v>
      </c>
      <c r="H5" s="7">
        <f>LN(Sheet1!H5 + 1)</f>
        <v>1.648658626</v>
      </c>
      <c r="I5" s="7">
        <f>LN(Sheet1!I5 + 1)</f>
        <v>1.437462648</v>
      </c>
      <c r="J5" s="7">
        <f>LN(Sheet1!J5 + 1)</f>
        <v>1.383791231</v>
      </c>
      <c r="K5" s="7">
        <f>LN(Sheet1!K5 + 1)</f>
        <v>1.294727168</v>
      </c>
      <c r="L5" s="7">
        <f>LN(Sheet1!L5 + 1)</f>
        <v>1.101940079</v>
      </c>
      <c r="M5" s="7">
        <f>LN(Sheet1!M5 + 1)</f>
        <v>0.9783261228</v>
      </c>
      <c r="N5" s="4"/>
    </row>
    <row r="6">
      <c r="A6" s="1" t="s">
        <v>4</v>
      </c>
      <c r="B6" s="7">
        <f>LN(Sheet1!B6 + 1)</f>
        <v>1.556037136</v>
      </c>
      <c r="C6" s="7">
        <f>LN(Sheet1!C6 + 1)</f>
        <v>1.572773928</v>
      </c>
      <c r="D6" s="7">
        <f>LN(Sheet1!D6 + 1)</f>
        <v>1.60743591</v>
      </c>
      <c r="E6" s="7">
        <f>LN(Sheet1!E6 + 1)</f>
        <v>1.564440547</v>
      </c>
      <c r="F6" s="7">
        <f>LN(Sheet1!F6 + 1)</f>
        <v>1.519513205</v>
      </c>
      <c r="G6" s="7">
        <f>LN(Sheet1!G6 + 1)</f>
        <v>1.613429934</v>
      </c>
      <c r="H6" s="7">
        <f>LN(Sheet1!H6 + 1)</f>
        <v>1.818076778</v>
      </c>
      <c r="I6" s="7">
        <f>LN(Sheet1!I6 + 1)</f>
        <v>1.486139696</v>
      </c>
      <c r="J6" s="7">
        <f>LN(Sheet1!J6 + 1)</f>
        <v>1.682688374</v>
      </c>
      <c r="K6" s="7">
        <f>LN(Sheet1!K6 + 1)</f>
        <v>1.790091412</v>
      </c>
      <c r="L6" s="7">
        <f>LN(Sheet1!L6 + 1)</f>
        <v>1.742219024</v>
      </c>
      <c r="M6" s="7">
        <f>LN(Sheet1!M6 + 1)</f>
        <v>1.819698838</v>
      </c>
      <c r="N6" s="5"/>
    </row>
    <row r="7">
      <c r="A7" s="1" t="s">
        <v>5</v>
      </c>
      <c r="B7" s="7">
        <f>LN(Sheet1!B7 + 1)</f>
        <v>0.7884573604</v>
      </c>
      <c r="C7" s="7">
        <f>LN(Sheet1!C7 + 1)</f>
        <v>0.7561219797</v>
      </c>
      <c r="D7" s="7">
        <f>LN(Sheet1!D7 + 1)</f>
        <v>0.7419373447</v>
      </c>
      <c r="E7" s="7">
        <f>LN(Sheet1!E7 + 1)</f>
        <v>0.6575200029</v>
      </c>
      <c r="F7" s="7">
        <f>LN(Sheet1!F7 + 1)</f>
        <v>0.5988365011</v>
      </c>
      <c r="G7" s="7">
        <f>LN(Sheet1!G7 + 1)</f>
        <v>0.8796267475</v>
      </c>
      <c r="H7" s="7">
        <f>LN(Sheet1!H7 + 1)</f>
        <v>0.8153648133</v>
      </c>
      <c r="I7" s="7">
        <f>LN(Sheet1!I7 + 1)</f>
        <v>0.4885800148</v>
      </c>
      <c r="J7" s="7">
        <f>LN(Sheet1!J7 + 1)</f>
        <v>0.5481214085</v>
      </c>
      <c r="K7" s="7">
        <f>LN(Sheet1!K7 + 1)</f>
        <v>0.4446858213</v>
      </c>
      <c r="L7" s="7">
        <f>LN(Sheet1!L7 + 1)</f>
        <v>0.5306282511</v>
      </c>
      <c r="M7" s="7">
        <f>LN(Sheet1!M7 + 1)</f>
        <v>0.5766133643</v>
      </c>
      <c r="O7" s="6"/>
    </row>
    <row r="8">
      <c r="A8" s="1" t="s">
        <v>6</v>
      </c>
      <c r="B8" s="7">
        <f>LN(Sheet1!B8 + 1)</f>
        <v>0.7561219797</v>
      </c>
      <c r="C8" s="7">
        <f>LN(Sheet1!C8 + 1)</f>
        <v>0.9162907319</v>
      </c>
      <c r="D8" s="7">
        <f>LN(Sheet1!D8 + 1)</f>
        <v>1.036736885</v>
      </c>
      <c r="E8" s="7">
        <f>LN(Sheet1!E8 + 1)</f>
        <v>1.098612289</v>
      </c>
      <c r="F8" s="7">
        <f>LN(Sheet1!F8 + 1)</f>
        <v>1.16315081</v>
      </c>
      <c r="G8" s="7">
        <f>LN(Sheet1!G8 + 1)</f>
        <v>0.9242589015</v>
      </c>
      <c r="H8" s="7">
        <f>LN(Sheet1!H8 + 1)</f>
        <v>0.9895411936</v>
      </c>
      <c r="I8" s="7">
        <f>LN(Sheet1!I8 + 1)</f>
        <v>0.8796267475</v>
      </c>
      <c r="J8" s="7">
        <f>LN(Sheet1!J8 + 1)</f>
        <v>0.9242589015</v>
      </c>
      <c r="K8" s="7">
        <f>LN(Sheet1!K8 + 1)</f>
        <v>0.9162907319</v>
      </c>
      <c r="L8" s="7">
        <f>LN(Sheet1!L8 + 1)</f>
        <v>1.01523068</v>
      </c>
      <c r="M8" s="7">
        <f>LN(Sheet1!M8 + 1)</f>
        <v>0.8197798315</v>
      </c>
      <c r="N8" s="4"/>
    </row>
    <row r="9">
      <c r="A9" s="1" t="s">
        <v>7</v>
      </c>
      <c r="B9" s="7">
        <f>LN(Sheet1!B9 + 1)</f>
        <v>0.02955880224</v>
      </c>
      <c r="C9" s="7">
        <f>LN(Sheet1!C9 + 1)</f>
        <v>0.02955880224</v>
      </c>
      <c r="D9" s="7">
        <f>LN(Sheet1!D9 + 1)</f>
        <v>0.02955880224</v>
      </c>
      <c r="E9" s="7">
        <f>LN(Sheet1!E9 + 1)</f>
        <v>0.05826890812</v>
      </c>
      <c r="F9" s="7">
        <f>LN(Sheet1!F9 + 1)</f>
        <v>0.05826890812</v>
      </c>
      <c r="G9" s="7">
        <f>LN(Sheet1!G9 + 1)</f>
        <v>0.08617769624</v>
      </c>
      <c r="H9" s="7">
        <f>LN(Sheet1!H9 + 1)</f>
        <v>0.08617769624</v>
      </c>
      <c r="I9" s="7">
        <f>LN(Sheet1!I9 + 1)</f>
        <v>0.009950330853</v>
      </c>
      <c r="J9" s="7">
        <f>LN(Sheet1!J9 + 1)</f>
        <v>0.009950330853</v>
      </c>
      <c r="K9" s="7">
        <f>LN(Sheet1!K9 + 1)</f>
        <v>0.02955880224</v>
      </c>
      <c r="L9" s="7">
        <f>LN(Sheet1!L9 + 1)</f>
        <v>0.0198026273</v>
      </c>
      <c r="M9" s="7">
        <f>LN(Sheet1!M9 + 1)</f>
        <v>0.0198026273</v>
      </c>
      <c r="N9" s="4"/>
    </row>
    <row r="10">
      <c r="A10" s="1" t="s">
        <v>8</v>
      </c>
      <c r="B10" s="7">
        <f>LN(Sheet1!B10 + 1)</f>
        <v>1.983756292</v>
      </c>
      <c r="C10" s="7">
        <f>LN(Sheet1!C10 + 1)</f>
        <v>2.094330154</v>
      </c>
      <c r="D10" s="7">
        <f>LN(Sheet1!D10 + 1)</f>
        <v>2.174751721</v>
      </c>
      <c r="E10" s="7">
        <f>LN(Sheet1!E10 + 1)</f>
        <v>2.149433913</v>
      </c>
      <c r="F10" s="7">
        <f>LN(Sheet1!F10 + 1)</f>
        <v>2.149433913</v>
      </c>
      <c r="G10" s="7">
        <f>LN(Sheet1!G10 + 1)</f>
        <v>2.188295947</v>
      </c>
      <c r="H10" s="7">
        <f>LN(Sheet1!H10 + 1)</f>
        <v>2.131796772</v>
      </c>
      <c r="I10" s="7">
        <f>LN(Sheet1!I10 + 1)</f>
        <v>2.31944221</v>
      </c>
      <c r="J10" s="7">
        <f>LN(Sheet1!J10 + 1)</f>
        <v>2.199444334</v>
      </c>
      <c r="K10" s="7">
        <f>LN(Sheet1!K10 + 1)</f>
        <v>2.18492705</v>
      </c>
      <c r="L10" s="7">
        <f>LN(Sheet1!L10 + 1)</f>
        <v>2.262804223</v>
      </c>
      <c r="M10" s="7">
        <f>LN(Sheet1!M10 + 1)</f>
        <v>2.430098413</v>
      </c>
      <c r="N10" s="3"/>
    </row>
    <row r="11">
      <c r="A11" s="1" t="s">
        <v>9</v>
      </c>
      <c r="B11" s="7">
        <f>LN(Sheet1!B11 + 1)</f>
        <v>0.4446858213</v>
      </c>
      <c r="C11" s="7">
        <f>LN(Sheet1!C11 + 1)</f>
        <v>0.4510756194</v>
      </c>
      <c r="D11" s="7">
        <f>LN(Sheet1!D11 + 1)</f>
        <v>0.4317824164</v>
      </c>
      <c r="E11" s="7">
        <f>LN(Sheet1!E11 + 1)</f>
        <v>0.4187103349</v>
      </c>
      <c r="F11" s="7">
        <f>LN(Sheet1!F11 + 1)</f>
        <v>0.39877612</v>
      </c>
      <c r="G11" s="7">
        <f>LN(Sheet1!G11 + 1)</f>
        <v>0.9707789172</v>
      </c>
      <c r="H11" s="7">
        <f>LN(Sheet1!H11 + 1)</f>
        <v>0.8671004877</v>
      </c>
      <c r="I11" s="7">
        <f>LN(Sheet1!I11 + 1)</f>
        <v>0.8796267475</v>
      </c>
      <c r="J11" s="7">
        <f>LN(Sheet1!J11 + 1)</f>
        <v>0.9439058989</v>
      </c>
      <c r="K11" s="7">
        <f>LN(Sheet1!K11 + 1)</f>
        <v>0.8501509294</v>
      </c>
      <c r="L11" s="7">
        <f>LN(Sheet1!L11 + 1)</f>
        <v>1.078409581</v>
      </c>
      <c r="M11" s="7">
        <f>LN(Sheet1!M11 + 1)</f>
        <v>1.211940974</v>
      </c>
      <c r="N11" s="3"/>
    </row>
    <row r="12">
      <c r="A12" s="1" t="s">
        <v>10</v>
      </c>
      <c r="B12" s="7">
        <f>LN(Sheet1!B12 + 1)</f>
        <v>2.289499853</v>
      </c>
      <c r="C12" s="7">
        <f>LN(Sheet1!C12 + 1)</f>
        <v>2.294552921</v>
      </c>
      <c r="D12" s="7">
        <f>LN(Sheet1!D12 + 1)</f>
        <v>2.159868791</v>
      </c>
      <c r="E12" s="7">
        <f>LN(Sheet1!E12 + 1)</f>
        <v>2.211565695</v>
      </c>
      <c r="F12" s="7">
        <f>LN(Sheet1!F12 + 1)</f>
        <v>2.231089091</v>
      </c>
      <c r="G12" s="7">
        <f>LN(Sheet1!G12 + 1)</f>
        <v>2.339880878</v>
      </c>
      <c r="H12" s="7">
        <f>LN(Sheet1!H12 + 1)</f>
        <v>2.315501318</v>
      </c>
      <c r="I12" s="7">
        <f>LN(Sheet1!I12 + 1)</f>
        <v>2.264883226</v>
      </c>
      <c r="J12" s="7">
        <f>LN(Sheet1!J12 + 1)</f>
        <v>2.219203484</v>
      </c>
      <c r="K12" s="7">
        <f>LN(Sheet1!K12 + 1)</f>
        <v>2.218115936</v>
      </c>
      <c r="L12" s="7">
        <f>LN(Sheet1!L12 + 1)</f>
        <v>2.235376343</v>
      </c>
      <c r="M12" s="7">
        <f>LN(Sheet1!M12 + 1)</f>
        <v>2.228938553</v>
      </c>
    </row>
    <row r="13">
      <c r="A13" s="1" t="s">
        <v>11</v>
      </c>
      <c r="B13" s="7">
        <f>LN(Sheet1!B13 + 1)</f>
        <v>0.3852624008</v>
      </c>
      <c r="C13" s="7">
        <f>LN(Sheet1!C13 + 1)</f>
        <v>0.39877612</v>
      </c>
      <c r="D13" s="7">
        <f>LN(Sheet1!D13 + 1)</f>
        <v>0.4510756194</v>
      </c>
      <c r="E13" s="7">
        <f>LN(Sheet1!E13 + 1)</f>
        <v>0.4446858213</v>
      </c>
      <c r="F13" s="7">
        <f>LN(Sheet1!F13 + 1)</f>
        <v>0.3576744443</v>
      </c>
      <c r="G13" s="7">
        <f>LN(Sheet1!G13 + 1)</f>
        <v>0.3506568716</v>
      </c>
      <c r="H13" s="7">
        <f>LN(Sheet1!H13 + 1)</f>
        <v>0.2468600779</v>
      </c>
      <c r="I13" s="7">
        <f>LN(Sheet1!I13 + 1)</f>
        <v>0.2070141694</v>
      </c>
      <c r="J13" s="7">
        <f>LN(Sheet1!J13 + 1)</f>
        <v>0.1739533071</v>
      </c>
      <c r="K13" s="7">
        <f>LN(Sheet1!K13 + 1)</f>
        <v>0.1823215568</v>
      </c>
      <c r="L13" s="7">
        <f>LN(Sheet1!L13 + 1)</f>
        <v>0.1823215568</v>
      </c>
      <c r="M13" s="7">
        <f>LN(Sheet1!M13 + 1)</f>
        <v>0.231111721</v>
      </c>
      <c r="N13" s="3"/>
    </row>
    <row r="14">
      <c r="A14" s="1" t="s">
        <v>12</v>
      </c>
      <c r="B14" s="7">
        <f>LN(Sheet1!B14 + 1)</f>
        <v>0.1222176327</v>
      </c>
      <c r="C14" s="7">
        <f>LN(Sheet1!C14 + 1)</f>
        <v>0.1310282624</v>
      </c>
      <c r="D14" s="7">
        <f>LN(Sheet1!D14 + 1)</f>
        <v>0.2070141694</v>
      </c>
      <c r="E14" s="7">
        <f>LN(Sheet1!E14 + 1)</f>
        <v>0.2151113796</v>
      </c>
      <c r="F14" s="7">
        <f>LN(Sheet1!F14 + 1)</f>
        <v>0.2070141694</v>
      </c>
      <c r="G14" s="7">
        <f>LN(Sheet1!G14 + 1)</f>
        <v>0.1906203596</v>
      </c>
      <c r="H14" s="7">
        <f>LN(Sheet1!H14 + 1)</f>
        <v>0.2151113796</v>
      </c>
      <c r="I14" s="7">
        <f>LN(Sheet1!I14 + 1)</f>
        <v>0.2070141694</v>
      </c>
      <c r="J14" s="7">
        <f>LN(Sheet1!J14 + 1)</f>
        <v>0.2231435513</v>
      </c>
      <c r="K14" s="7">
        <f>LN(Sheet1!K14 + 1)</f>
        <v>0.3506568716</v>
      </c>
      <c r="L14" s="7">
        <f>LN(Sheet1!L14 + 1)</f>
        <v>0.3646431136</v>
      </c>
      <c r="M14" s="7">
        <f>LN(Sheet1!M14 + 1)</f>
        <v>0.3784364357</v>
      </c>
      <c r="N14" s="3"/>
    </row>
    <row r="15">
      <c r="A15" s="1" t="s">
        <v>13</v>
      </c>
      <c r="B15" s="7">
        <f>LN(Sheet1!B15 + 1)</f>
        <v>1.688249093</v>
      </c>
      <c r="C15" s="7">
        <f>LN(Sheet1!C15 + 1)</f>
        <v>1.776645831</v>
      </c>
      <c r="D15" s="7">
        <f>LN(Sheet1!D15 + 1)</f>
        <v>1.711994501</v>
      </c>
      <c r="E15" s="7">
        <f>LN(Sheet1!E15 + 1)</f>
        <v>1.711994501</v>
      </c>
      <c r="F15" s="7">
        <f>LN(Sheet1!F15 + 1)</f>
        <v>1.735189118</v>
      </c>
      <c r="G15" s="7">
        <f>LN(Sheet1!G15 + 1)</f>
        <v>1.843719208</v>
      </c>
      <c r="H15" s="7">
        <f>LN(Sheet1!H15 + 1)</f>
        <v>1.91102289</v>
      </c>
      <c r="I15" s="7">
        <f>LN(Sheet1!I15 + 1)</f>
        <v>1.925707442</v>
      </c>
      <c r="J15" s="7">
        <f>LN(Sheet1!J15 + 1)</f>
        <v>1.971299383</v>
      </c>
      <c r="K15" s="7">
        <f>LN(Sheet1!K15 + 1)</f>
        <v>1.993338843</v>
      </c>
      <c r="L15" s="7">
        <f>LN(Sheet1!L15 + 1)</f>
        <v>1.958685341</v>
      </c>
      <c r="M15" s="7">
        <f>LN(Sheet1!M15 + 1)</f>
        <v>2.021547563</v>
      </c>
      <c r="N15" s="3"/>
    </row>
    <row r="16">
      <c r="A16" s="1" t="s">
        <v>14</v>
      </c>
      <c r="B16" s="7">
        <f>LN(Sheet1!B16 + 1)</f>
        <v>0.8458682676</v>
      </c>
      <c r="C16" s="7">
        <f>LN(Sheet1!C16 + 1)</f>
        <v>0.8415671857</v>
      </c>
      <c r="D16" s="7">
        <f>LN(Sheet1!D16 + 1)</f>
        <v>0.8458682676</v>
      </c>
      <c r="E16" s="7">
        <f>LN(Sheet1!E16 + 1)</f>
        <v>0.9162907319</v>
      </c>
      <c r="F16" s="7">
        <f>LN(Sheet1!F16 + 1)</f>
        <v>1.004301609</v>
      </c>
      <c r="G16" s="7">
        <f>LN(Sheet1!G16 + 1)</f>
        <v>1.128171091</v>
      </c>
      <c r="H16" s="7">
        <f>LN(Sheet1!H16 + 1)</f>
        <v>1.105256831</v>
      </c>
      <c r="I16" s="7">
        <f>LN(Sheet1!I16 + 1)</f>
        <v>0.9783261228</v>
      </c>
      <c r="J16" s="7">
        <f>LN(Sheet1!J16 + 1)</f>
        <v>0.9858167945</v>
      </c>
      <c r="K16" s="7">
        <f>LN(Sheet1!K16 + 1)</f>
        <v>1.095273387</v>
      </c>
      <c r="L16" s="7">
        <f>LN(Sheet1!L16 + 1)</f>
        <v>1.101940079</v>
      </c>
      <c r="M16" s="7">
        <f>LN(Sheet1!M16 + 1)</f>
        <v>1.141033005</v>
      </c>
      <c r="N16" s="3"/>
    </row>
    <row r="17">
      <c r="A17" s="1" t="s">
        <v>15</v>
      </c>
      <c r="B17" s="7">
        <f>LN(Sheet1!B17 + 1)</f>
        <v>0.9439058989</v>
      </c>
      <c r="C17" s="7">
        <f>LN(Sheet1!C17 + 1)</f>
        <v>0.9400072585</v>
      </c>
      <c r="D17" s="7">
        <f>LN(Sheet1!D17 + 1)</f>
        <v>0.9439058989</v>
      </c>
      <c r="E17" s="7">
        <f>LN(Sheet1!E17 + 1)</f>
        <v>0.9477893989</v>
      </c>
      <c r="F17" s="7">
        <f>LN(Sheet1!F17 + 1)</f>
        <v>0.8878912574</v>
      </c>
      <c r="G17" s="7">
        <f>LN(Sheet1!G17 + 1)</f>
        <v>0.9400072585</v>
      </c>
      <c r="H17" s="7">
        <f>LN(Sheet1!H17 + 1)</f>
        <v>0.8544153282</v>
      </c>
      <c r="I17" s="7">
        <f>LN(Sheet1!I17 + 1)</f>
        <v>0.8020015855</v>
      </c>
      <c r="J17" s="7">
        <f>LN(Sheet1!J17 + 1)</f>
        <v>0.8544153282</v>
      </c>
      <c r="K17" s="7">
        <f>LN(Sheet1!K17 + 1)</f>
        <v>0.7701082217</v>
      </c>
      <c r="L17" s="7">
        <f>LN(Sheet1!L17 + 1)</f>
        <v>0.760805829</v>
      </c>
      <c r="M17" s="7">
        <f>LN(Sheet1!M17 + 1)</f>
        <v>0.7929925155</v>
      </c>
      <c r="N17" s="4"/>
    </row>
    <row r="18">
      <c r="A18" s="1" t="s">
        <v>16</v>
      </c>
      <c r="B18" s="7">
        <f>LN(Sheet1!B18 + 1)</f>
        <v>0.2623642645</v>
      </c>
      <c r="C18" s="7">
        <f>LN(Sheet1!C18 + 1)</f>
        <v>0.3074846997</v>
      </c>
      <c r="D18" s="7">
        <f>LN(Sheet1!D18 + 1)</f>
        <v>0.3074846997</v>
      </c>
      <c r="E18" s="7">
        <f>LN(Sheet1!E18 + 1)</f>
        <v>0.292669614</v>
      </c>
      <c r="F18" s="7">
        <f>LN(Sheet1!F18 + 1)</f>
        <v>0.2851789422</v>
      </c>
      <c r="G18" s="7">
        <f>LN(Sheet1!G18 + 1)</f>
        <v>0.2390169005</v>
      </c>
      <c r="H18" s="7">
        <f>LN(Sheet1!H18 + 1)</f>
        <v>0.2700271372</v>
      </c>
      <c r="I18" s="7">
        <f>LN(Sheet1!I18 + 1)</f>
        <v>0.292669614</v>
      </c>
      <c r="J18" s="7">
        <f>LN(Sheet1!J18 + 1)</f>
        <v>0.3001045925</v>
      </c>
      <c r="K18" s="7">
        <f>LN(Sheet1!K18 + 1)</f>
        <v>0.3435897044</v>
      </c>
      <c r="L18" s="7">
        <f>LN(Sheet1!L18 + 1)</f>
        <v>0.4317824164</v>
      </c>
      <c r="M18" s="7">
        <f>LN(Sheet1!M18 + 1)</f>
        <v>0.4824261492</v>
      </c>
      <c r="N18" s="4"/>
    </row>
    <row r="19">
      <c r="A19" s="1" t="s">
        <v>17</v>
      </c>
      <c r="B19" s="7">
        <f>LN(Sheet1!B19 + 1)</f>
        <v>0.7654678421</v>
      </c>
      <c r="C19" s="7">
        <f>LN(Sheet1!C19 + 1)</f>
        <v>0.8064758659</v>
      </c>
      <c r="D19" s="7">
        <f>LN(Sheet1!D19 + 1)</f>
        <v>0.8458682676</v>
      </c>
      <c r="E19" s="7">
        <f>LN(Sheet1!E19 + 1)</f>
        <v>0.8458682676</v>
      </c>
      <c r="F19" s="7">
        <f>LN(Sheet1!F19 + 1)</f>
        <v>0.8671004877</v>
      </c>
      <c r="G19" s="7">
        <f>LN(Sheet1!G19 + 1)</f>
        <v>0.8796267475</v>
      </c>
      <c r="H19" s="7">
        <f>LN(Sheet1!H19 + 1)</f>
        <v>0.8153648133</v>
      </c>
      <c r="I19" s="7">
        <f>LN(Sheet1!I19 + 1)</f>
        <v>0.7561219797</v>
      </c>
      <c r="J19" s="7">
        <f>LN(Sheet1!J19 + 1)</f>
        <v>0.7129498079</v>
      </c>
      <c r="K19" s="7">
        <f>LN(Sheet1!K19 + 1)</f>
        <v>0.6678293726</v>
      </c>
      <c r="L19" s="7">
        <f>LN(Sheet1!L19 + 1)</f>
        <v>0.6729444732</v>
      </c>
      <c r="M19" s="7">
        <f>LN(Sheet1!M19 + 1)</f>
        <v>0.5481214085</v>
      </c>
      <c r="N19" s="4"/>
    </row>
    <row r="20">
      <c r="A20" s="1" t="s">
        <v>18</v>
      </c>
      <c r="B20" s="7">
        <f>LN(Sheet1!B20 + 1)</f>
        <v>0.8796267475</v>
      </c>
      <c r="C20" s="7">
        <f>LN(Sheet1!C20 + 1)</f>
        <v>0.8837675402</v>
      </c>
      <c r="D20" s="7">
        <f>LN(Sheet1!D20 + 1)</f>
        <v>0.9242589015</v>
      </c>
      <c r="E20" s="7">
        <f>LN(Sheet1!E20 + 1)</f>
        <v>1.01884732</v>
      </c>
      <c r="F20" s="7">
        <f>LN(Sheet1!F20 + 1)</f>
        <v>1.05431203</v>
      </c>
      <c r="G20" s="7">
        <f>LN(Sheet1!G20 + 1)</f>
        <v>1.1442228</v>
      </c>
      <c r="H20" s="7">
        <f>LN(Sheet1!H20 + 1)</f>
        <v>1.193922468</v>
      </c>
      <c r="I20" s="7">
        <f>LN(Sheet1!I20 + 1)</f>
        <v>1.184789985</v>
      </c>
      <c r="J20" s="7">
        <f>LN(Sheet1!J20 + 1)</f>
        <v>1.181727195</v>
      </c>
      <c r="K20" s="7">
        <f>LN(Sheet1!K20 + 1)</f>
        <v>1.202972304</v>
      </c>
      <c r="L20" s="7">
        <f>LN(Sheet1!L20 + 1)</f>
        <v>1.220829921</v>
      </c>
      <c r="M20" s="7">
        <f>LN(Sheet1!M20 + 1)</f>
        <v>1.199964783</v>
      </c>
      <c r="N20" s="4"/>
    </row>
    <row r="21">
      <c r="A21" s="1" t="s">
        <v>19</v>
      </c>
      <c r="B21" s="7">
        <f>LN(Sheet1!B21 + 1)</f>
        <v>0.3435897044</v>
      </c>
      <c r="C21" s="7">
        <f>LN(Sheet1!C21 + 1)</f>
        <v>0.3435897044</v>
      </c>
      <c r="D21" s="7">
        <f>LN(Sheet1!D21 + 1)</f>
        <v>0.3646431136</v>
      </c>
      <c r="E21" s="7">
        <f>LN(Sheet1!E21 + 1)</f>
        <v>0.292669614</v>
      </c>
      <c r="F21" s="7">
        <f>LN(Sheet1!F21 + 1)</f>
        <v>0.2776317366</v>
      </c>
      <c r="G21" s="7">
        <f>LN(Sheet1!G21 + 1)</f>
        <v>0.5007752879</v>
      </c>
      <c r="H21" s="7">
        <f>LN(Sheet1!H21 + 1)</f>
        <v>0.5306282511</v>
      </c>
      <c r="I21" s="7">
        <f>LN(Sheet1!I21 + 1)</f>
        <v>0.4824261492</v>
      </c>
      <c r="J21" s="7">
        <f>LN(Sheet1!J21 + 1)</f>
        <v>0.5306282511</v>
      </c>
      <c r="K21" s="7">
        <f>LN(Sheet1!K21 + 1)</f>
        <v>0.5423242908</v>
      </c>
      <c r="L21" s="7">
        <f>LN(Sheet1!L21 + 1)</f>
        <v>0.5187937934</v>
      </c>
      <c r="M21" s="7">
        <f>LN(Sheet1!M21 + 1)</f>
        <v>0.5187937934</v>
      </c>
      <c r="N21" s="3"/>
    </row>
    <row r="22">
      <c r="A22" s="1" t="s">
        <v>20</v>
      </c>
      <c r="B22" s="7">
        <f>LN(Sheet1!B22 + 1)</f>
        <v>2.706715978</v>
      </c>
      <c r="C22" s="7">
        <f>LN(Sheet1!C22 + 1)</f>
        <v>2.784393768</v>
      </c>
      <c r="D22" s="7">
        <f>LN(Sheet1!D22 + 1)</f>
        <v>2.806386102</v>
      </c>
      <c r="E22" s="7">
        <f>LN(Sheet1!E22 + 1)</f>
        <v>2.862772146</v>
      </c>
      <c r="F22" s="7">
        <f>LN(Sheet1!F22 + 1)</f>
        <v>2.86505395</v>
      </c>
      <c r="G22" s="7">
        <f>LN(Sheet1!G22 + 1)</f>
        <v>2.814809738</v>
      </c>
      <c r="H22" s="7">
        <f>LN(Sheet1!H22 + 1)</f>
        <v>2.806990149</v>
      </c>
      <c r="I22" s="7">
        <f>LN(Sheet1!I22 + 1)</f>
        <v>2.752386015</v>
      </c>
      <c r="J22" s="7">
        <f>LN(Sheet1!J22 + 1)</f>
        <v>2.761906874</v>
      </c>
      <c r="K22" s="7">
        <f>LN(Sheet1!K22 + 1)</f>
        <v>2.798500104</v>
      </c>
      <c r="L22" s="7">
        <f>LN(Sheet1!L22 + 1)</f>
        <v>2.815408719</v>
      </c>
      <c r="M22" s="7">
        <f>LN(Sheet1!M22 + 1)</f>
        <v>2.786861382</v>
      </c>
      <c r="N22" s="3"/>
    </row>
    <row r="23">
      <c r="A23" s="1" t="s">
        <v>21</v>
      </c>
      <c r="B23" s="7">
        <f>LN(Sheet1!B23 + 1)</f>
        <v>0.2390169005</v>
      </c>
      <c r="C23" s="7">
        <f>LN(Sheet1!C23 + 1)</f>
        <v>0.292669614</v>
      </c>
      <c r="D23" s="7">
        <f>LN(Sheet1!D23 + 1)</f>
        <v>0.3293037471</v>
      </c>
      <c r="E23" s="7">
        <f>LN(Sheet1!E23 + 1)</f>
        <v>0.3293037471</v>
      </c>
      <c r="F23" s="7">
        <f>LN(Sheet1!F23 + 1)</f>
        <v>0.3293037471</v>
      </c>
      <c r="G23" s="7">
        <f>LN(Sheet1!G23 + 1)</f>
        <v>0.3576744443</v>
      </c>
      <c r="H23" s="7">
        <f>LN(Sheet1!H23 + 1)</f>
        <v>0.3364722366</v>
      </c>
      <c r="I23" s="7">
        <f>LN(Sheet1!I23 + 1)</f>
        <v>0.3435897044</v>
      </c>
      <c r="J23" s="7">
        <f>LN(Sheet1!J23 + 1)</f>
        <v>0.2851789422</v>
      </c>
      <c r="K23" s="7">
        <f>LN(Sheet1!K23 + 1)</f>
        <v>0.2851789422</v>
      </c>
      <c r="L23" s="7">
        <f>LN(Sheet1!L23 + 1)</f>
        <v>0.3506568716</v>
      </c>
      <c r="M23" s="7">
        <f>LN(Sheet1!M23 + 1)</f>
        <v>0.2623642645</v>
      </c>
      <c r="N23" s="4"/>
    </row>
    <row r="24">
      <c r="A24" s="1" t="s">
        <v>22</v>
      </c>
      <c r="B24" s="7">
        <f>LN(Sheet1!B24 + 1)</f>
        <v>0.4317824164</v>
      </c>
      <c r="C24" s="7">
        <f>LN(Sheet1!C24 + 1)</f>
        <v>0.7701082217</v>
      </c>
      <c r="D24" s="7">
        <f>LN(Sheet1!D24 + 1)</f>
        <v>1.327075001</v>
      </c>
      <c r="E24" s="7">
        <f>LN(Sheet1!E24 + 1)</f>
        <v>1.418277407</v>
      </c>
      <c r="F24" s="7">
        <f>LN(Sheet1!F24 + 1)</f>
        <v>1.124929597</v>
      </c>
      <c r="G24" s="7">
        <f>LN(Sheet1!G24 + 1)</f>
        <v>0.9477893989</v>
      </c>
      <c r="H24" s="7">
        <f>LN(Sheet1!H24 + 1)</f>
        <v>0.9202827531</v>
      </c>
      <c r="I24" s="7">
        <f>LN(Sheet1!I24 + 1)</f>
        <v>0.5988365011</v>
      </c>
      <c r="J24" s="7">
        <f>LN(Sheet1!J24 + 1)</f>
        <v>0.824175443</v>
      </c>
      <c r="K24" s="7">
        <f>LN(Sheet1!K24 + 1)</f>
        <v>0.5766133643</v>
      </c>
      <c r="L24" s="7">
        <f>LN(Sheet1!L24 + 1)</f>
        <v>0.8020015855</v>
      </c>
      <c r="M24" s="7">
        <f>LN(Sheet1!M24 + 1)</f>
        <v>0.6097655716</v>
      </c>
      <c r="N24" s="4"/>
    </row>
    <row r="25">
      <c r="A25" s="1" t="s">
        <v>23</v>
      </c>
      <c r="B25" s="7">
        <f>LN(Sheet1!B25 + 1)</f>
        <v>0.6830968447</v>
      </c>
      <c r="C25" s="7">
        <f>LN(Sheet1!C25 + 1)</f>
        <v>0.6365768291</v>
      </c>
      <c r="D25" s="7">
        <f>LN(Sheet1!D25 + 1)</f>
        <v>0.5653138091</v>
      </c>
      <c r="E25" s="7">
        <f>LN(Sheet1!E25 + 1)</f>
        <v>0.4700036292</v>
      </c>
      <c r="F25" s="7">
        <f>LN(Sheet1!F25 + 1)</f>
        <v>0.7419373447</v>
      </c>
      <c r="G25" s="7">
        <f>LN(Sheet1!G25 + 1)</f>
        <v>0.9516578757</v>
      </c>
      <c r="H25" s="7">
        <f>LN(Sheet1!H25 + 1)</f>
        <v>0.8628899551</v>
      </c>
      <c r="I25" s="7">
        <f>LN(Sheet1!I25 + 1)</f>
        <v>0.9202827531</v>
      </c>
      <c r="J25" s="7">
        <f>LN(Sheet1!J25 + 1)</f>
        <v>1.199964783</v>
      </c>
      <c r="K25" s="7">
        <f>LN(Sheet1!K25 + 1)</f>
        <v>1.078409581</v>
      </c>
      <c r="L25" s="7">
        <f>LN(Sheet1!L25 + 1)</f>
        <v>1.166270937</v>
      </c>
      <c r="M25" s="7">
        <f>LN(Sheet1!M25 + 1)</f>
        <v>0.9895411936</v>
      </c>
      <c r="N25" s="4"/>
    </row>
    <row r="26">
      <c r="A26" s="1" t="s">
        <v>24</v>
      </c>
      <c r="B26" s="7">
        <f>LN(Sheet1!B26 + 1)</f>
        <v>0.5247285289</v>
      </c>
      <c r="C26" s="7">
        <f>LN(Sheet1!C26 + 1)</f>
        <v>0.5128236264</v>
      </c>
      <c r="D26" s="7">
        <f>LN(Sheet1!D26 + 1)</f>
        <v>0.4637340162</v>
      </c>
      <c r="E26" s="7">
        <f>LN(Sheet1!E26 + 1)</f>
        <v>0.457424847</v>
      </c>
      <c r="F26" s="7">
        <f>LN(Sheet1!F26 + 1)</f>
        <v>0.4054651081</v>
      </c>
      <c r="G26" s="7">
        <f>LN(Sheet1!G26 + 1)</f>
        <v>0.3506568716</v>
      </c>
      <c r="H26" s="7">
        <f>LN(Sheet1!H26 + 1)</f>
        <v>0.231111721</v>
      </c>
      <c r="I26" s="7">
        <f>LN(Sheet1!I26 + 1)</f>
        <v>0.231111721</v>
      </c>
      <c r="J26" s="7">
        <f>LN(Sheet1!J26 + 1)</f>
        <v>0.1739533071</v>
      </c>
      <c r="K26" s="7">
        <f>LN(Sheet1!K26 + 1)</f>
        <v>0.1988508587</v>
      </c>
      <c r="L26" s="7">
        <f>LN(Sheet1!L26 + 1)</f>
        <v>0.231111721</v>
      </c>
      <c r="M26" s="7">
        <f>LN(Sheet1!M26 + 1)</f>
        <v>0.2390169005</v>
      </c>
      <c r="N26" s="4"/>
    </row>
    <row r="27">
      <c r="A27" s="1" t="s">
        <v>25</v>
      </c>
      <c r="B27" s="7">
        <f>LN(Sheet1!B27 + 1)</f>
        <v>0.0198026273</v>
      </c>
      <c r="C27" s="7">
        <f>LN(Sheet1!C27 + 1)</f>
        <v>0.05826890812</v>
      </c>
      <c r="D27" s="7">
        <f>LN(Sheet1!D27 + 1)</f>
        <v>0.05826890812</v>
      </c>
      <c r="E27" s="7">
        <f>LN(Sheet1!E27 + 1)</f>
        <v>0.05826890812</v>
      </c>
      <c r="F27" s="7">
        <f>LN(Sheet1!F27 + 1)</f>
        <v>0.06765864847</v>
      </c>
      <c r="G27" s="7">
        <f>LN(Sheet1!G27 + 1)</f>
        <v>0.1043600153</v>
      </c>
      <c r="H27" s="7">
        <f>LN(Sheet1!H27 + 1)</f>
        <v>0.06765864847</v>
      </c>
      <c r="I27" s="7">
        <f>LN(Sheet1!I27 + 1)</f>
        <v>0.08617769624</v>
      </c>
      <c r="J27" s="7">
        <f>LN(Sheet1!J27 + 1)</f>
        <v>0.06765864847</v>
      </c>
      <c r="K27" s="7">
        <f>LN(Sheet1!K27 + 1)</f>
        <v>0.06765864847</v>
      </c>
      <c r="L27" s="7">
        <f>LN(Sheet1!L27 + 1)</f>
        <v>0.05826890812</v>
      </c>
      <c r="M27" s="7">
        <f>LN(Sheet1!M27 + 1)</f>
        <v>0.009950330853</v>
      </c>
      <c r="N27" s="4"/>
    </row>
    <row r="28">
      <c r="A28" s="1" t="s">
        <v>26</v>
      </c>
      <c r="B28" s="7">
        <f>LN(Sheet1!B28 + 1)</f>
        <v>0.9400072585</v>
      </c>
      <c r="C28" s="7">
        <f>LN(Sheet1!C28 + 1)</f>
        <v>0.8754687374</v>
      </c>
      <c r="D28" s="7">
        <f>LN(Sheet1!D28 + 1)</f>
        <v>0.4885800148</v>
      </c>
      <c r="E28" s="7">
        <f>LN(Sheet1!E28 + 1)</f>
        <v>0.05826890812</v>
      </c>
      <c r="F28" s="7">
        <f>LN(Sheet1!F28 + 1)</f>
        <v>0.457424847</v>
      </c>
      <c r="G28" s="7">
        <f>LN(Sheet1!G28 + 1)</f>
        <v>0.3001045925</v>
      </c>
      <c r="H28" s="7">
        <f>LN(Sheet1!H28 + 1)</f>
        <v>0.3293037471</v>
      </c>
      <c r="I28" s="7">
        <f>LN(Sheet1!I28 + 1)</f>
        <v>0.2851789422</v>
      </c>
      <c r="J28" s="7">
        <f>LN(Sheet1!J28 + 1)</f>
        <v>0.3646431136</v>
      </c>
      <c r="K28" s="7">
        <f>LN(Sheet1!K28 + 1)</f>
        <v>0.02955880224</v>
      </c>
      <c r="L28" s="7">
        <f>LN(Sheet1!L28 + 1)</f>
        <v>0.02955880224</v>
      </c>
      <c r="M28" s="7">
        <f>LN(Sheet1!M28 + 1)</f>
        <v>0.2776317366</v>
      </c>
      <c r="N28" s="3"/>
    </row>
    <row r="29">
      <c r="A29" s="1" t="s">
        <v>27</v>
      </c>
      <c r="B29" s="7">
        <f>LN(Sheet1!B29 + 1)</f>
        <v>0.08617769624</v>
      </c>
      <c r="C29" s="7">
        <f>LN(Sheet1!C29 + 1)</f>
        <v>0.1133286853</v>
      </c>
      <c r="D29" s="7">
        <f>LN(Sheet1!D29 + 1)</f>
        <v>0.1739533071</v>
      </c>
      <c r="E29" s="7">
        <f>LN(Sheet1!E29 + 1)</f>
        <v>0.1906203596</v>
      </c>
      <c r="F29" s="7">
        <f>LN(Sheet1!F29 + 1)</f>
        <v>0</v>
      </c>
      <c r="G29" s="7">
        <f>LN(Sheet1!G29 + 1)</f>
        <v>0.1222176327</v>
      </c>
      <c r="H29" s="7">
        <f>LN(Sheet1!H29 + 1)</f>
        <v>0.2151113796</v>
      </c>
      <c r="I29" s="7">
        <f>LN(Sheet1!I29 + 1)</f>
        <v>0.2231435513</v>
      </c>
      <c r="J29" s="7">
        <f>LN(Sheet1!J29 + 1)</f>
        <v>0.1739533071</v>
      </c>
      <c r="K29" s="7">
        <f>LN(Sheet1!K29 + 1)</f>
        <v>0.06765864847</v>
      </c>
      <c r="L29" s="7">
        <f>LN(Sheet1!L29 + 1)</f>
        <v>0.07696104114</v>
      </c>
      <c r="M29" s="7">
        <f>LN(Sheet1!M29 + 1)</f>
        <v>0.2851789422</v>
      </c>
      <c r="N29" s="4"/>
    </row>
    <row r="30">
      <c r="A30" s="1" t="s">
        <v>28</v>
      </c>
      <c r="B30" s="7">
        <f>LN(Sheet1!B30 + 1)</f>
        <v>0.2851789422</v>
      </c>
      <c r="C30" s="7">
        <f>LN(Sheet1!C30 + 1)</f>
        <v>0.1570037488</v>
      </c>
      <c r="D30" s="7">
        <f>LN(Sheet1!D30 + 1)</f>
        <v>0.1655144385</v>
      </c>
      <c r="E30" s="7">
        <f>LN(Sheet1!E30 + 1)</f>
        <v>0.1823215568</v>
      </c>
      <c r="F30" s="7">
        <f>LN(Sheet1!F30 + 1)</f>
        <v>0.3364722366</v>
      </c>
      <c r="G30" s="7">
        <f>LN(Sheet1!G30 + 1)</f>
        <v>0.4382549309</v>
      </c>
      <c r="H30" s="7">
        <f>LN(Sheet1!H30 + 1)</f>
        <v>0.6205764877</v>
      </c>
      <c r="I30" s="7">
        <f>LN(Sheet1!I30 + 1)</f>
        <v>0.5364933705</v>
      </c>
      <c r="J30" s="7">
        <f>LN(Sheet1!J30 + 1)</f>
        <v>0.2700271372</v>
      </c>
      <c r="K30" s="7">
        <f>LN(Sheet1!K30 + 1)</f>
        <v>0.292669614</v>
      </c>
      <c r="L30" s="7">
        <f>LN(Sheet1!L30 + 1)</f>
        <v>0.3364722366</v>
      </c>
      <c r="M30" s="7">
        <f>LN(Sheet1!M30 + 1)</f>
        <v>0.3435897044</v>
      </c>
      <c r="N30" s="3"/>
    </row>
    <row r="31">
      <c r="B31" s="3"/>
      <c r="N31" s="5"/>
    </row>
    <row r="32">
      <c r="B32" s="3"/>
      <c r="C32" s="3"/>
      <c r="D32" s="3"/>
      <c r="E32" s="3"/>
      <c r="F32" s="5"/>
      <c r="G32" s="3"/>
      <c r="H32" s="3"/>
      <c r="I32" s="3"/>
      <c r="J32" s="3"/>
      <c r="K32" s="3"/>
      <c r="L32" s="3"/>
      <c r="M32" s="3"/>
      <c r="N32" s="3"/>
    </row>
    <row r="3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>
        <v>2025.0</v>
      </c>
      <c r="C1" s="2">
        <v>2024.0</v>
      </c>
      <c r="D1" s="2">
        <v>2023.0</v>
      </c>
      <c r="E1" s="2">
        <v>2022.0</v>
      </c>
      <c r="F1" s="2">
        <v>2021.0</v>
      </c>
      <c r="G1" s="2">
        <v>2020.0</v>
      </c>
      <c r="H1" s="2">
        <v>2019.0</v>
      </c>
      <c r="I1" s="2">
        <v>2018.0</v>
      </c>
      <c r="J1" s="2">
        <v>2017.0</v>
      </c>
      <c r="K1" s="2">
        <v>2016.0</v>
      </c>
      <c r="L1" s="2">
        <v>2015.0</v>
      </c>
      <c r="M1" s="2">
        <v>2014.0</v>
      </c>
      <c r="N1" s="2"/>
      <c r="O1" s="2"/>
    </row>
    <row r="2">
      <c r="A2" s="1" t="s">
        <v>0</v>
      </c>
      <c r="B2" s="7">
        <v>0.5481214085096876</v>
      </c>
      <c r="C2" s="7">
        <v>0.6259384308664954</v>
      </c>
      <c r="D2" s="7">
        <v>0.7371640659767196</v>
      </c>
      <c r="E2" s="7">
        <v>0.7839015438284094</v>
      </c>
      <c r="F2" s="7">
        <v>0.7561219797213337</v>
      </c>
      <c r="G2" s="7">
        <v>0.7371640659767196</v>
      </c>
      <c r="H2" s="7">
        <v>0.7275486072772779</v>
      </c>
      <c r="I2" s="7">
        <v>0.6981347220709843</v>
      </c>
      <c r="J2" s="7">
        <v>0.7884573603642703</v>
      </c>
      <c r="K2" s="7">
        <v>0.8754687373538999</v>
      </c>
      <c r="L2" s="7">
        <v>0.8796267475025636</v>
      </c>
      <c r="M2" s="7">
        <v>0.8458682675776092</v>
      </c>
      <c r="N2" s="3"/>
    </row>
    <row r="3">
      <c r="A3" s="1" t="s">
        <v>1</v>
      </c>
      <c r="B3" s="7">
        <v>0.03922071315328133</v>
      </c>
      <c r="C3" s="7">
        <v>0.058268908123975824</v>
      </c>
      <c r="D3" s="7">
        <v>0.058268908123975824</v>
      </c>
      <c r="E3" s="7">
        <v>0.058268908123975824</v>
      </c>
      <c r="F3" s="7">
        <v>0.02955880224154443</v>
      </c>
      <c r="G3" s="7">
        <v>0.02955880224154443</v>
      </c>
      <c r="H3" s="7">
        <v>0.06765864847381486</v>
      </c>
      <c r="I3" s="7">
        <v>0.058268908123975824</v>
      </c>
      <c r="J3" s="7">
        <v>0.06765864847381486</v>
      </c>
      <c r="K3" s="7">
        <v>0.04879016416943205</v>
      </c>
      <c r="L3" s="7">
        <v>0.08617769624105241</v>
      </c>
      <c r="M3" s="7">
        <v>0.058268908123975824</v>
      </c>
      <c r="N3" s="4"/>
    </row>
    <row r="4">
      <c r="A4" s="1" t="s">
        <v>5</v>
      </c>
      <c r="B4" s="7">
        <v>0.7884573603642703</v>
      </c>
      <c r="C4" s="7">
        <v>0.7561219797213337</v>
      </c>
      <c r="D4" s="7">
        <v>0.7419373447293773</v>
      </c>
      <c r="E4" s="7">
        <v>0.6575200029167942</v>
      </c>
      <c r="F4" s="7">
        <v>0.5988365010887039</v>
      </c>
      <c r="G4" s="7">
        <v>0.8796267475025636</v>
      </c>
      <c r="H4" s="7">
        <v>0.8153648132841944</v>
      </c>
      <c r="I4" s="7">
        <v>0.4885800148186709</v>
      </c>
      <c r="J4" s="7">
        <v>0.5481214085096876</v>
      </c>
      <c r="K4" s="7">
        <v>0.44468582126144574</v>
      </c>
      <c r="L4" s="7">
        <v>0.5306282510621704</v>
      </c>
      <c r="M4" s="7">
        <v>0.5766133643039938</v>
      </c>
      <c r="O4" s="6"/>
    </row>
    <row r="5">
      <c r="A5" s="1" t="s">
        <v>6</v>
      </c>
      <c r="B5" s="7">
        <v>0.7561219797213337</v>
      </c>
      <c r="C5" s="7">
        <v>0.9162907318741551</v>
      </c>
      <c r="D5" s="7">
        <v>1.0367368849500223</v>
      </c>
      <c r="E5" s="7">
        <v>1.0986122886681098</v>
      </c>
      <c r="F5" s="7">
        <v>1.1391037175057006</v>
      </c>
      <c r="G5" s="7">
        <v>0.9242589015233319</v>
      </c>
      <c r="H5" s="7">
        <v>0.9895411936137477</v>
      </c>
      <c r="I5" s="7">
        <v>0.8796267475025636</v>
      </c>
      <c r="J5" s="7">
        <v>0.9242589015233319</v>
      </c>
      <c r="K5" s="7">
        <v>0.9162907318741551</v>
      </c>
      <c r="L5" s="7">
        <v>1.0152306797290584</v>
      </c>
      <c r="M5" s="7">
        <v>0.8197798314933114</v>
      </c>
      <c r="N5" s="4"/>
    </row>
    <row r="6">
      <c r="A6" s="1" t="s">
        <v>7</v>
      </c>
      <c r="B6" s="7">
        <v>0.02955880224154443</v>
      </c>
      <c r="C6" s="7">
        <v>0.02955880224154443</v>
      </c>
      <c r="D6" s="7">
        <v>0.02955880224154443</v>
      </c>
      <c r="E6" s="7">
        <v>0.058268908123975824</v>
      </c>
      <c r="F6" s="7">
        <v>0.058268908123975824</v>
      </c>
      <c r="G6" s="7">
        <v>0.08617769624105241</v>
      </c>
      <c r="H6" s="7">
        <v>0.08617769624105241</v>
      </c>
      <c r="I6" s="7">
        <v>0.02955880224154443</v>
      </c>
      <c r="J6" s="7">
        <v>0.02955880224154443</v>
      </c>
      <c r="K6" s="7">
        <v>0.02955880224154443</v>
      </c>
      <c r="L6" s="7">
        <v>0.02955880224154443</v>
      </c>
      <c r="M6" s="7">
        <v>0.02955880224154443</v>
      </c>
      <c r="N6" s="4"/>
    </row>
    <row r="7">
      <c r="A7" s="1" t="s">
        <v>9</v>
      </c>
      <c r="B7" s="7">
        <v>0.44468582126144574</v>
      </c>
      <c r="C7" s="7">
        <v>0.45107561936021656</v>
      </c>
      <c r="D7" s="7">
        <v>0.43178241642553783</v>
      </c>
      <c r="E7" s="7">
        <v>0.41871033485818504</v>
      </c>
      <c r="F7" s="7">
        <v>0.3987761199573678</v>
      </c>
      <c r="G7" s="7">
        <v>0.9707789171582247</v>
      </c>
      <c r="H7" s="7">
        <v>0.8671004876833833</v>
      </c>
      <c r="I7" s="7">
        <v>0.8796267475025636</v>
      </c>
      <c r="J7" s="7">
        <v>0.9439058989071285</v>
      </c>
      <c r="K7" s="7">
        <v>0.85015092936961</v>
      </c>
      <c r="L7" s="7">
        <v>1.0784095813505903</v>
      </c>
      <c r="M7" s="7">
        <v>1.1391037175057006</v>
      </c>
      <c r="N7" s="3"/>
    </row>
    <row r="8">
      <c r="A8" s="1" t="s">
        <v>11</v>
      </c>
      <c r="B8" s="7">
        <v>0.3852624007906449</v>
      </c>
      <c r="C8" s="7">
        <v>0.3987761199573678</v>
      </c>
      <c r="D8" s="7">
        <v>0.45107561936021656</v>
      </c>
      <c r="E8" s="7">
        <v>0.44468582126144574</v>
      </c>
      <c r="F8" s="7">
        <v>0.3576744442718159</v>
      </c>
      <c r="G8" s="7">
        <v>0.35065687161316933</v>
      </c>
      <c r="H8" s="7">
        <v>0.2468600779315258</v>
      </c>
      <c r="I8" s="7">
        <v>0.20701416938432612</v>
      </c>
      <c r="J8" s="7">
        <v>0.17395330712343798</v>
      </c>
      <c r="K8" s="7">
        <v>0.1823215567939546</v>
      </c>
      <c r="L8" s="7">
        <v>0.1823215567939546</v>
      </c>
      <c r="M8" s="7">
        <v>0.23111172096338664</v>
      </c>
      <c r="N8" s="3"/>
    </row>
    <row r="9">
      <c r="A9" s="1" t="s">
        <v>12</v>
      </c>
      <c r="B9" s="7">
        <v>0.12221763272424911</v>
      </c>
      <c r="C9" s="7">
        <v>0.1310282624064042</v>
      </c>
      <c r="D9" s="7">
        <v>0.20701416938432612</v>
      </c>
      <c r="E9" s="7">
        <v>0.2151113796169455</v>
      </c>
      <c r="F9" s="7">
        <v>0.20701416938432612</v>
      </c>
      <c r="G9" s="7">
        <v>0.1906203596086497</v>
      </c>
      <c r="H9" s="7">
        <v>0.2151113796169455</v>
      </c>
      <c r="I9" s="7">
        <v>0.20701416938432612</v>
      </c>
      <c r="J9" s="7">
        <v>0.22314355131420976</v>
      </c>
      <c r="K9" s="7">
        <v>0.35065687161316933</v>
      </c>
      <c r="L9" s="7">
        <v>0.36464311358790924</v>
      </c>
      <c r="M9" s="7">
        <v>0.37843643572024505</v>
      </c>
      <c r="N9" s="3"/>
    </row>
    <row r="10">
      <c r="A10" s="1" t="s">
        <v>14</v>
      </c>
      <c r="B10" s="7">
        <v>0.8458682675776092</v>
      </c>
      <c r="C10" s="7">
        <v>0.8415671856782188</v>
      </c>
      <c r="D10" s="7">
        <v>0.8458682675776092</v>
      </c>
      <c r="E10" s="7">
        <v>0.9162907318741551</v>
      </c>
      <c r="F10" s="7">
        <v>1.0043016091968684</v>
      </c>
      <c r="G10" s="7">
        <v>1.128171090909654</v>
      </c>
      <c r="H10" s="7">
        <v>1.1052568313867783</v>
      </c>
      <c r="I10" s="7">
        <v>0.9783261227936078</v>
      </c>
      <c r="J10" s="7">
        <v>0.9858167945227652</v>
      </c>
      <c r="K10" s="7">
        <v>1.095273387402595</v>
      </c>
      <c r="L10" s="7">
        <v>1.1019400787607843</v>
      </c>
      <c r="M10" s="7">
        <v>1.1391037175057006</v>
      </c>
      <c r="N10" s="3"/>
    </row>
    <row r="11">
      <c r="A11" s="1" t="s">
        <v>15</v>
      </c>
      <c r="B11" s="7">
        <v>0.9439058989071285</v>
      </c>
      <c r="C11" s="7">
        <v>0.9400072584914712</v>
      </c>
      <c r="D11" s="7">
        <v>0.9439058989071285</v>
      </c>
      <c r="E11" s="7">
        <v>0.9477893989335261</v>
      </c>
      <c r="F11" s="7">
        <v>0.887891257352457</v>
      </c>
      <c r="G11" s="7">
        <v>0.9400072584914712</v>
      </c>
      <c r="H11" s="7">
        <v>0.8544153281560676</v>
      </c>
      <c r="I11" s="7">
        <v>0.8020015854720274</v>
      </c>
      <c r="J11" s="7">
        <v>0.8544153281560676</v>
      </c>
      <c r="K11" s="7">
        <v>0.7701082216960737</v>
      </c>
      <c r="L11" s="7">
        <v>0.7608058290337599</v>
      </c>
      <c r="M11" s="7">
        <v>0.7929925155296614</v>
      </c>
      <c r="N11" s="4"/>
    </row>
    <row r="12">
      <c r="A12" s="1" t="s">
        <v>16</v>
      </c>
      <c r="B12" s="7">
        <v>0.26236426446749106</v>
      </c>
      <c r="C12" s="7">
        <v>0.30748469974796055</v>
      </c>
      <c r="D12" s="7">
        <v>0.30748469974796055</v>
      </c>
      <c r="E12" s="7">
        <v>0.29266961396282004</v>
      </c>
      <c r="F12" s="7">
        <v>0.28517894223366247</v>
      </c>
      <c r="G12" s="7">
        <v>0.23901690047049992</v>
      </c>
      <c r="H12" s="7">
        <v>0.2700271372130602</v>
      </c>
      <c r="I12" s="7">
        <v>0.29266961396282004</v>
      </c>
      <c r="J12" s="7">
        <v>0.30010459245033816</v>
      </c>
      <c r="K12" s="7">
        <v>0.34358970439007686</v>
      </c>
      <c r="L12" s="7">
        <v>0.43178241642553783</v>
      </c>
      <c r="M12" s="7">
        <v>0.4824261492442928</v>
      </c>
      <c r="N12" s="4"/>
    </row>
    <row r="13">
      <c r="A13" s="1" t="s">
        <v>17</v>
      </c>
      <c r="B13" s="7">
        <v>0.7654678421395714</v>
      </c>
      <c r="C13" s="7">
        <v>0.8064758658669485</v>
      </c>
      <c r="D13" s="7">
        <v>0.8458682675776092</v>
      </c>
      <c r="E13" s="7">
        <v>0.8458682675776092</v>
      </c>
      <c r="F13" s="7">
        <v>0.8671004876833833</v>
      </c>
      <c r="G13" s="7">
        <v>0.8796267475025636</v>
      </c>
      <c r="H13" s="7">
        <v>0.8153648132841944</v>
      </c>
      <c r="I13" s="7">
        <v>0.7561219797213337</v>
      </c>
      <c r="J13" s="7">
        <v>0.712949807856125</v>
      </c>
      <c r="K13" s="7">
        <v>0.6678293725756554</v>
      </c>
      <c r="L13" s="7">
        <v>0.6729444732424258</v>
      </c>
      <c r="M13" s="7">
        <v>0.5481214085096876</v>
      </c>
      <c r="N13" s="4"/>
    </row>
    <row r="14">
      <c r="A14" s="1" t="s">
        <v>18</v>
      </c>
      <c r="B14" s="7">
        <v>0.8796267475025636</v>
      </c>
      <c r="C14" s="7">
        <v>0.883767540168595</v>
      </c>
      <c r="D14" s="7">
        <v>0.9242589015233319</v>
      </c>
      <c r="E14" s="7">
        <v>1.0188473201992472</v>
      </c>
      <c r="F14" s="7">
        <v>1.0543120297715298</v>
      </c>
      <c r="G14" s="7">
        <v>1.1391037175057006</v>
      </c>
      <c r="H14" s="7">
        <v>1.1391037175057006</v>
      </c>
      <c r="I14" s="7">
        <v>1.1391037175057006</v>
      </c>
      <c r="J14" s="7">
        <v>1.1391037175057006</v>
      </c>
      <c r="K14" s="7">
        <v>1.1391037175057006</v>
      </c>
      <c r="L14" s="7">
        <v>1.1391037175057006</v>
      </c>
      <c r="M14" s="7">
        <v>1.1391037175057006</v>
      </c>
      <c r="N14" s="4"/>
    </row>
    <row r="15">
      <c r="A15" s="1" t="s">
        <v>19</v>
      </c>
      <c r="B15" s="7">
        <v>0.34358970439007686</v>
      </c>
      <c r="C15" s="7">
        <v>0.34358970439007686</v>
      </c>
      <c r="D15" s="7">
        <v>0.36464311358790924</v>
      </c>
      <c r="E15" s="7">
        <v>0.29266961396282004</v>
      </c>
      <c r="F15" s="7">
        <v>0.27763173659827955</v>
      </c>
      <c r="G15" s="7">
        <v>0.5007752879124892</v>
      </c>
      <c r="H15" s="7">
        <v>0.5306282510621704</v>
      </c>
      <c r="I15" s="7">
        <v>0.4824261492442928</v>
      </c>
      <c r="J15" s="7">
        <v>0.5306282510621704</v>
      </c>
      <c r="K15" s="7">
        <v>0.5423242908253617</v>
      </c>
      <c r="L15" s="7">
        <v>0.5187937934151676</v>
      </c>
      <c r="M15" s="7">
        <v>0.5187937934151676</v>
      </c>
      <c r="N15" s="3"/>
    </row>
    <row r="16">
      <c r="A16" s="1" t="s">
        <v>21</v>
      </c>
      <c r="B16" s="7">
        <v>0.23901690047049992</v>
      </c>
      <c r="C16" s="7">
        <v>0.29266961396282004</v>
      </c>
      <c r="D16" s="7">
        <v>0.32930374714260047</v>
      </c>
      <c r="E16" s="7">
        <v>0.32930374714260047</v>
      </c>
      <c r="F16" s="7">
        <v>0.32930374714260047</v>
      </c>
      <c r="G16" s="7">
        <v>0.3576744442718159</v>
      </c>
      <c r="H16" s="7">
        <v>0.3364722366212129</v>
      </c>
      <c r="I16" s="7">
        <v>0.34358970439007686</v>
      </c>
      <c r="J16" s="7">
        <v>0.28517894223366247</v>
      </c>
      <c r="K16" s="7">
        <v>0.28517894223366247</v>
      </c>
      <c r="L16" s="7">
        <v>0.35065687161316933</v>
      </c>
      <c r="M16" s="7">
        <v>0.26236426446749106</v>
      </c>
      <c r="N16" s="4"/>
    </row>
    <row r="17">
      <c r="A17" s="1" t="s">
        <v>22</v>
      </c>
      <c r="B17" s="7">
        <v>0.43178241642553783</v>
      </c>
      <c r="C17" s="7">
        <v>0.7701082216960737</v>
      </c>
      <c r="D17" s="7">
        <v>1.1391037175057006</v>
      </c>
      <c r="E17" s="7">
        <v>1.1391037175057006</v>
      </c>
      <c r="F17" s="7">
        <v>1.1249295969854831</v>
      </c>
      <c r="G17" s="7">
        <v>0.9477893989335261</v>
      </c>
      <c r="H17" s="7">
        <v>0.9202827531436925</v>
      </c>
      <c r="I17" s="7">
        <v>0.5988365010887039</v>
      </c>
      <c r="J17" s="7">
        <v>0.8241754429663495</v>
      </c>
      <c r="K17" s="7">
        <v>0.5766133643039938</v>
      </c>
      <c r="L17" s="7">
        <v>0.8020015854720274</v>
      </c>
      <c r="M17" s="7">
        <v>0.6097655716208942</v>
      </c>
      <c r="N17" s="4"/>
    </row>
    <row r="18">
      <c r="A18" s="1" t="s">
        <v>23</v>
      </c>
      <c r="B18" s="7">
        <v>0.6830968447064438</v>
      </c>
      <c r="C18" s="7">
        <v>0.6365768290715511</v>
      </c>
      <c r="D18" s="7">
        <v>0.5653138090500605</v>
      </c>
      <c r="E18" s="7">
        <v>0.47000362924573563</v>
      </c>
      <c r="F18" s="7">
        <v>0.7419373447293773</v>
      </c>
      <c r="G18" s="7">
        <v>0.9516578757114463</v>
      </c>
      <c r="H18" s="7">
        <v>0.8628899551470398</v>
      </c>
      <c r="I18" s="7">
        <v>0.9202827531436925</v>
      </c>
      <c r="J18" s="7">
        <v>1.1391037175057006</v>
      </c>
      <c r="K18" s="7">
        <v>1.0784095813505903</v>
      </c>
      <c r="L18" s="7">
        <v>1.1391037175057006</v>
      </c>
      <c r="M18" s="7">
        <v>0.9895411936137477</v>
      </c>
      <c r="N18" s="4"/>
    </row>
    <row r="19">
      <c r="A19" s="1" t="s">
        <v>24</v>
      </c>
      <c r="B19" s="7">
        <v>0.5247285289349821</v>
      </c>
      <c r="C19" s="7">
        <v>0.5128236264286637</v>
      </c>
      <c r="D19" s="7">
        <v>0.46373401623214006</v>
      </c>
      <c r="E19" s="7">
        <v>0.4574248470388755</v>
      </c>
      <c r="F19" s="7">
        <v>0.4054651081081644</v>
      </c>
      <c r="G19" s="7">
        <v>0.35065687161316933</v>
      </c>
      <c r="H19" s="7">
        <v>0.23111172096338664</v>
      </c>
      <c r="I19" s="7">
        <v>0.23111172096338664</v>
      </c>
      <c r="J19" s="7">
        <v>0.17395330712343798</v>
      </c>
      <c r="K19" s="7">
        <v>0.19885085874516517</v>
      </c>
      <c r="L19" s="7">
        <v>0.23111172096338664</v>
      </c>
      <c r="M19" s="7">
        <v>0.23901690047049992</v>
      </c>
      <c r="N19" s="4"/>
    </row>
    <row r="20">
      <c r="A20" s="1" t="s">
        <v>25</v>
      </c>
      <c r="B20" s="7">
        <v>0.02955880224154443</v>
      </c>
      <c r="C20" s="7">
        <v>0.058268908123975824</v>
      </c>
      <c r="D20" s="7">
        <v>0.058268908123975824</v>
      </c>
      <c r="E20" s="7">
        <v>0.058268908123975824</v>
      </c>
      <c r="F20" s="7">
        <v>0.06765864847381486</v>
      </c>
      <c r="G20" s="7">
        <v>0.10436001532424286</v>
      </c>
      <c r="H20" s="7">
        <v>0.06765864847381486</v>
      </c>
      <c r="I20" s="7">
        <v>0.08617769624105241</v>
      </c>
      <c r="J20" s="7">
        <v>0.06765864847381486</v>
      </c>
      <c r="K20" s="7">
        <v>0.06765864847381486</v>
      </c>
      <c r="L20" s="7">
        <v>0.058268908123975824</v>
      </c>
      <c r="M20" s="7">
        <v>0.02955880224154443</v>
      </c>
      <c r="N20" s="4"/>
    </row>
    <row r="21">
      <c r="A21" s="1" t="s">
        <v>26</v>
      </c>
      <c r="B21" s="7">
        <v>0.9400072584914712</v>
      </c>
      <c r="C21" s="7">
        <v>0.8754687373538999</v>
      </c>
      <c r="D21" s="7">
        <v>0.4885800148186709</v>
      </c>
      <c r="E21" s="7">
        <v>0.058268908123975824</v>
      </c>
      <c r="F21" s="7">
        <v>0.4574248470388755</v>
      </c>
      <c r="G21" s="7">
        <v>0.30010459245033816</v>
      </c>
      <c r="H21" s="7">
        <v>0.32930374714260047</v>
      </c>
      <c r="I21" s="7">
        <v>0.28517894223366247</v>
      </c>
      <c r="J21" s="7">
        <v>0.36464311358790924</v>
      </c>
      <c r="K21" s="7">
        <v>0.02955880224154443</v>
      </c>
      <c r="L21" s="7">
        <v>0.02955880224154443</v>
      </c>
      <c r="M21" s="7">
        <v>0.27763173659827955</v>
      </c>
      <c r="N21" s="3"/>
    </row>
    <row r="22">
      <c r="A22" s="1" t="s">
        <v>27</v>
      </c>
      <c r="B22" s="7">
        <v>0.08617769624105241</v>
      </c>
      <c r="C22" s="7">
        <v>0.11332868530700327</v>
      </c>
      <c r="D22" s="7">
        <v>0.17395330712343798</v>
      </c>
      <c r="E22" s="7">
        <v>0.1906203596086497</v>
      </c>
      <c r="F22" s="7">
        <v>0.02955880224154443</v>
      </c>
      <c r="G22" s="7">
        <v>0.12221763272424911</v>
      </c>
      <c r="H22" s="7">
        <v>0.2151113796169455</v>
      </c>
      <c r="I22" s="7">
        <v>0.22314355131420976</v>
      </c>
      <c r="J22" s="7">
        <v>0.17395330712343798</v>
      </c>
      <c r="K22" s="7">
        <v>0.06765864847381486</v>
      </c>
      <c r="L22" s="7">
        <v>0.0769610411361284</v>
      </c>
      <c r="M22" s="7">
        <v>0.28517894223366247</v>
      </c>
      <c r="N22" s="4"/>
    </row>
    <row r="23">
      <c r="A23" s="1" t="s">
        <v>28</v>
      </c>
      <c r="B23" s="7">
        <v>0.28517894223366247</v>
      </c>
      <c r="C23" s="7">
        <v>0.1570037488096647</v>
      </c>
      <c r="D23" s="7">
        <v>0.16551443847757333</v>
      </c>
      <c r="E23" s="7">
        <v>0.1823215567939546</v>
      </c>
      <c r="F23" s="7">
        <v>0.3364722366212129</v>
      </c>
      <c r="G23" s="7">
        <v>0.4382549309311553</v>
      </c>
      <c r="H23" s="7">
        <v>0.6205764877251098</v>
      </c>
      <c r="I23" s="7">
        <v>0.5364933705145685</v>
      </c>
      <c r="J23" s="7">
        <v>0.2700271372130602</v>
      </c>
      <c r="K23" s="7">
        <v>0.29266961396282004</v>
      </c>
      <c r="L23" s="7">
        <v>0.3364722366212129</v>
      </c>
      <c r="M23" s="7">
        <v>0.34358970439007686</v>
      </c>
      <c r="N23" s="3"/>
    </row>
    <row r="24">
      <c r="B24" s="3"/>
      <c r="N24" s="5"/>
    </row>
    <row r="25">
      <c r="B25" s="3"/>
      <c r="C25" s="3"/>
      <c r="D25" s="3"/>
      <c r="E25" s="3"/>
      <c r="F25" s="5"/>
      <c r="G25" s="3"/>
      <c r="H25" s="3"/>
      <c r="I25" s="3"/>
      <c r="J25" s="3"/>
      <c r="K25" s="3"/>
      <c r="L25" s="3"/>
      <c r="M25" s="3"/>
      <c r="N25" s="3"/>
    </row>
    <row r="26">
      <c r="B26" s="3"/>
      <c r="C26" s="3"/>
      <c r="D26" s="3"/>
      <c r="E26" s="3"/>
      <c r="F26" s="5"/>
      <c r="G26" s="3"/>
      <c r="H26" s="3"/>
      <c r="I26" s="3"/>
      <c r="J26" s="3"/>
      <c r="K26" s="3"/>
      <c r="L26" s="3"/>
      <c r="M26" s="3"/>
      <c r="N26" s="3"/>
    </row>
    <row r="27">
      <c r="A27" s="1" t="s">
        <v>29</v>
      </c>
      <c r="B27" s="3">
        <f>MIN(B2:M23)</f>
        <v>0.02955880224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>
      <c r="A28" s="1" t="s">
        <v>30</v>
      </c>
      <c r="B28" s="7">
        <f>MAX(B2:M23)</f>
        <v>1.139103718</v>
      </c>
    </row>
    <row r="30">
      <c r="A30" s="1" t="s">
        <v>31</v>
      </c>
      <c r="B30" s="7">
        <f>PERCENTILE(B2:M23, 0.05)</f>
        <v>0.02955880224</v>
      </c>
    </row>
    <row r="31">
      <c r="A31" s="1" t="s">
        <v>32</v>
      </c>
      <c r="B31" s="7">
        <f>PERCENTILE(B2:M23, 0.95)</f>
        <v>1.137463824</v>
      </c>
    </row>
    <row r="33">
      <c r="B33" s="7">
        <f t="shared" ref="B33:M33" si="1">MEDIAN(B2, $B$30, $B$31)</f>
        <v>0.5481214085</v>
      </c>
      <c r="C33" s="7">
        <f t="shared" si="1"/>
        <v>0.6259384309</v>
      </c>
      <c r="D33" s="7">
        <f t="shared" si="1"/>
        <v>0.737164066</v>
      </c>
      <c r="E33" s="7">
        <f t="shared" si="1"/>
        <v>0.7839015438</v>
      </c>
      <c r="F33" s="7">
        <f t="shared" si="1"/>
        <v>0.7561219797</v>
      </c>
      <c r="G33" s="7">
        <f t="shared" si="1"/>
        <v>0.737164066</v>
      </c>
      <c r="H33" s="7">
        <f t="shared" si="1"/>
        <v>0.7275486073</v>
      </c>
      <c r="I33" s="7">
        <f t="shared" si="1"/>
        <v>0.6981347221</v>
      </c>
      <c r="J33" s="7">
        <f t="shared" si="1"/>
        <v>0.7884573604</v>
      </c>
      <c r="K33" s="7">
        <f t="shared" si="1"/>
        <v>0.8754687374</v>
      </c>
      <c r="L33" s="7">
        <f t="shared" si="1"/>
        <v>0.8796267475</v>
      </c>
      <c r="M33" s="7">
        <f t="shared" si="1"/>
        <v>0.8458682676</v>
      </c>
    </row>
    <row r="34">
      <c r="B34" s="7">
        <f t="shared" ref="B34:M34" si="2">MEDIAN(B3, $B$30, $B$31)</f>
        <v>0.03922071315</v>
      </c>
      <c r="C34" s="7">
        <f t="shared" si="2"/>
        <v>0.05826890812</v>
      </c>
      <c r="D34" s="7">
        <f t="shared" si="2"/>
        <v>0.05826890812</v>
      </c>
      <c r="E34" s="7">
        <f t="shared" si="2"/>
        <v>0.05826890812</v>
      </c>
      <c r="F34" s="7">
        <f t="shared" si="2"/>
        <v>0.02955880224</v>
      </c>
      <c r="G34" s="7">
        <f t="shared" si="2"/>
        <v>0.02955880224</v>
      </c>
      <c r="H34" s="7">
        <f t="shared" si="2"/>
        <v>0.06765864847</v>
      </c>
      <c r="I34" s="7">
        <f t="shared" si="2"/>
        <v>0.05826890812</v>
      </c>
      <c r="J34" s="7">
        <f t="shared" si="2"/>
        <v>0.06765864847</v>
      </c>
      <c r="K34" s="7">
        <f t="shared" si="2"/>
        <v>0.04879016417</v>
      </c>
      <c r="L34" s="7">
        <f t="shared" si="2"/>
        <v>0.08617769624</v>
      </c>
      <c r="M34" s="7">
        <f t="shared" si="2"/>
        <v>0.05826890812</v>
      </c>
    </row>
    <row r="35">
      <c r="B35" s="7">
        <f t="shared" ref="B35:M35" si="3">MEDIAN(B4, $B$30, $B$31)</f>
        <v>0.7884573604</v>
      </c>
      <c r="C35" s="7">
        <f t="shared" si="3"/>
        <v>0.7561219797</v>
      </c>
      <c r="D35" s="7">
        <f t="shared" si="3"/>
        <v>0.7419373447</v>
      </c>
      <c r="E35" s="7">
        <f t="shared" si="3"/>
        <v>0.6575200029</v>
      </c>
      <c r="F35" s="7">
        <f t="shared" si="3"/>
        <v>0.5988365011</v>
      </c>
      <c r="G35" s="7">
        <f t="shared" si="3"/>
        <v>0.8796267475</v>
      </c>
      <c r="H35" s="7">
        <f t="shared" si="3"/>
        <v>0.8153648133</v>
      </c>
      <c r="I35" s="7">
        <f t="shared" si="3"/>
        <v>0.4885800148</v>
      </c>
      <c r="J35" s="7">
        <f t="shared" si="3"/>
        <v>0.5481214085</v>
      </c>
      <c r="K35" s="7">
        <f t="shared" si="3"/>
        <v>0.4446858213</v>
      </c>
      <c r="L35" s="7">
        <f t="shared" si="3"/>
        <v>0.5306282511</v>
      </c>
      <c r="M35" s="7">
        <f t="shared" si="3"/>
        <v>0.5766133643</v>
      </c>
    </row>
    <row r="36">
      <c r="B36" s="7">
        <f t="shared" ref="B36:M36" si="4">MEDIAN(B5, $B$30, $B$31)</f>
        <v>0.7561219797</v>
      </c>
      <c r="C36" s="7">
        <f t="shared" si="4"/>
        <v>0.9162907319</v>
      </c>
      <c r="D36" s="7">
        <f t="shared" si="4"/>
        <v>1.036736885</v>
      </c>
      <c r="E36" s="7">
        <f t="shared" si="4"/>
        <v>1.098612289</v>
      </c>
      <c r="F36" s="7">
        <f t="shared" si="4"/>
        <v>1.137463824</v>
      </c>
      <c r="G36" s="7">
        <f t="shared" si="4"/>
        <v>0.9242589015</v>
      </c>
      <c r="H36" s="7">
        <f t="shared" si="4"/>
        <v>0.9895411936</v>
      </c>
      <c r="I36" s="7">
        <f t="shared" si="4"/>
        <v>0.8796267475</v>
      </c>
      <c r="J36" s="7">
        <f t="shared" si="4"/>
        <v>0.9242589015</v>
      </c>
      <c r="K36" s="7">
        <f t="shared" si="4"/>
        <v>0.9162907319</v>
      </c>
      <c r="L36" s="7">
        <f t="shared" si="4"/>
        <v>1.01523068</v>
      </c>
      <c r="M36" s="7">
        <f t="shared" si="4"/>
        <v>0.8197798315</v>
      </c>
    </row>
    <row r="37">
      <c r="B37" s="7">
        <f t="shared" ref="B37:M37" si="5">MEDIAN(B6, $B$30, $B$31)</f>
        <v>0.02955880224</v>
      </c>
      <c r="C37" s="7">
        <f t="shared" si="5"/>
        <v>0.02955880224</v>
      </c>
      <c r="D37" s="7">
        <f t="shared" si="5"/>
        <v>0.02955880224</v>
      </c>
      <c r="E37" s="7">
        <f t="shared" si="5"/>
        <v>0.05826890812</v>
      </c>
      <c r="F37" s="7">
        <f t="shared" si="5"/>
        <v>0.05826890812</v>
      </c>
      <c r="G37" s="7">
        <f t="shared" si="5"/>
        <v>0.08617769624</v>
      </c>
      <c r="H37" s="7">
        <f t="shared" si="5"/>
        <v>0.08617769624</v>
      </c>
      <c r="I37" s="7">
        <f t="shared" si="5"/>
        <v>0.02955880224</v>
      </c>
      <c r="J37" s="7">
        <f t="shared" si="5"/>
        <v>0.02955880224</v>
      </c>
      <c r="K37" s="7">
        <f t="shared" si="5"/>
        <v>0.02955880224</v>
      </c>
      <c r="L37" s="7">
        <f t="shared" si="5"/>
        <v>0.02955880224</v>
      </c>
      <c r="M37" s="7">
        <f t="shared" si="5"/>
        <v>0.02955880224</v>
      </c>
    </row>
    <row r="38">
      <c r="B38" s="7">
        <f t="shared" ref="B38:M38" si="6">MEDIAN(B7, $B$30, $B$31)</f>
        <v>0.4446858213</v>
      </c>
      <c r="C38" s="7">
        <f t="shared" si="6"/>
        <v>0.4510756194</v>
      </c>
      <c r="D38" s="7">
        <f t="shared" si="6"/>
        <v>0.4317824164</v>
      </c>
      <c r="E38" s="7">
        <f t="shared" si="6"/>
        <v>0.4187103349</v>
      </c>
      <c r="F38" s="7">
        <f t="shared" si="6"/>
        <v>0.39877612</v>
      </c>
      <c r="G38" s="7">
        <f t="shared" si="6"/>
        <v>0.9707789172</v>
      </c>
      <c r="H38" s="7">
        <f t="shared" si="6"/>
        <v>0.8671004877</v>
      </c>
      <c r="I38" s="7">
        <f t="shared" si="6"/>
        <v>0.8796267475</v>
      </c>
      <c r="J38" s="7">
        <f t="shared" si="6"/>
        <v>0.9439058989</v>
      </c>
      <c r="K38" s="7">
        <f t="shared" si="6"/>
        <v>0.8501509294</v>
      </c>
      <c r="L38" s="7">
        <f t="shared" si="6"/>
        <v>1.078409581</v>
      </c>
      <c r="M38" s="7">
        <f t="shared" si="6"/>
        <v>1.137463824</v>
      </c>
    </row>
    <row r="39">
      <c r="B39" s="7">
        <f t="shared" ref="B39:M39" si="7">MEDIAN(B8, $B$30, $B$31)</f>
        <v>0.3852624008</v>
      </c>
      <c r="C39" s="7">
        <f t="shared" si="7"/>
        <v>0.39877612</v>
      </c>
      <c r="D39" s="7">
        <f t="shared" si="7"/>
        <v>0.4510756194</v>
      </c>
      <c r="E39" s="7">
        <f t="shared" si="7"/>
        <v>0.4446858213</v>
      </c>
      <c r="F39" s="7">
        <f t="shared" si="7"/>
        <v>0.3576744443</v>
      </c>
      <c r="G39" s="7">
        <f t="shared" si="7"/>
        <v>0.3506568716</v>
      </c>
      <c r="H39" s="7">
        <f t="shared" si="7"/>
        <v>0.2468600779</v>
      </c>
      <c r="I39" s="7">
        <f t="shared" si="7"/>
        <v>0.2070141694</v>
      </c>
      <c r="J39" s="7">
        <f t="shared" si="7"/>
        <v>0.1739533071</v>
      </c>
      <c r="K39" s="7">
        <f t="shared" si="7"/>
        <v>0.1823215568</v>
      </c>
      <c r="L39" s="7">
        <f t="shared" si="7"/>
        <v>0.1823215568</v>
      </c>
      <c r="M39" s="7">
        <f t="shared" si="7"/>
        <v>0.231111721</v>
      </c>
    </row>
    <row r="40">
      <c r="B40" s="7">
        <f t="shared" ref="B40:M40" si="8">MEDIAN(B9, $B$30, $B$31)</f>
        <v>0.1222176327</v>
      </c>
      <c r="C40" s="7">
        <f t="shared" si="8"/>
        <v>0.1310282624</v>
      </c>
      <c r="D40" s="7">
        <f t="shared" si="8"/>
        <v>0.2070141694</v>
      </c>
      <c r="E40" s="7">
        <f t="shared" si="8"/>
        <v>0.2151113796</v>
      </c>
      <c r="F40" s="7">
        <f t="shared" si="8"/>
        <v>0.2070141694</v>
      </c>
      <c r="G40" s="7">
        <f t="shared" si="8"/>
        <v>0.1906203596</v>
      </c>
      <c r="H40" s="7">
        <f t="shared" si="8"/>
        <v>0.2151113796</v>
      </c>
      <c r="I40" s="7">
        <f t="shared" si="8"/>
        <v>0.2070141694</v>
      </c>
      <c r="J40" s="7">
        <f t="shared" si="8"/>
        <v>0.2231435513</v>
      </c>
      <c r="K40" s="7">
        <f t="shared" si="8"/>
        <v>0.3506568716</v>
      </c>
      <c r="L40" s="7">
        <f t="shared" si="8"/>
        <v>0.3646431136</v>
      </c>
      <c r="M40" s="7">
        <f t="shared" si="8"/>
        <v>0.3784364357</v>
      </c>
    </row>
    <row r="41">
      <c r="B41" s="7">
        <f t="shared" ref="B41:M41" si="9">MEDIAN(B10, $B$30, $B$31)</f>
        <v>0.8458682676</v>
      </c>
      <c r="C41" s="7">
        <f t="shared" si="9"/>
        <v>0.8415671857</v>
      </c>
      <c r="D41" s="7">
        <f t="shared" si="9"/>
        <v>0.8458682676</v>
      </c>
      <c r="E41" s="7">
        <f t="shared" si="9"/>
        <v>0.9162907319</v>
      </c>
      <c r="F41" s="7">
        <f t="shared" si="9"/>
        <v>1.004301609</v>
      </c>
      <c r="G41" s="7">
        <f t="shared" si="9"/>
        <v>1.128171091</v>
      </c>
      <c r="H41" s="7">
        <f t="shared" si="9"/>
        <v>1.105256831</v>
      </c>
      <c r="I41" s="7">
        <f t="shared" si="9"/>
        <v>0.9783261228</v>
      </c>
      <c r="J41" s="7">
        <f t="shared" si="9"/>
        <v>0.9858167945</v>
      </c>
      <c r="K41" s="7">
        <f t="shared" si="9"/>
        <v>1.095273387</v>
      </c>
      <c r="L41" s="7">
        <f t="shared" si="9"/>
        <v>1.101940079</v>
      </c>
      <c r="M41" s="7">
        <f t="shared" si="9"/>
        <v>1.137463824</v>
      </c>
    </row>
    <row r="42">
      <c r="B42" s="7">
        <f t="shared" ref="B42:M42" si="10">MEDIAN(B11, $B$30, $B$31)</f>
        <v>0.9439058989</v>
      </c>
      <c r="C42" s="7">
        <f t="shared" si="10"/>
        <v>0.9400072585</v>
      </c>
      <c r="D42" s="7">
        <f t="shared" si="10"/>
        <v>0.9439058989</v>
      </c>
      <c r="E42" s="7">
        <f t="shared" si="10"/>
        <v>0.9477893989</v>
      </c>
      <c r="F42" s="7">
        <f t="shared" si="10"/>
        <v>0.8878912574</v>
      </c>
      <c r="G42" s="7">
        <f t="shared" si="10"/>
        <v>0.9400072585</v>
      </c>
      <c r="H42" s="7">
        <f t="shared" si="10"/>
        <v>0.8544153282</v>
      </c>
      <c r="I42" s="7">
        <f t="shared" si="10"/>
        <v>0.8020015855</v>
      </c>
      <c r="J42" s="7">
        <f t="shared" si="10"/>
        <v>0.8544153282</v>
      </c>
      <c r="K42" s="7">
        <f t="shared" si="10"/>
        <v>0.7701082217</v>
      </c>
      <c r="L42" s="7">
        <f t="shared" si="10"/>
        <v>0.760805829</v>
      </c>
      <c r="M42" s="7">
        <f t="shared" si="10"/>
        <v>0.7929925155</v>
      </c>
    </row>
    <row r="43">
      <c r="B43" s="7">
        <f t="shared" ref="B43:M43" si="11">MEDIAN(B12, $B$30, $B$31)</f>
        <v>0.2623642645</v>
      </c>
      <c r="C43" s="7">
        <f t="shared" si="11"/>
        <v>0.3074846997</v>
      </c>
      <c r="D43" s="7">
        <f t="shared" si="11"/>
        <v>0.3074846997</v>
      </c>
      <c r="E43" s="7">
        <f t="shared" si="11"/>
        <v>0.292669614</v>
      </c>
      <c r="F43" s="7">
        <f t="shared" si="11"/>
        <v>0.2851789422</v>
      </c>
      <c r="G43" s="7">
        <f t="shared" si="11"/>
        <v>0.2390169005</v>
      </c>
      <c r="H43" s="7">
        <f t="shared" si="11"/>
        <v>0.2700271372</v>
      </c>
      <c r="I43" s="7">
        <f t="shared" si="11"/>
        <v>0.292669614</v>
      </c>
      <c r="J43" s="7">
        <f t="shared" si="11"/>
        <v>0.3001045925</v>
      </c>
      <c r="K43" s="7">
        <f t="shared" si="11"/>
        <v>0.3435897044</v>
      </c>
      <c r="L43" s="7">
        <f t="shared" si="11"/>
        <v>0.4317824164</v>
      </c>
      <c r="M43" s="7">
        <f t="shared" si="11"/>
        <v>0.4824261492</v>
      </c>
    </row>
    <row r="44">
      <c r="B44" s="7">
        <f t="shared" ref="B44:M44" si="12">MEDIAN(B13, $B$30, $B$31)</f>
        <v>0.7654678421</v>
      </c>
      <c r="C44" s="7">
        <f t="shared" si="12"/>
        <v>0.8064758659</v>
      </c>
      <c r="D44" s="7">
        <f t="shared" si="12"/>
        <v>0.8458682676</v>
      </c>
      <c r="E44" s="7">
        <f t="shared" si="12"/>
        <v>0.8458682676</v>
      </c>
      <c r="F44" s="7">
        <f t="shared" si="12"/>
        <v>0.8671004877</v>
      </c>
      <c r="G44" s="7">
        <f t="shared" si="12"/>
        <v>0.8796267475</v>
      </c>
      <c r="H44" s="7">
        <f t="shared" si="12"/>
        <v>0.8153648133</v>
      </c>
      <c r="I44" s="7">
        <f t="shared" si="12"/>
        <v>0.7561219797</v>
      </c>
      <c r="J44" s="7">
        <f t="shared" si="12"/>
        <v>0.7129498079</v>
      </c>
      <c r="K44" s="7">
        <f t="shared" si="12"/>
        <v>0.6678293726</v>
      </c>
      <c r="L44" s="7">
        <f t="shared" si="12"/>
        <v>0.6729444732</v>
      </c>
      <c r="M44" s="7">
        <f t="shared" si="12"/>
        <v>0.5481214085</v>
      </c>
    </row>
    <row r="45">
      <c r="B45" s="7">
        <f t="shared" ref="B45:M45" si="13">MEDIAN(B14, $B$30, $B$31)</f>
        <v>0.8796267475</v>
      </c>
      <c r="C45" s="7">
        <f t="shared" si="13"/>
        <v>0.8837675402</v>
      </c>
      <c r="D45" s="7">
        <f t="shared" si="13"/>
        <v>0.9242589015</v>
      </c>
      <c r="E45" s="7">
        <f t="shared" si="13"/>
        <v>1.01884732</v>
      </c>
      <c r="F45" s="7">
        <f t="shared" si="13"/>
        <v>1.05431203</v>
      </c>
      <c r="G45" s="7">
        <f t="shared" si="13"/>
        <v>1.137463824</v>
      </c>
      <c r="H45" s="7">
        <f t="shared" si="13"/>
        <v>1.137463824</v>
      </c>
      <c r="I45" s="7">
        <f t="shared" si="13"/>
        <v>1.137463824</v>
      </c>
      <c r="J45" s="7">
        <f t="shared" si="13"/>
        <v>1.137463824</v>
      </c>
      <c r="K45" s="7">
        <f t="shared" si="13"/>
        <v>1.137463824</v>
      </c>
      <c r="L45" s="7">
        <f t="shared" si="13"/>
        <v>1.137463824</v>
      </c>
      <c r="M45" s="7">
        <f t="shared" si="13"/>
        <v>1.137463824</v>
      </c>
    </row>
    <row r="46">
      <c r="B46" s="7">
        <f t="shared" ref="B46:M46" si="14">MEDIAN(B15, $B$30, $B$31)</f>
        <v>0.3435897044</v>
      </c>
      <c r="C46" s="7">
        <f t="shared" si="14"/>
        <v>0.3435897044</v>
      </c>
      <c r="D46" s="7">
        <f t="shared" si="14"/>
        <v>0.3646431136</v>
      </c>
      <c r="E46" s="7">
        <f t="shared" si="14"/>
        <v>0.292669614</v>
      </c>
      <c r="F46" s="7">
        <f t="shared" si="14"/>
        <v>0.2776317366</v>
      </c>
      <c r="G46" s="7">
        <f t="shared" si="14"/>
        <v>0.5007752879</v>
      </c>
      <c r="H46" s="7">
        <f t="shared" si="14"/>
        <v>0.5306282511</v>
      </c>
      <c r="I46" s="7">
        <f t="shared" si="14"/>
        <v>0.4824261492</v>
      </c>
      <c r="J46" s="7">
        <f t="shared" si="14"/>
        <v>0.5306282511</v>
      </c>
      <c r="K46" s="7">
        <f t="shared" si="14"/>
        <v>0.5423242908</v>
      </c>
      <c r="L46" s="7">
        <f t="shared" si="14"/>
        <v>0.5187937934</v>
      </c>
      <c r="M46" s="7">
        <f t="shared" si="14"/>
        <v>0.5187937934</v>
      </c>
    </row>
    <row r="47">
      <c r="B47" s="7">
        <f t="shared" ref="B47:M47" si="15">MEDIAN(B16, $B$30, $B$31)</f>
        <v>0.2390169005</v>
      </c>
      <c r="C47" s="7">
        <f t="shared" si="15"/>
        <v>0.292669614</v>
      </c>
      <c r="D47" s="7">
        <f t="shared" si="15"/>
        <v>0.3293037471</v>
      </c>
      <c r="E47" s="7">
        <f t="shared" si="15"/>
        <v>0.3293037471</v>
      </c>
      <c r="F47" s="7">
        <f t="shared" si="15"/>
        <v>0.3293037471</v>
      </c>
      <c r="G47" s="7">
        <f t="shared" si="15"/>
        <v>0.3576744443</v>
      </c>
      <c r="H47" s="7">
        <f t="shared" si="15"/>
        <v>0.3364722366</v>
      </c>
      <c r="I47" s="7">
        <f t="shared" si="15"/>
        <v>0.3435897044</v>
      </c>
      <c r="J47" s="7">
        <f t="shared" si="15"/>
        <v>0.2851789422</v>
      </c>
      <c r="K47" s="7">
        <f t="shared" si="15"/>
        <v>0.2851789422</v>
      </c>
      <c r="L47" s="7">
        <f t="shared" si="15"/>
        <v>0.3506568716</v>
      </c>
      <c r="M47" s="7">
        <f t="shared" si="15"/>
        <v>0.2623642645</v>
      </c>
    </row>
    <row r="48">
      <c r="B48" s="7">
        <f t="shared" ref="B48:M48" si="16">MEDIAN(B17, $B$30, $B$31)</f>
        <v>0.4317824164</v>
      </c>
      <c r="C48" s="7">
        <f t="shared" si="16"/>
        <v>0.7701082217</v>
      </c>
      <c r="D48" s="7">
        <f t="shared" si="16"/>
        <v>1.137463824</v>
      </c>
      <c r="E48" s="7">
        <f t="shared" si="16"/>
        <v>1.137463824</v>
      </c>
      <c r="F48" s="7">
        <f t="shared" si="16"/>
        <v>1.124929597</v>
      </c>
      <c r="G48" s="7">
        <f t="shared" si="16"/>
        <v>0.9477893989</v>
      </c>
      <c r="H48" s="7">
        <f t="shared" si="16"/>
        <v>0.9202827531</v>
      </c>
      <c r="I48" s="7">
        <f t="shared" si="16"/>
        <v>0.5988365011</v>
      </c>
      <c r="J48" s="7">
        <f t="shared" si="16"/>
        <v>0.824175443</v>
      </c>
      <c r="K48" s="7">
        <f t="shared" si="16"/>
        <v>0.5766133643</v>
      </c>
      <c r="L48" s="7">
        <f t="shared" si="16"/>
        <v>0.8020015855</v>
      </c>
      <c r="M48" s="7">
        <f t="shared" si="16"/>
        <v>0.6097655716</v>
      </c>
    </row>
    <row r="49">
      <c r="B49" s="7">
        <f t="shared" ref="B49:M49" si="17">MEDIAN(B18, $B$30, $B$31)</f>
        <v>0.6830968447</v>
      </c>
      <c r="C49" s="7">
        <f t="shared" si="17"/>
        <v>0.6365768291</v>
      </c>
      <c r="D49" s="7">
        <f t="shared" si="17"/>
        <v>0.5653138091</v>
      </c>
      <c r="E49" s="7">
        <f t="shared" si="17"/>
        <v>0.4700036292</v>
      </c>
      <c r="F49" s="7">
        <f t="shared" si="17"/>
        <v>0.7419373447</v>
      </c>
      <c r="G49" s="7">
        <f t="shared" si="17"/>
        <v>0.9516578757</v>
      </c>
      <c r="H49" s="7">
        <f t="shared" si="17"/>
        <v>0.8628899551</v>
      </c>
      <c r="I49" s="7">
        <f t="shared" si="17"/>
        <v>0.9202827531</v>
      </c>
      <c r="J49" s="7">
        <f t="shared" si="17"/>
        <v>1.137463824</v>
      </c>
      <c r="K49" s="7">
        <f t="shared" si="17"/>
        <v>1.078409581</v>
      </c>
      <c r="L49" s="7">
        <f t="shared" si="17"/>
        <v>1.137463824</v>
      </c>
      <c r="M49" s="7">
        <f t="shared" si="17"/>
        <v>0.9895411936</v>
      </c>
    </row>
    <row r="50">
      <c r="B50" s="7">
        <f t="shared" ref="B50:M50" si="18">MEDIAN(B19, $B$30, $B$31)</f>
        <v>0.5247285289</v>
      </c>
      <c r="C50" s="7">
        <f t="shared" si="18"/>
        <v>0.5128236264</v>
      </c>
      <c r="D50" s="7">
        <f t="shared" si="18"/>
        <v>0.4637340162</v>
      </c>
      <c r="E50" s="7">
        <f t="shared" si="18"/>
        <v>0.457424847</v>
      </c>
      <c r="F50" s="7">
        <f t="shared" si="18"/>
        <v>0.4054651081</v>
      </c>
      <c r="G50" s="7">
        <f t="shared" si="18"/>
        <v>0.3506568716</v>
      </c>
      <c r="H50" s="7">
        <f t="shared" si="18"/>
        <v>0.231111721</v>
      </c>
      <c r="I50" s="7">
        <f t="shared" si="18"/>
        <v>0.231111721</v>
      </c>
      <c r="J50" s="7">
        <f t="shared" si="18"/>
        <v>0.1739533071</v>
      </c>
      <c r="K50" s="7">
        <f t="shared" si="18"/>
        <v>0.1988508587</v>
      </c>
      <c r="L50" s="7">
        <f t="shared" si="18"/>
        <v>0.231111721</v>
      </c>
      <c r="M50" s="7">
        <f t="shared" si="18"/>
        <v>0.2390169005</v>
      </c>
    </row>
    <row r="51">
      <c r="B51" s="7">
        <f t="shared" ref="B51:M51" si="19">MEDIAN(B20, $B$30, $B$31)</f>
        <v>0.02955880224</v>
      </c>
      <c r="C51" s="7">
        <f t="shared" si="19"/>
        <v>0.05826890812</v>
      </c>
      <c r="D51" s="7">
        <f t="shared" si="19"/>
        <v>0.05826890812</v>
      </c>
      <c r="E51" s="7">
        <f t="shared" si="19"/>
        <v>0.05826890812</v>
      </c>
      <c r="F51" s="7">
        <f t="shared" si="19"/>
        <v>0.06765864847</v>
      </c>
      <c r="G51" s="7">
        <f t="shared" si="19"/>
        <v>0.1043600153</v>
      </c>
      <c r="H51" s="7">
        <f t="shared" si="19"/>
        <v>0.06765864847</v>
      </c>
      <c r="I51" s="7">
        <f t="shared" si="19"/>
        <v>0.08617769624</v>
      </c>
      <c r="J51" s="7">
        <f t="shared" si="19"/>
        <v>0.06765864847</v>
      </c>
      <c r="K51" s="7">
        <f t="shared" si="19"/>
        <v>0.06765864847</v>
      </c>
      <c r="L51" s="7">
        <f t="shared" si="19"/>
        <v>0.05826890812</v>
      </c>
      <c r="M51" s="7">
        <f t="shared" si="19"/>
        <v>0.02955880224</v>
      </c>
    </row>
    <row r="52">
      <c r="B52" s="7">
        <f t="shared" ref="B52:M52" si="20">MEDIAN(B21, $B$30, $B$31)</f>
        <v>0.9400072585</v>
      </c>
      <c r="C52" s="7">
        <f t="shared" si="20"/>
        <v>0.8754687374</v>
      </c>
      <c r="D52" s="7">
        <f t="shared" si="20"/>
        <v>0.4885800148</v>
      </c>
      <c r="E52" s="7">
        <f t="shared" si="20"/>
        <v>0.05826890812</v>
      </c>
      <c r="F52" s="7">
        <f t="shared" si="20"/>
        <v>0.457424847</v>
      </c>
      <c r="G52" s="7">
        <f t="shared" si="20"/>
        <v>0.3001045925</v>
      </c>
      <c r="H52" s="7">
        <f t="shared" si="20"/>
        <v>0.3293037471</v>
      </c>
      <c r="I52" s="7">
        <f t="shared" si="20"/>
        <v>0.2851789422</v>
      </c>
      <c r="J52" s="7">
        <f t="shared" si="20"/>
        <v>0.3646431136</v>
      </c>
      <c r="K52" s="7">
        <f t="shared" si="20"/>
        <v>0.02955880224</v>
      </c>
      <c r="L52" s="7">
        <f t="shared" si="20"/>
        <v>0.02955880224</v>
      </c>
      <c r="M52" s="7">
        <f t="shared" si="20"/>
        <v>0.2776317366</v>
      </c>
    </row>
    <row r="53">
      <c r="B53" s="7">
        <f t="shared" ref="B53:M53" si="21">MEDIAN(B22, $B$30, $B$31)</f>
        <v>0.08617769624</v>
      </c>
      <c r="C53" s="7">
        <f t="shared" si="21"/>
        <v>0.1133286853</v>
      </c>
      <c r="D53" s="7">
        <f t="shared" si="21"/>
        <v>0.1739533071</v>
      </c>
      <c r="E53" s="7">
        <f t="shared" si="21"/>
        <v>0.1906203596</v>
      </c>
      <c r="F53" s="7">
        <f t="shared" si="21"/>
        <v>0.02955880224</v>
      </c>
      <c r="G53" s="7">
        <f t="shared" si="21"/>
        <v>0.1222176327</v>
      </c>
      <c r="H53" s="7">
        <f t="shared" si="21"/>
        <v>0.2151113796</v>
      </c>
      <c r="I53" s="7">
        <f t="shared" si="21"/>
        <v>0.2231435513</v>
      </c>
      <c r="J53" s="7">
        <f t="shared" si="21"/>
        <v>0.1739533071</v>
      </c>
      <c r="K53" s="7">
        <f t="shared" si="21"/>
        <v>0.06765864847</v>
      </c>
      <c r="L53" s="7">
        <f t="shared" si="21"/>
        <v>0.07696104114</v>
      </c>
      <c r="M53" s="7">
        <f t="shared" si="21"/>
        <v>0.2851789422</v>
      </c>
    </row>
    <row r="54">
      <c r="B54" s="7">
        <f t="shared" ref="B54:M54" si="22">MEDIAN(B23, $B$30, $B$31)</f>
        <v>0.2851789422</v>
      </c>
      <c r="C54" s="7">
        <f t="shared" si="22"/>
        <v>0.1570037488</v>
      </c>
      <c r="D54" s="7">
        <f t="shared" si="22"/>
        <v>0.1655144385</v>
      </c>
      <c r="E54" s="7">
        <f t="shared" si="22"/>
        <v>0.1823215568</v>
      </c>
      <c r="F54" s="7">
        <f t="shared" si="22"/>
        <v>0.3364722366</v>
      </c>
      <c r="G54" s="7">
        <f t="shared" si="22"/>
        <v>0.4382549309</v>
      </c>
      <c r="H54" s="7">
        <f t="shared" si="22"/>
        <v>0.6205764877</v>
      </c>
      <c r="I54" s="7">
        <f t="shared" si="22"/>
        <v>0.5364933705</v>
      </c>
      <c r="J54" s="7">
        <f t="shared" si="22"/>
        <v>0.2700271372</v>
      </c>
      <c r="K54" s="7">
        <f t="shared" si="22"/>
        <v>0.292669614</v>
      </c>
      <c r="L54" s="7">
        <f t="shared" si="22"/>
        <v>0.3364722366</v>
      </c>
      <c r="M54" s="7">
        <f t="shared" si="22"/>
        <v>0.3435897044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>
        <v>2025.0</v>
      </c>
      <c r="C1" s="2">
        <v>2024.0</v>
      </c>
      <c r="D1" s="2">
        <v>2023.0</v>
      </c>
      <c r="E1" s="2">
        <v>2022.0</v>
      </c>
      <c r="F1" s="2">
        <v>2021.0</v>
      </c>
      <c r="G1" s="2">
        <v>2020.0</v>
      </c>
      <c r="H1" s="2">
        <v>2019.0</v>
      </c>
      <c r="I1" s="2">
        <v>2018.0</v>
      </c>
      <c r="J1" s="2">
        <v>2017.0</v>
      </c>
      <c r="K1" s="2">
        <v>2016.0</v>
      </c>
      <c r="L1" s="2">
        <v>2015.0</v>
      </c>
      <c r="M1" s="2">
        <v>2014.0</v>
      </c>
      <c r="N1" s="2"/>
      <c r="O1" s="2"/>
    </row>
    <row r="2">
      <c r="A2" s="1" t="s">
        <v>2</v>
      </c>
      <c r="B2" s="7">
        <v>2.1838015570040787</v>
      </c>
      <c r="C2" s="7">
        <v>2.2710944259026746</v>
      </c>
      <c r="D2" s="7">
        <v>2.340843805111136</v>
      </c>
      <c r="E2" s="7">
        <v>2.3145136638593193</v>
      </c>
      <c r="F2" s="7">
        <v>2.2679936482244267</v>
      </c>
      <c r="G2" s="7">
        <v>2.1972245773362196</v>
      </c>
      <c r="H2" s="7">
        <v>2.4840729690394228</v>
      </c>
      <c r="I2" s="7">
        <v>2.372111155642656</v>
      </c>
      <c r="J2" s="7">
        <v>2.378619779270043</v>
      </c>
      <c r="K2" s="7">
        <v>2.2905125117597764</v>
      </c>
      <c r="L2" s="7">
        <v>2.3350522831315472</v>
      </c>
      <c r="M2" s="7">
        <v>2.3085671646715933</v>
      </c>
      <c r="N2" s="3"/>
    </row>
    <row r="3">
      <c r="A3" s="1" t="s">
        <v>3</v>
      </c>
      <c r="B3" s="7">
        <v>1.7732559976634952</v>
      </c>
      <c r="C3" s="7">
        <v>1.7526720805200082</v>
      </c>
      <c r="D3" s="7">
        <v>1.715598108262491</v>
      </c>
      <c r="E3" s="7">
        <v>1.6074359097634274</v>
      </c>
      <c r="F3" s="7">
        <v>1.5195132049061133</v>
      </c>
      <c r="G3" s="7">
        <v>1.6174060820832772</v>
      </c>
      <c r="H3" s="7">
        <v>1.6486586255873816</v>
      </c>
      <c r="I3" s="7">
        <v>1.4447642049535876</v>
      </c>
      <c r="J3" s="7">
        <v>1.4447642049535876</v>
      </c>
      <c r="K3" s="7">
        <v>1.4447642049535876</v>
      </c>
      <c r="L3" s="7">
        <v>1.4447642049535876</v>
      </c>
      <c r="M3" s="7">
        <v>1.4447642049535876</v>
      </c>
      <c r="N3" s="4"/>
    </row>
    <row r="4" ht="15.0" customHeight="1">
      <c r="A4" s="1" t="s">
        <v>4</v>
      </c>
      <c r="B4" s="7">
        <v>1.556037135706985</v>
      </c>
      <c r="C4" s="7">
        <v>1.572773928062509</v>
      </c>
      <c r="D4" s="7">
        <v>1.6074359097634274</v>
      </c>
      <c r="E4" s="7">
        <v>1.5644405465033644</v>
      </c>
      <c r="F4" s="7">
        <v>1.5195132049061133</v>
      </c>
      <c r="G4" s="7">
        <v>1.6134299337036377</v>
      </c>
      <c r="H4" s="7">
        <v>1.8180767775454285</v>
      </c>
      <c r="I4" s="7">
        <v>1.4861396960896067</v>
      </c>
      <c r="J4" s="7">
        <v>1.682688374173693</v>
      </c>
      <c r="K4" s="7">
        <v>1.7900914121273581</v>
      </c>
      <c r="L4" s="7">
        <v>1.742219023667919</v>
      </c>
      <c r="M4" s="7">
        <v>1.8196988379172965</v>
      </c>
      <c r="N4" s="5"/>
    </row>
    <row r="5">
      <c r="A5" s="1" t="s">
        <v>8</v>
      </c>
      <c r="B5" s="7">
        <v>1.9837562915454279</v>
      </c>
      <c r="C5" s="7">
        <v>2.0943301541735866</v>
      </c>
      <c r="D5" s="7">
        <v>2.174751721484161</v>
      </c>
      <c r="E5" s="7">
        <v>2.149433913499871</v>
      </c>
      <c r="F5" s="7">
        <v>2.149433913499871</v>
      </c>
      <c r="G5" s="7">
        <v>2.188295946591918</v>
      </c>
      <c r="H5" s="7">
        <v>2.131796772013764</v>
      </c>
      <c r="I5" s="7">
        <v>2.3194422100604686</v>
      </c>
      <c r="J5" s="7">
        <v>2.199444334074532</v>
      </c>
      <c r="K5" s="7">
        <v>2.1849270495258133</v>
      </c>
      <c r="L5" s="7">
        <v>2.262804222982201</v>
      </c>
      <c r="M5" s="7">
        <v>2.4300984132930052</v>
      </c>
      <c r="N5" s="3"/>
    </row>
    <row r="6">
      <c r="A6" s="1" t="s">
        <v>10</v>
      </c>
      <c r="B6" s="7">
        <v>2.28949985344539</v>
      </c>
      <c r="C6" s="7">
        <v>2.2945529212967815</v>
      </c>
      <c r="D6" s="7">
        <v>2.1598687907924505</v>
      </c>
      <c r="E6" s="7">
        <v>2.211565694606877</v>
      </c>
      <c r="F6" s="7">
        <v>2.231089091288976</v>
      </c>
      <c r="G6" s="7">
        <v>2.3398808777377424</v>
      </c>
      <c r="H6" s="7">
        <v>2.315501318260592</v>
      </c>
      <c r="I6" s="7">
        <v>2.2648832258100344</v>
      </c>
      <c r="J6" s="7">
        <v>2.2192034840549946</v>
      </c>
      <c r="K6" s="7">
        <v>2.2181159363675955</v>
      </c>
      <c r="L6" s="7">
        <v>2.2353763433005955</v>
      </c>
      <c r="M6" s="7">
        <v>2.2289385528257473</v>
      </c>
    </row>
    <row r="7">
      <c r="A7" s="1" t="s">
        <v>13</v>
      </c>
      <c r="B7" s="7">
        <v>1.6882490928583902</v>
      </c>
      <c r="C7" s="7">
        <v>1.776645831418007</v>
      </c>
      <c r="D7" s="7">
        <v>1.7119945007591924</v>
      </c>
      <c r="E7" s="7">
        <v>1.7119945007591924</v>
      </c>
      <c r="F7" s="7">
        <v>1.7351891177396608</v>
      </c>
      <c r="G7" s="7">
        <v>1.843719208158766</v>
      </c>
      <c r="H7" s="7">
        <v>1.9110228900548727</v>
      </c>
      <c r="I7" s="7">
        <v>1.925707441737794</v>
      </c>
      <c r="J7" s="7">
        <v>1.9712993830601329</v>
      </c>
      <c r="K7" s="7">
        <v>1.9933388426264242</v>
      </c>
      <c r="L7" s="7">
        <v>1.958685340544036</v>
      </c>
      <c r="M7" s="7">
        <v>2.0215475632609334</v>
      </c>
      <c r="N7" s="3"/>
    </row>
    <row r="8">
      <c r="A8" s="1" t="s">
        <v>20</v>
      </c>
      <c r="B8" s="7">
        <v>2.7067159780890733</v>
      </c>
      <c r="C8" s="7">
        <v>2.7843937676895436</v>
      </c>
      <c r="D8" s="7">
        <v>2.806386101823072</v>
      </c>
      <c r="E8" s="7">
        <v>2.8068995418870073</v>
      </c>
      <c r="F8" s="7">
        <v>2.8068995418870073</v>
      </c>
      <c r="G8" s="7">
        <v>2.8068995418870073</v>
      </c>
      <c r="H8" s="7">
        <v>2.8068995418870073</v>
      </c>
      <c r="I8" s="7">
        <v>2.7523860149222616</v>
      </c>
      <c r="J8" s="7">
        <v>2.761906873892921</v>
      </c>
      <c r="K8" s="7">
        <v>2.7985001040242823</v>
      </c>
      <c r="L8" s="7">
        <v>2.8068995418870073</v>
      </c>
      <c r="M8" s="7">
        <v>2.7868613815264998</v>
      </c>
      <c r="N8" s="3"/>
    </row>
    <row r="9">
      <c r="B9" s="3"/>
      <c r="N9" s="5"/>
    </row>
    <row r="10">
      <c r="B10" s="3"/>
      <c r="C10" s="3"/>
      <c r="D10" s="3"/>
      <c r="E10" s="3"/>
      <c r="F10" s="5"/>
      <c r="G10" s="3"/>
      <c r="H10" s="3"/>
      <c r="I10" s="3"/>
      <c r="J10" s="3"/>
      <c r="K10" s="3"/>
      <c r="L10" s="3"/>
      <c r="M10" s="3"/>
      <c r="N10" s="3"/>
    </row>
    <row r="1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>
      <c r="A12" s="1" t="s">
        <v>29</v>
      </c>
      <c r="B12" s="3">
        <f>MIN(B2:M8)</f>
        <v>1.444764205</v>
      </c>
    </row>
    <row r="13">
      <c r="A13" s="1" t="s">
        <v>30</v>
      </c>
      <c r="B13" s="3">
        <f>MAX(B3:M9)</f>
        <v>2.806899542</v>
      </c>
    </row>
    <row r="15">
      <c r="A15" s="1" t="s">
        <v>31</v>
      </c>
      <c r="B15" s="7">
        <f>PERCENTILE(B2:M8, 0.05)</f>
        <v>1.450970529</v>
      </c>
    </row>
    <row r="16">
      <c r="A16" s="1" t="s">
        <v>32</v>
      </c>
      <c r="B16" s="7">
        <f>PERCENTILE(B2:M8, 0.95)</f>
        <v>2.806822526</v>
      </c>
    </row>
    <row r="19">
      <c r="B19" s="7">
        <f t="shared" ref="B19:M19" si="1">MEDIAN(B2, $B$15, $B$16)</f>
        <v>2.183801557</v>
      </c>
      <c r="C19" s="7">
        <f t="shared" si="1"/>
        <v>2.271094426</v>
      </c>
      <c r="D19" s="7">
        <f t="shared" si="1"/>
        <v>2.340843805</v>
      </c>
      <c r="E19" s="7">
        <f t="shared" si="1"/>
        <v>2.314513664</v>
      </c>
      <c r="F19" s="7">
        <f t="shared" si="1"/>
        <v>2.267993648</v>
      </c>
      <c r="G19" s="7">
        <f t="shared" si="1"/>
        <v>2.197224577</v>
      </c>
      <c r="H19" s="7">
        <f t="shared" si="1"/>
        <v>2.484072969</v>
      </c>
      <c r="I19" s="7">
        <f t="shared" si="1"/>
        <v>2.372111156</v>
      </c>
      <c r="J19" s="7">
        <f t="shared" si="1"/>
        <v>2.378619779</v>
      </c>
      <c r="K19" s="7">
        <f t="shared" si="1"/>
        <v>2.290512512</v>
      </c>
      <c r="L19" s="7">
        <f t="shared" si="1"/>
        <v>2.335052283</v>
      </c>
      <c r="M19" s="7">
        <f t="shared" si="1"/>
        <v>2.308567165</v>
      </c>
    </row>
    <row r="20">
      <c r="B20" s="7">
        <f t="shared" ref="B20:M20" si="2">MEDIAN(B3, $B$15, $B$16)</f>
        <v>1.773255998</v>
      </c>
      <c r="C20" s="7">
        <f t="shared" si="2"/>
        <v>1.752672081</v>
      </c>
      <c r="D20" s="7">
        <f t="shared" si="2"/>
        <v>1.715598108</v>
      </c>
      <c r="E20" s="7">
        <f t="shared" si="2"/>
        <v>1.60743591</v>
      </c>
      <c r="F20" s="7">
        <f t="shared" si="2"/>
        <v>1.519513205</v>
      </c>
      <c r="G20" s="7">
        <f t="shared" si="2"/>
        <v>1.617406082</v>
      </c>
      <c r="H20" s="7">
        <f t="shared" si="2"/>
        <v>1.648658626</v>
      </c>
      <c r="I20" s="7">
        <f t="shared" si="2"/>
        <v>1.450970529</v>
      </c>
      <c r="J20" s="7">
        <f t="shared" si="2"/>
        <v>1.450970529</v>
      </c>
      <c r="K20" s="7">
        <f t="shared" si="2"/>
        <v>1.450970529</v>
      </c>
      <c r="L20" s="7">
        <f t="shared" si="2"/>
        <v>1.450970529</v>
      </c>
      <c r="M20" s="7">
        <f t="shared" si="2"/>
        <v>1.450970529</v>
      </c>
    </row>
    <row r="21">
      <c r="B21" s="7">
        <f t="shared" ref="B21:M21" si="3">MEDIAN(B4, $B$15, $B$16)</f>
        <v>1.556037136</v>
      </c>
      <c r="C21" s="7">
        <f t="shared" si="3"/>
        <v>1.572773928</v>
      </c>
      <c r="D21" s="7">
        <f t="shared" si="3"/>
        <v>1.60743591</v>
      </c>
      <c r="E21" s="7">
        <f t="shared" si="3"/>
        <v>1.564440547</v>
      </c>
      <c r="F21" s="7">
        <f t="shared" si="3"/>
        <v>1.519513205</v>
      </c>
      <c r="G21" s="7">
        <f t="shared" si="3"/>
        <v>1.613429934</v>
      </c>
      <c r="H21" s="7">
        <f t="shared" si="3"/>
        <v>1.818076778</v>
      </c>
      <c r="I21" s="7">
        <f t="shared" si="3"/>
        <v>1.486139696</v>
      </c>
      <c r="J21" s="7">
        <f t="shared" si="3"/>
        <v>1.682688374</v>
      </c>
      <c r="K21" s="7">
        <f t="shared" si="3"/>
        <v>1.790091412</v>
      </c>
      <c r="L21" s="7">
        <f t="shared" si="3"/>
        <v>1.742219024</v>
      </c>
      <c r="M21" s="7">
        <f t="shared" si="3"/>
        <v>1.819698838</v>
      </c>
    </row>
    <row r="22">
      <c r="B22" s="7">
        <f t="shared" ref="B22:M22" si="4">MEDIAN(B5, $B$15, $B$16)</f>
        <v>1.983756292</v>
      </c>
      <c r="C22" s="7">
        <f t="shared" si="4"/>
        <v>2.094330154</v>
      </c>
      <c r="D22" s="7">
        <f t="shared" si="4"/>
        <v>2.174751721</v>
      </c>
      <c r="E22" s="7">
        <f t="shared" si="4"/>
        <v>2.149433913</v>
      </c>
      <c r="F22" s="7">
        <f t="shared" si="4"/>
        <v>2.149433913</v>
      </c>
      <c r="G22" s="7">
        <f t="shared" si="4"/>
        <v>2.188295947</v>
      </c>
      <c r="H22" s="7">
        <f t="shared" si="4"/>
        <v>2.131796772</v>
      </c>
      <c r="I22" s="7">
        <f t="shared" si="4"/>
        <v>2.31944221</v>
      </c>
      <c r="J22" s="7">
        <f t="shared" si="4"/>
        <v>2.199444334</v>
      </c>
      <c r="K22" s="7">
        <f t="shared" si="4"/>
        <v>2.18492705</v>
      </c>
      <c r="L22" s="7">
        <f t="shared" si="4"/>
        <v>2.262804223</v>
      </c>
      <c r="M22" s="7">
        <f t="shared" si="4"/>
        <v>2.430098413</v>
      </c>
    </row>
    <row r="23">
      <c r="B23" s="7">
        <f t="shared" ref="B23:M23" si="5">MEDIAN(B6, $B$15, $B$16)</f>
        <v>2.289499853</v>
      </c>
      <c r="C23" s="7">
        <f t="shared" si="5"/>
        <v>2.294552921</v>
      </c>
      <c r="D23" s="7">
        <f t="shared" si="5"/>
        <v>2.159868791</v>
      </c>
      <c r="E23" s="7">
        <f t="shared" si="5"/>
        <v>2.211565695</v>
      </c>
      <c r="F23" s="7">
        <f t="shared" si="5"/>
        <v>2.231089091</v>
      </c>
      <c r="G23" s="7">
        <f t="shared" si="5"/>
        <v>2.339880878</v>
      </c>
      <c r="H23" s="7">
        <f t="shared" si="5"/>
        <v>2.315501318</v>
      </c>
      <c r="I23" s="7">
        <f t="shared" si="5"/>
        <v>2.264883226</v>
      </c>
      <c r="J23" s="7">
        <f t="shared" si="5"/>
        <v>2.219203484</v>
      </c>
      <c r="K23" s="7">
        <f t="shared" si="5"/>
        <v>2.218115936</v>
      </c>
      <c r="L23" s="7">
        <f t="shared" si="5"/>
        <v>2.235376343</v>
      </c>
      <c r="M23" s="7">
        <f t="shared" si="5"/>
        <v>2.228938553</v>
      </c>
    </row>
    <row r="24">
      <c r="B24" s="7">
        <f t="shared" ref="B24:M24" si="6">MEDIAN(B7, $B$15, $B$16)</f>
        <v>1.688249093</v>
      </c>
      <c r="C24" s="7">
        <f t="shared" si="6"/>
        <v>1.776645831</v>
      </c>
      <c r="D24" s="7">
        <f t="shared" si="6"/>
        <v>1.711994501</v>
      </c>
      <c r="E24" s="7">
        <f t="shared" si="6"/>
        <v>1.711994501</v>
      </c>
      <c r="F24" s="7">
        <f t="shared" si="6"/>
        <v>1.735189118</v>
      </c>
      <c r="G24" s="7">
        <f t="shared" si="6"/>
        <v>1.843719208</v>
      </c>
      <c r="H24" s="7">
        <f t="shared" si="6"/>
        <v>1.91102289</v>
      </c>
      <c r="I24" s="7">
        <f t="shared" si="6"/>
        <v>1.925707442</v>
      </c>
      <c r="J24" s="7">
        <f t="shared" si="6"/>
        <v>1.971299383</v>
      </c>
      <c r="K24" s="7">
        <f t="shared" si="6"/>
        <v>1.993338843</v>
      </c>
      <c r="L24" s="7">
        <f t="shared" si="6"/>
        <v>1.958685341</v>
      </c>
      <c r="M24" s="7">
        <f t="shared" si="6"/>
        <v>2.021547563</v>
      </c>
    </row>
    <row r="25">
      <c r="B25" s="7">
        <f t="shared" ref="B25:M25" si="7">MEDIAN(B8, $B$15, $B$16)</f>
        <v>2.706715978</v>
      </c>
      <c r="C25" s="7">
        <f t="shared" si="7"/>
        <v>2.784393768</v>
      </c>
      <c r="D25" s="7">
        <f t="shared" si="7"/>
        <v>2.806386102</v>
      </c>
      <c r="E25" s="7">
        <f t="shared" si="7"/>
        <v>2.806822526</v>
      </c>
      <c r="F25" s="7">
        <f t="shared" si="7"/>
        <v>2.806822526</v>
      </c>
      <c r="G25" s="7">
        <f t="shared" si="7"/>
        <v>2.806822526</v>
      </c>
      <c r="H25" s="7">
        <f t="shared" si="7"/>
        <v>2.806822526</v>
      </c>
      <c r="I25" s="7">
        <f t="shared" si="7"/>
        <v>2.752386015</v>
      </c>
      <c r="J25" s="7">
        <f t="shared" si="7"/>
        <v>2.761906874</v>
      </c>
      <c r="K25" s="7">
        <f t="shared" si="7"/>
        <v>2.798500104</v>
      </c>
      <c r="L25" s="7">
        <f t="shared" si="7"/>
        <v>2.806822526</v>
      </c>
      <c r="M25" s="7">
        <f t="shared" si="7"/>
        <v>2.786861382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>
        <v>2025.0</v>
      </c>
      <c r="C1" s="2">
        <v>2024.0</v>
      </c>
      <c r="D1" s="2">
        <v>2023.0</v>
      </c>
      <c r="E1" s="2">
        <v>2022.0</v>
      </c>
      <c r="F1" s="2">
        <v>2021.0</v>
      </c>
      <c r="G1" s="2">
        <v>2020.0</v>
      </c>
      <c r="H1" s="2">
        <v>2019.0</v>
      </c>
      <c r="I1" s="2">
        <v>2018.0</v>
      </c>
      <c r="J1" s="2">
        <v>2017.0</v>
      </c>
      <c r="K1" s="2">
        <v>2016.0</v>
      </c>
      <c r="L1" s="2">
        <v>2015.0</v>
      </c>
      <c r="M1" s="2">
        <v>2014.0</v>
      </c>
      <c r="N1" s="2"/>
      <c r="O1" s="2"/>
    </row>
    <row r="2">
      <c r="A2" s="1" t="s">
        <v>0</v>
      </c>
      <c r="B2" s="7">
        <f>(non_bank!$B$28 - non_bank!B2) / (non_bank!$B$28 - non_bank!$B$27)</f>
        <v>0.5326348676</v>
      </c>
      <c r="C2" s="7">
        <f>(non_bank!$B$28 - non_bank!C2) / (non_bank!$B$28 - non_bank!$B$27)</f>
        <v>0.462500688</v>
      </c>
      <c r="D2" s="7">
        <f>(non_bank!$B$28 - non_bank!D2) / (non_bank!$B$28 - non_bank!$B$27)</f>
        <v>0.3622563143</v>
      </c>
      <c r="E2" s="7">
        <f>(non_bank!$B$28 - non_bank!E2) / (non_bank!$B$28 - non_bank!$B$27)</f>
        <v>0.3201332085</v>
      </c>
      <c r="F2" s="7">
        <f>(non_bank!$B$28 - non_bank!F2) / (non_bank!$B$28 - non_bank!$B$27)</f>
        <v>0.3451701076</v>
      </c>
      <c r="G2" s="7">
        <f>(non_bank!$B$28 - non_bank!G2) / (non_bank!$B$28 - non_bank!$B$27)</f>
        <v>0.3622563143</v>
      </c>
      <c r="H2" s="7">
        <f>(non_bank!$B$28 - non_bank!H2) / (non_bank!$B$28 - non_bank!$B$27)</f>
        <v>0.3709224427</v>
      </c>
      <c r="I2" s="7">
        <f>(non_bank!$B$28 - non_bank!I2) / (non_bank!$B$28 - non_bank!$B$27)</f>
        <v>0.397432307</v>
      </c>
      <c r="J2" s="7">
        <f>(non_bank!$B$28 - non_bank!J2) / (non_bank!$B$28 - non_bank!$B$27)</f>
        <v>0.3160271858</v>
      </c>
      <c r="K2" s="7">
        <f>(non_bank!$B$28 - non_bank!K2) / (non_bank!$B$28 - non_bank!$B$27)</f>
        <v>0.2376064065</v>
      </c>
      <c r="L2" s="7">
        <f>(non_bank!$B$28 - non_bank!L2) / (non_bank!$B$28 - non_bank!$B$27)</f>
        <v>0.233858915</v>
      </c>
      <c r="M2" s="7">
        <f>(non_bank!$B$28 - non_bank!M2) / (non_bank!$B$28 - non_bank!$B$27)</f>
        <v>0.264284434</v>
      </c>
      <c r="N2" s="3"/>
    </row>
    <row r="3">
      <c r="A3" s="1" t="s">
        <v>1</v>
      </c>
      <c r="B3" s="7">
        <f>(non_bank!$B$28 - non_bank!B3) / (non_bank!$B$28 - non_bank!$B$27)</f>
        <v>0.9912920056</v>
      </c>
      <c r="C3" s="7">
        <f>(non_bank!$B$28 - non_bank!C3) / (non_bank!$B$28 - non_bank!$B$27)</f>
        <v>0.9741244311</v>
      </c>
      <c r="D3" s="7">
        <f>(non_bank!$B$28 - non_bank!D3) / (non_bank!$B$28 - non_bank!$B$27)</f>
        <v>0.9741244311</v>
      </c>
      <c r="E3" s="7">
        <f>(non_bank!$B$28 - non_bank!E3) / (non_bank!$B$28 - non_bank!$B$27)</f>
        <v>0.9741244311</v>
      </c>
      <c r="F3" s="7">
        <f>(non_bank!$B$28 - non_bank!F3) / (non_bank!$B$28 - non_bank!$B$27)</f>
        <v>1</v>
      </c>
      <c r="G3" s="7">
        <f>(non_bank!$B$28 - non_bank!G3) / (non_bank!$B$28 - non_bank!$B$27)</f>
        <v>1</v>
      </c>
      <c r="H3" s="7">
        <f>(non_bank!$B$28 - non_bank!H3) / (non_bank!$B$28 - non_bank!$B$27)</f>
        <v>0.965661736</v>
      </c>
      <c r="I3" s="7">
        <f>(non_bank!$B$28 - non_bank!I3) / (non_bank!$B$28 - non_bank!$B$27)</f>
        <v>0.9741244311</v>
      </c>
      <c r="J3" s="7">
        <f>(non_bank!$B$28 - non_bank!J3) / (non_bank!$B$28 - non_bank!$B$27)</f>
        <v>0.965661736</v>
      </c>
      <c r="K3" s="7">
        <f>(non_bank!$B$28 - non_bank!K3) / (non_bank!$B$28 - non_bank!$B$27)</f>
        <v>0.9826673426</v>
      </c>
      <c r="L3" s="7">
        <f>(non_bank!$B$28 - non_bank!L3) / (non_bank!$B$28 - non_bank!$B$27)</f>
        <v>0.9489710662</v>
      </c>
      <c r="M3" s="7">
        <f>(non_bank!$B$28 - non_bank!M3) / (non_bank!$B$28 - non_bank!$B$27)</f>
        <v>0.9741244311</v>
      </c>
      <c r="N3" s="4"/>
    </row>
    <row r="4">
      <c r="A4" s="1" t="s">
        <v>5</v>
      </c>
      <c r="B4" s="7">
        <f>(non_bank!$B$28 - non_bank!B4) / (non_bank!$B$28 - non_bank!$B$27)</f>
        <v>0.3160271858</v>
      </c>
      <c r="C4" s="7">
        <f>(non_bank!$B$28 - non_bank!C4) / (non_bank!$B$28 - non_bank!$B$27)</f>
        <v>0.3451701076</v>
      </c>
      <c r="D4" s="7">
        <f>(non_bank!$B$28 - non_bank!D4) / (non_bank!$B$28 - non_bank!$B$27)</f>
        <v>0.3579542994</v>
      </c>
      <c r="E4" s="7">
        <f>(non_bank!$B$28 - non_bank!E4) / (non_bank!$B$28 - non_bank!$B$27)</f>
        <v>0.4340371516</v>
      </c>
      <c r="F4" s="7">
        <f>(non_bank!$B$28 - non_bank!F4) / (non_bank!$B$28 - non_bank!$B$27)</f>
        <v>0.4869268553</v>
      </c>
      <c r="G4" s="7">
        <f>(non_bank!$B$28 - non_bank!G4) / (non_bank!$B$28 - non_bank!$B$27)</f>
        <v>0.233858915</v>
      </c>
      <c r="H4" s="7">
        <f>(non_bank!$B$28 - non_bank!H4) / (non_bank!$B$28 - non_bank!$B$27)</f>
        <v>0.2917762947</v>
      </c>
      <c r="I4" s="7">
        <f>(non_bank!$B$28 - non_bank!I4) / (non_bank!$B$28 - non_bank!$B$27)</f>
        <v>0.5862977638</v>
      </c>
      <c r="J4" s="7">
        <f>(non_bank!$B$28 - non_bank!J4) / (non_bank!$B$28 - non_bank!$B$27)</f>
        <v>0.5326348676</v>
      </c>
      <c r="K4" s="7">
        <f>(non_bank!$B$28 - non_bank!K4) / (non_bank!$B$28 - non_bank!$B$27)</f>
        <v>0.6258583016</v>
      </c>
      <c r="L4" s="7">
        <f>(non_bank!$B$28 - non_bank!L4) / (non_bank!$B$28 - non_bank!$B$27)</f>
        <v>0.5484009327</v>
      </c>
      <c r="M4" s="7">
        <f>(non_bank!$B$28 - non_bank!M4) / (non_bank!$B$28 - non_bank!$B$27)</f>
        <v>0.5069559109</v>
      </c>
      <c r="O4" s="6"/>
    </row>
    <row r="5">
      <c r="A5" s="1" t="s">
        <v>6</v>
      </c>
      <c r="B5" s="7">
        <f>(non_bank!$B$28 - non_bank!B5) / (non_bank!$B$28 - non_bank!$B$27)</f>
        <v>0.3451701076</v>
      </c>
      <c r="C5" s="7">
        <f>(non_bank!$B$28 - non_bank!C5) / (non_bank!$B$28 - non_bank!$B$27)</f>
        <v>0.2008147508</v>
      </c>
      <c r="D5" s="7">
        <f>(non_bank!$B$28 - non_bank!D5) / (non_bank!$B$28 - non_bank!$B$27)</f>
        <v>0.09226019708</v>
      </c>
      <c r="E5" s="7">
        <f>(non_bank!$B$28 - non_bank!E5) / (non_bank!$B$28 - non_bank!$B$27)</f>
        <v>0.03649372664</v>
      </c>
      <c r="F5" s="7">
        <f>(non_bank!$B$28 - non_bank!F5) / (non_bank!$B$28 - non_bank!$B$27)</f>
        <v>0</v>
      </c>
      <c r="G5" s="7">
        <f>(non_bank!$B$28 - non_bank!G5) / (non_bank!$B$28 - non_bank!$B$27)</f>
        <v>0.1936332753</v>
      </c>
      <c r="H5" s="7">
        <f>(non_bank!$B$28 - non_bank!H5) / (non_bank!$B$28 - non_bank!$B$27)</f>
        <v>0.1347962771</v>
      </c>
      <c r="I5" s="7">
        <f>(non_bank!$B$28 - non_bank!I5) / (non_bank!$B$28 - non_bank!$B$27)</f>
        <v>0.233858915</v>
      </c>
      <c r="J5" s="7">
        <f>(non_bank!$B$28 - non_bank!J5) / (non_bank!$B$28 - non_bank!$B$27)</f>
        <v>0.1936332753</v>
      </c>
      <c r="K5" s="7">
        <f>(non_bank!$B$28 - non_bank!K5) / (non_bank!$B$28 - non_bank!$B$27)</f>
        <v>0.2008147508</v>
      </c>
      <c r="L5" s="7">
        <f>(non_bank!$B$28 - non_bank!L5) / (non_bank!$B$28 - non_bank!$B$27)</f>
        <v>0.1116431035</v>
      </c>
      <c r="M5" s="7">
        <f>(non_bank!$B$28 - non_bank!M5) / (non_bank!$B$28 - non_bank!$B$27)</f>
        <v>0.2877971695</v>
      </c>
      <c r="N5" s="4"/>
    </row>
    <row r="6">
      <c r="A6" s="1" t="s">
        <v>7</v>
      </c>
      <c r="B6" s="7">
        <f>(non_bank!$B$28 - non_bank!B6) / (non_bank!$B$28 - non_bank!$B$27)</f>
        <v>1</v>
      </c>
      <c r="C6" s="7">
        <f>(non_bank!$B$28 - non_bank!C6) / (non_bank!$B$28 - non_bank!$B$27)</f>
        <v>1</v>
      </c>
      <c r="D6" s="7">
        <f>(non_bank!$B$28 - non_bank!D6) / (non_bank!$B$28 - non_bank!$B$27)</f>
        <v>1</v>
      </c>
      <c r="E6" s="7">
        <f>(non_bank!$B$28 - non_bank!E6) / (non_bank!$B$28 - non_bank!$B$27)</f>
        <v>0.9741244311</v>
      </c>
      <c r="F6" s="7">
        <f>(non_bank!$B$28 - non_bank!F6) / (non_bank!$B$28 - non_bank!$B$27)</f>
        <v>0.9741244311</v>
      </c>
      <c r="G6" s="7">
        <f>(non_bank!$B$28 - non_bank!G6) / (non_bank!$B$28 - non_bank!$B$27)</f>
        <v>0.9489710662</v>
      </c>
      <c r="H6" s="7">
        <f>(non_bank!$B$28 - non_bank!H6) / (non_bank!$B$28 - non_bank!$B$27)</f>
        <v>0.9489710662</v>
      </c>
      <c r="I6" s="7">
        <f>(non_bank!$B$28 - non_bank!I6) / (non_bank!$B$28 - non_bank!$B$27)</f>
        <v>1</v>
      </c>
      <c r="J6" s="7">
        <f>(non_bank!$B$28 - non_bank!J6) / (non_bank!$B$28 - non_bank!$B$27)</f>
        <v>1</v>
      </c>
      <c r="K6" s="7">
        <f>(non_bank!$B$28 - non_bank!K6) / (non_bank!$B$28 - non_bank!$B$27)</f>
        <v>1</v>
      </c>
      <c r="L6" s="7">
        <f>(non_bank!$B$28 - non_bank!L6) / (non_bank!$B$28 - non_bank!$B$27)</f>
        <v>1</v>
      </c>
      <c r="M6" s="7">
        <f>(non_bank!$B$28 - non_bank!M6) / (non_bank!$B$28 - non_bank!$B$27)</f>
        <v>1</v>
      </c>
      <c r="N6" s="4"/>
    </row>
    <row r="7">
      <c r="A7" s="1" t="s">
        <v>9</v>
      </c>
      <c r="B7" s="7">
        <f>(non_bank!$B$28 - non_bank!B7) / (non_bank!$B$28 - non_bank!$B$27)</f>
        <v>0.6258583016</v>
      </c>
      <c r="C7" s="7">
        <f>(non_bank!$B$28 - non_bank!C7) / (non_bank!$B$28 - non_bank!$B$27)</f>
        <v>0.6200993657</v>
      </c>
      <c r="D7" s="7">
        <f>(non_bank!$B$28 - non_bank!D7) / (non_bank!$B$28 - non_bank!$B$27)</f>
        <v>0.6374877586</v>
      </c>
      <c r="E7" s="7">
        <f>(non_bank!$B$28 - non_bank!E7) / (non_bank!$B$28 - non_bank!$B$27)</f>
        <v>0.6492692389</v>
      </c>
      <c r="F7" s="7">
        <f>(non_bank!$B$28 - non_bank!F7) / (non_bank!$B$28 - non_bank!$B$27)</f>
        <v>0.6672353569</v>
      </c>
      <c r="G7" s="7">
        <f>(non_bank!$B$28 - non_bank!G7) / (non_bank!$B$28 - non_bank!$B$27)</f>
        <v>0.1517061617</v>
      </c>
      <c r="H7" s="7">
        <f>(non_bank!$B$28 - non_bank!H7) / (non_bank!$B$28 - non_bank!$B$27)</f>
        <v>0.2451484623</v>
      </c>
      <c r="I7" s="7">
        <f>(non_bank!$B$28 - non_bank!I7) / (non_bank!$B$28 - non_bank!$B$27)</f>
        <v>0.233858915</v>
      </c>
      <c r="J7" s="7">
        <f>(non_bank!$B$28 - non_bank!J7) / (non_bank!$B$28 - non_bank!$B$27)</f>
        <v>0.1759260179</v>
      </c>
      <c r="K7" s="7">
        <f>(non_bank!$B$28 - non_bank!K7) / (non_bank!$B$28 - non_bank!$B$27)</f>
        <v>0.2604245977</v>
      </c>
      <c r="L7" s="7">
        <f>(non_bank!$B$28 - non_bank!L7) / (non_bank!$B$28 - non_bank!$B$27)</f>
        <v>0.05470182894</v>
      </c>
      <c r="M7" s="7">
        <f>(non_bank!$B$28 - non_bank!M7) / (non_bank!$B$28 - non_bank!$B$27)</f>
        <v>0</v>
      </c>
      <c r="N7" s="3"/>
    </row>
    <row r="8">
      <c r="A8" s="1" t="s">
        <v>11</v>
      </c>
      <c r="B8" s="7">
        <f>(non_bank!$B$28 - non_bank!B8) / (non_bank!$B$28 - non_bank!$B$27)</f>
        <v>0.6794148721</v>
      </c>
      <c r="C8" s="7">
        <f>(non_bank!$B$28 - non_bank!C8) / (non_bank!$B$28 - non_bank!$B$27)</f>
        <v>0.6672353569</v>
      </c>
      <c r="D8" s="7">
        <f>(non_bank!$B$28 - non_bank!D8) / (non_bank!$B$28 - non_bank!$B$27)</f>
        <v>0.6200993657</v>
      </c>
      <c r="E8" s="7">
        <f>(non_bank!$B$28 - non_bank!E8) / (non_bank!$B$28 - non_bank!$B$27)</f>
        <v>0.6258583016</v>
      </c>
      <c r="F8" s="7">
        <f>(non_bank!$B$28 - non_bank!F8) / (non_bank!$B$28 - non_bank!$B$27)</f>
        <v>0.704279081</v>
      </c>
      <c r="G8" s="7">
        <f>(non_bank!$B$28 - non_bank!G8) / (non_bank!$B$28 - non_bank!$B$27)</f>
        <v>0.7106038116</v>
      </c>
      <c r="H8" s="7">
        <f>(non_bank!$B$28 - non_bank!H8) / (non_bank!$B$28 - non_bank!$B$27)</f>
        <v>0.8041527903</v>
      </c>
      <c r="I8" s="7">
        <f>(non_bank!$B$28 - non_bank!I8) / (non_bank!$B$28 - non_bank!$B$27)</f>
        <v>0.8400647286</v>
      </c>
      <c r="J8" s="7">
        <f>(non_bank!$B$28 - non_bank!J8) / (non_bank!$B$28 - non_bank!$B$27)</f>
        <v>0.8698615055</v>
      </c>
      <c r="K8" s="7">
        <f>(non_bank!$B$28 - non_bank!K8) / (non_bank!$B$28 - non_bank!$B$27)</f>
        <v>0.8623194497</v>
      </c>
      <c r="L8" s="7">
        <f>(non_bank!$B$28 - non_bank!L8) / (non_bank!$B$28 - non_bank!$B$27)</f>
        <v>0.8623194497</v>
      </c>
      <c r="M8" s="7">
        <f>(non_bank!$B$28 - non_bank!M8) / (non_bank!$B$28 - non_bank!$B$27)</f>
        <v>0.8183463184</v>
      </c>
      <c r="N8" s="3"/>
    </row>
    <row r="9">
      <c r="A9" s="1" t="s">
        <v>12</v>
      </c>
      <c r="B9" s="7">
        <f>(non_bank!$B$28 - non_bank!B9) / (non_bank!$B$28 - non_bank!$B$27)</f>
        <v>0.9164893379</v>
      </c>
      <c r="C9" s="7">
        <f>(non_bank!$B$28 - non_bank!C9) / (non_bank!$B$28 - non_bank!$B$27)</f>
        <v>0.9085485781</v>
      </c>
      <c r="D9" s="7">
        <f>(non_bank!$B$28 - non_bank!D9) / (non_bank!$B$28 - non_bank!$B$27)</f>
        <v>0.8400647286</v>
      </c>
      <c r="E9" s="7">
        <f>(non_bank!$B$28 - non_bank!E9) / (non_bank!$B$28 - non_bank!$B$27)</f>
        <v>0.8327669526</v>
      </c>
      <c r="F9" s="7">
        <f>(non_bank!$B$28 - non_bank!F9) / (non_bank!$B$28 - non_bank!$B$27)</f>
        <v>0.8400647286</v>
      </c>
      <c r="G9" s="7">
        <f>(non_bank!$B$28 - non_bank!G9) / (non_bank!$B$28 - non_bank!$B$27)</f>
        <v>0.8548399843</v>
      </c>
      <c r="H9" s="7">
        <f>(non_bank!$B$28 - non_bank!H9) / (non_bank!$B$28 - non_bank!$B$27)</f>
        <v>0.8327669526</v>
      </c>
      <c r="I9" s="7">
        <f>(non_bank!$B$28 - non_bank!I9) / (non_bank!$B$28 - non_bank!$B$27)</f>
        <v>0.8400647286</v>
      </c>
      <c r="J9" s="7">
        <f>(non_bank!$B$28 - non_bank!J9) / (non_bank!$B$28 - non_bank!$B$27)</f>
        <v>0.825527794</v>
      </c>
      <c r="K9" s="7">
        <f>(non_bank!$B$28 - non_bank!K9) / (non_bank!$B$28 - non_bank!$B$27)</f>
        <v>0.7106038116</v>
      </c>
      <c r="L9" s="7">
        <f>(non_bank!$B$28 - non_bank!L9) / (non_bank!$B$28 - non_bank!$B$27)</f>
        <v>0.6979984255</v>
      </c>
      <c r="M9" s="7">
        <f>(non_bank!$B$28 - non_bank!M9) / (non_bank!$B$28 - non_bank!$B$27)</f>
        <v>0.6855669125</v>
      </c>
      <c r="N9" s="3"/>
    </row>
    <row r="10">
      <c r="A10" s="1" t="s">
        <v>14</v>
      </c>
      <c r="B10" s="7">
        <f>(non_bank!$B$28 - non_bank!B10) / (non_bank!$B$28 - non_bank!$B$27)</f>
        <v>0.264284434</v>
      </c>
      <c r="C10" s="7">
        <f>(non_bank!$B$28 - non_bank!C10) / (non_bank!$B$28 - non_bank!$B$27)</f>
        <v>0.2681608718</v>
      </c>
      <c r="D10" s="7">
        <f>(non_bank!$B$28 - non_bank!D10) / (non_bank!$B$28 - non_bank!$B$27)</f>
        <v>0.264284434</v>
      </c>
      <c r="E10" s="7">
        <f>(non_bank!$B$28 - non_bank!E10) / (non_bank!$B$28 - non_bank!$B$27)</f>
        <v>0.2008147508</v>
      </c>
      <c r="F10" s="7">
        <f>(non_bank!$B$28 - non_bank!F10) / (non_bank!$B$28 - non_bank!$B$27)</f>
        <v>0.1214931513</v>
      </c>
      <c r="G10" s="7">
        <f>(non_bank!$B$28 - non_bank!G10) / (non_bank!$B$28 - non_bank!$B$27)</f>
        <v>0.009853252848</v>
      </c>
      <c r="H10" s="7">
        <f>(non_bank!$B$28 - non_bank!H10) / (non_bank!$B$28 - non_bank!$B$27)</f>
        <v>0.03050519691</v>
      </c>
      <c r="I10" s="7">
        <f>(non_bank!$B$28 - non_bank!I10) / (non_bank!$B$28 - non_bank!$B$27)</f>
        <v>0.1449040886</v>
      </c>
      <c r="J10" s="7">
        <f>(non_bank!$B$28 - non_bank!J10) / (non_bank!$B$28 - non_bank!$B$27)</f>
        <v>0.1381529678</v>
      </c>
      <c r="K10" s="7">
        <f>(non_bank!$B$28 - non_bank!K10) / (non_bank!$B$28 - non_bank!$B$27)</f>
        <v>0.03950297956</v>
      </c>
      <c r="L10" s="7">
        <f>(non_bank!$B$28 - non_bank!L10) / (non_bank!$B$28 - non_bank!$B$27)</f>
        <v>0.03349448791</v>
      </c>
      <c r="M10" s="7">
        <f>(non_bank!$B$28 - non_bank!M10) / (non_bank!$B$28 - non_bank!$B$27)</f>
        <v>0</v>
      </c>
      <c r="N10" s="3"/>
    </row>
    <row r="11">
      <c r="A11" s="1" t="s">
        <v>15</v>
      </c>
      <c r="B11" s="7">
        <f>(non_bank!$B$28 - non_bank!B11) / (non_bank!$B$28 - non_bank!$B$27)</f>
        <v>0.1759260179</v>
      </c>
      <c r="C11" s="7">
        <f>(non_bank!$B$28 - non_bank!C11) / (non_bank!$B$28 - non_bank!$B$27)</f>
        <v>0.1794397471</v>
      </c>
      <c r="D11" s="7">
        <f>(non_bank!$B$28 - non_bank!D11) / (non_bank!$B$28 - non_bank!$B$27)</f>
        <v>0.1759260179</v>
      </c>
      <c r="E11" s="7">
        <f>(non_bank!$B$28 - non_bank!E11) / (non_bank!$B$28 - non_bank!$B$27)</f>
        <v>0.1724259342</v>
      </c>
      <c r="F11" s="7">
        <f>(non_bank!$B$28 - non_bank!F11) / (non_bank!$B$28 - non_bank!$B$27)</f>
        <v>0.2264103568</v>
      </c>
      <c r="G11" s="7">
        <f>(non_bank!$B$28 - non_bank!G11) / (non_bank!$B$28 - non_bank!$B$27)</f>
        <v>0.1794397471</v>
      </c>
      <c r="H11" s="7">
        <f>(non_bank!$B$28 - non_bank!H11) / (non_bank!$B$28 - non_bank!$B$27)</f>
        <v>0.2565812212</v>
      </c>
      <c r="I11" s="7">
        <f>(non_bank!$B$28 - non_bank!I11) / (non_bank!$B$28 - non_bank!$B$27)</f>
        <v>0.3038201765</v>
      </c>
      <c r="J11" s="7">
        <f>(non_bank!$B$28 - non_bank!J11) / (non_bank!$B$28 - non_bank!$B$27)</f>
        <v>0.2565812212</v>
      </c>
      <c r="K11" s="7">
        <f>(non_bank!$B$28 - non_bank!K11) / (non_bank!$B$28 - non_bank!$B$27)</f>
        <v>0.3325647216</v>
      </c>
      <c r="L11" s="7">
        <f>(non_bank!$B$28 - non_bank!L11) / (non_bank!$B$28 - non_bank!$B$27)</f>
        <v>0.3409486928</v>
      </c>
      <c r="M11" s="7">
        <f>(non_bank!$B$28 - non_bank!M11) / (non_bank!$B$28 - non_bank!$B$27)</f>
        <v>0.3119397847</v>
      </c>
      <c r="N11" s="4"/>
    </row>
    <row r="12">
      <c r="A12" s="1" t="s">
        <v>16</v>
      </c>
      <c r="B12" s="7">
        <f>(non_bank!$B$28 - non_bank!B12) / (non_bank!$B$28 - non_bank!$B$27)</f>
        <v>0.7901793258</v>
      </c>
      <c r="C12" s="7">
        <f>(non_bank!$B$28 - non_bank!C12) / (non_bank!$B$28 - non_bank!$B$27)</f>
        <v>0.7495136126</v>
      </c>
      <c r="D12" s="7">
        <f>(non_bank!$B$28 - non_bank!D12) / (non_bank!$B$28 - non_bank!$B$27)</f>
        <v>0.7495136126</v>
      </c>
      <c r="E12" s="7">
        <f>(non_bank!$B$28 - non_bank!E12) / (non_bank!$B$28 - non_bank!$B$27)</f>
        <v>0.762866011</v>
      </c>
      <c r="F12" s="7">
        <f>(non_bank!$B$28 - non_bank!F12) / (non_bank!$B$28 - non_bank!$B$27)</f>
        <v>0.7696171318</v>
      </c>
      <c r="G12" s="7">
        <f>(non_bank!$B$28 - non_bank!G12) / (non_bank!$B$28 - non_bank!$B$27)</f>
        <v>0.8112216141</v>
      </c>
      <c r="H12" s="7">
        <f>(non_bank!$B$28 - non_bank!H12) / (non_bank!$B$28 - non_bank!$B$27)</f>
        <v>0.7832730053</v>
      </c>
      <c r="I12" s="7">
        <f>(non_bank!$B$28 - non_bank!I12) / (non_bank!$B$28 - non_bank!$B$27)</f>
        <v>0.762866011</v>
      </c>
      <c r="J12" s="7">
        <f>(non_bank!$B$28 - non_bank!J12) / (non_bank!$B$28 - non_bank!$B$27)</f>
        <v>0.7561650849</v>
      </c>
      <c r="K12" s="7">
        <f>(non_bank!$B$28 - non_bank!K12) / (non_bank!$B$28 - non_bank!$B$27)</f>
        <v>0.7169732403</v>
      </c>
      <c r="L12" s="7">
        <f>(non_bank!$B$28 - non_bank!L12) / (non_bank!$B$28 - non_bank!$B$27)</f>
        <v>0.6374877586</v>
      </c>
      <c r="M12" s="7">
        <f>(non_bank!$B$28 - non_bank!M12) / (non_bank!$B$28 - non_bank!$B$27)</f>
        <v>0.5918440608</v>
      </c>
      <c r="N12" s="4"/>
    </row>
    <row r="13">
      <c r="A13" s="1" t="s">
        <v>17</v>
      </c>
      <c r="B13" s="7">
        <f>(non_bank!$B$28 - non_bank!B13) / (non_bank!$B$28 - non_bank!$B$27)</f>
        <v>0.3367469583</v>
      </c>
      <c r="C13" s="7">
        <f>(non_bank!$B$28 - non_bank!C13) / (non_bank!$B$28 - non_bank!$B$27)</f>
        <v>0.29978764</v>
      </c>
      <c r="D13" s="7">
        <f>(non_bank!$B$28 - non_bank!D13) / (non_bank!$B$28 - non_bank!$B$27)</f>
        <v>0.264284434</v>
      </c>
      <c r="E13" s="7">
        <f>(non_bank!$B$28 - non_bank!E13) / (non_bank!$B$28 - non_bank!$B$27)</f>
        <v>0.264284434</v>
      </c>
      <c r="F13" s="7">
        <f>(non_bank!$B$28 - non_bank!F13) / (non_bank!$B$28 - non_bank!$B$27)</f>
        <v>0.2451484623</v>
      </c>
      <c r="G13" s="7">
        <f>(non_bank!$B$28 - non_bank!G13) / (non_bank!$B$28 - non_bank!$B$27)</f>
        <v>0.233858915</v>
      </c>
      <c r="H13" s="7">
        <f>(non_bank!$B$28 - non_bank!H13) / (non_bank!$B$28 - non_bank!$B$27)</f>
        <v>0.2917762947</v>
      </c>
      <c r="I13" s="7">
        <f>(non_bank!$B$28 - non_bank!I13) / (non_bank!$B$28 - non_bank!$B$27)</f>
        <v>0.3451701076</v>
      </c>
      <c r="J13" s="7">
        <f>(non_bank!$B$28 - non_bank!J13) / (non_bank!$B$28 - non_bank!$B$27)</f>
        <v>0.3840799086</v>
      </c>
      <c r="K13" s="7">
        <f>(non_bank!$B$28 - non_bank!K13) / (non_bank!$B$28 - non_bank!$B$27)</f>
        <v>0.4247456218</v>
      </c>
      <c r="L13" s="7">
        <f>(non_bank!$B$28 - non_bank!L13) / (non_bank!$B$28 - non_bank!$B$27)</f>
        <v>0.4201355329</v>
      </c>
      <c r="M13" s="7">
        <f>(non_bank!$B$28 - non_bank!M13) / (non_bank!$B$28 - non_bank!$B$27)</f>
        <v>0.5326348676</v>
      </c>
      <c r="N13" s="4"/>
    </row>
    <row r="14">
      <c r="A14" s="1" t="s">
        <v>18</v>
      </c>
      <c r="B14" s="7">
        <f>(non_bank!$B$28 - non_bank!B14) / (non_bank!$B$28 - non_bank!$B$27)</f>
        <v>0.233858915</v>
      </c>
      <c r="C14" s="7">
        <f>(non_bank!$B$28 - non_bank!C14) / (non_bank!$B$28 - non_bank!$B$27)</f>
        <v>0.2301269411</v>
      </c>
      <c r="D14" s="7">
        <f>(non_bank!$B$28 - non_bank!D14) / (non_bank!$B$28 - non_bank!$B$27)</f>
        <v>0.1936332753</v>
      </c>
      <c r="E14" s="7">
        <f>(non_bank!$B$28 - non_bank!E14) / (non_bank!$B$28 - non_bank!$B$27)</f>
        <v>0.1083835324</v>
      </c>
      <c r="F14" s="7">
        <f>(non_bank!$B$28 - non_bank!F14) / (non_bank!$B$28 - non_bank!$B$27)</f>
        <v>0.07642023912</v>
      </c>
      <c r="G14" s="7">
        <f>(non_bank!$B$28 - non_bank!G14) / (non_bank!$B$28 - non_bank!$B$27)</f>
        <v>0</v>
      </c>
      <c r="H14" s="7">
        <f>(non_bank!$B$28 - non_bank!H14) / (non_bank!$B$28 - non_bank!$B$27)</f>
        <v>0</v>
      </c>
      <c r="I14" s="7">
        <f>(non_bank!$B$28 - non_bank!I14) / (non_bank!$B$28 - non_bank!$B$27)</f>
        <v>0</v>
      </c>
      <c r="J14" s="7">
        <f>(non_bank!$B$28 - non_bank!J14) / (non_bank!$B$28 - non_bank!$B$27)</f>
        <v>0</v>
      </c>
      <c r="K14" s="7">
        <f>(non_bank!$B$28 - non_bank!K14) / (non_bank!$B$28 - non_bank!$B$27)</f>
        <v>0</v>
      </c>
      <c r="L14" s="7">
        <f>(non_bank!$B$28 - non_bank!L14) / (non_bank!$B$28 - non_bank!$B$27)</f>
        <v>0</v>
      </c>
      <c r="M14" s="7">
        <f>(non_bank!$B$28 - non_bank!M14) / (non_bank!$B$28 - non_bank!$B$27)</f>
        <v>0</v>
      </c>
      <c r="N14" s="4"/>
    </row>
    <row r="15">
      <c r="A15" s="1" t="s">
        <v>19</v>
      </c>
      <c r="B15" s="7">
        <f>(non_bank!$B$28 - non_bank!B15) / (non_bank!$B$28 - non_bank!$B$27)</f>
        <v>0.7169732403</v>
      </c>
      <c r="C15" s="7">
        <f>(non_bank!$B$28 - non_bank!C15) / (non_bank!$B$28 - non_bank!$B$27)</f>
        <v>0.7169732403</v>
      </c>
      <c r="D15" s="7">
        <f>(non_bank!$B$28 - non_bank!D15) / (non_bank!$B$28 - non_bank!$B$27)</f>
        <v>0.6979984255</v>
      </c>
      <c r="E15" s="7">
        <f>(non_bank!$B$28 - non_bank!E15) / (non_bank!$B$28 - non_bank!$B$27)</f>
        <v>0.762866011</v>
      </c>
      <c r="F15" s="7">
        <f>(non_bank!$B$28 - non_bank!F15) / (non_bank!$B$28 - non_bank!$B$27)</f>
        <v>0.7764192049</v>
      </c>
      <c r="G15" s="7">
        <f>(non_bank!$B$28 - non_bank!G15) / (non_bank!$B$28 - non_bank!$B$27)</f>
        <v>0.5753065251</v>
      </c>
      <c r="H15" s="7">
        <f>(non_bank!$B$28 - non_bank!H15) / (non_bank!$B$28 - non_bank!$B$27)</f>
        <v>0.5484009327</v>
      </c>
      <c r="I15" s="7">
        <f>(non_bank!$B$28 - non_bank!I15) / (non_bank!$B$28 - non_bank!$B$27)</f>
        <v>0.5918440608</v>
      </c>
      <c r="J15" s="7">
        <f>(non_bank!$B$28 - non_bank!J15) / (non_bank!$B$28 - non_bank!$B$27)</f>
        <v>0.5484009327</v>
      </c>
      <c r="K15" s="7">
        <f>(non_bank!$B$28 - non_bank!K15) / (non_bank!$B$28 - non_bank!$B$27)</f>
        <v>0.5378596382</v>
      </c>
      <c r="L15" s="7">
        <f>(non_bank!$B$28 - non_bank!L15) / (non_bank!$B$28 - non_bank!$B$27)</f>
        <v>0.5590669792</v>
      </c>
      <c r="M15" s="7">
        <f>(non_bank!$B$28 - non_bank!M15) / (non_bank!$B$28 - non_bank!$B$27)</f>
        <v>0.5590669792</v>
      </c>
      <c r="N15" s="3"/>
    </row>
    <row r="16">
      <c r="A16" s="1" t="s">
        <v>21</v>
      </c>
      <c r="B16" s="7">
        <f>(non_bank!$B$28 - non_bank!B16) / (non_bank!$B$28 - non_bank!$B$27)</f>
        <v>0.8112216141</v>
      </c>
      <c r="C16" s="7">
        <f>(non_bank!$B$28 - non_bank!C16) / (non_bank!$B$28 - non_bank!$B$27)</f>
        <v>0.762866011</v>
      </c>
      <c r="D16" s="7">
        <f>(non_bank!$B$28 - non_bank!D16) / (non_bank!$B$28 - non_bank!$B$27)</f>
        <v>0.7298487508</v>
      </c>
      <c r="E16" s="7">
        <f>(non_bank!$B$28 - non_bank!E16) / (non_bank!$B$28 - non_bank!$B$27)</f>
        <v>0.7298487508</v>
      </c>
      <c r="F16" s="7">
        <f>(non_bank!$B$28 - non_bank!F16) / (non_bank!$B$28 - non_bank!$B$27)</f>
        <v>0.7298487508</v>
      </c>
      <c r="G16" s="7">
        <f>(non_bank!$B$28 - non_bank!G16) / (non_bank!$B$28 - non_bank!$B$27)</f>
        <v>0.704279081</v>
      </c>
      <c r="H16" s="7">
        <f>(non_bank!$B$28 - non_bank!H16) / (non_bank!$B$28 - non_bank!$B$27)</f>
        <v>0.7233880034</v>
      </c>
      <c r="I16" s="7">
        <f>(non_bank!$B$28 - non_bank!I16) / (non_bank!$B$28 - non_bank!$B$27)</f>
        <v>0.7169732403</v>
      </c>
      <c r="J16" s="7">
        <f>(non_bank!$B$28 - non_bank!J16) / (non_bank!$B$28 - non_bank!$B$27)</f>
        <v>0.7696171318</v>
      </c>
      <c r="K16" s="7">
        <f>(non_bank!$B$28 - non_bank!K16) / (non_bank!$B$28 - non_bank!$B$27)</f>
        <v>0.7696171318</v>
      </c>
      <c r="L16" s="7">
        <f>(non_bank!$B$28 - non_bank!L16) / (non_bank!$B$28 - non_bank!$B$27)</f>
        <v>0.7106038116</v>
      </c>
      <c r="M16" s="7">
        <f>(non_bank!$B$28 - non_bank!M16) / (non_bank!$B$28 - non_bank!$B$27)</f>
        <v>0.7901793258</v>
      </c>
      <c r="N16" s="4"/>
    </row>
    <row r="17">
      <c r="A17" s="1" t="s">
        <v>22</v>
      </c>
      <c r="B17" s="7">
        <f>(non_bank!$B$28 - non_bank!B17) / (non_bank!$B$28 - non_bank!$B$27)</f>
        <v>0.6374877586</v>
      </c>
      <c r="C17" s="7">
        <f>(non_bank!$B$28 - non_bank!C17) / (non_bank!$B$28 - non_bank!$B$27)</f>
        <v>0.3325647216</v>
      </c>
      <c r="D17" s="7">
        <f>(non_bank!$B$28 - non_bank!D17) / (non_bank!$B$28 - non_bank!$B$27)</f>
        <v>0</v>
      </c>
      <c r="E17" s="7">
        <f>(non_bank!$B$28 - non_bank!E17) / (non_bank!$B$28 - non_bank!$B$27)</f>
        <v>0</v>
      </c>
      <c r="F17" s="7">
        <f>(non_bank!$B$28 - non_bank!F17) / (non_bank!$B$28 - non_bank!$B$27)</f>
        <v>0.0127747154</v>
      </c>
      <c r="G17" s="7">
        <f>(non_bank!$B$28 - non_bank!G17) / (non_bank!$B$28 - non_bank!$B$27)</f>
        <v>0.1724259342</v>
      </c>
      <c r="H17" s="7">
        <f>(non_bank!$B$28 - non_bank!H17) / (non_bank!$B$28 - non_bank!$B$27)</f>
        <v>0.1972168601</v>
      </c>
      <c r="I17" s="7">
        <f>(non_bank!$B$28 - non_bank!I17) / (non_bank!$B$28 - non_bank!$B$27)</f>
        <v>0.4869268553</v>
      </c>
      <c r="J17" s="7">
        <f>(non_bank!$B$28 - non_bank!J17) / (non_bank!$B$28 - non_bank!$B$27)</f>
        <v>0.2838355349</v>
      </c>
      <c r="K17" s="7">
        <f>(non_bank!$B$28 - non_bank!K17) / (non_bank!$B$28 - non_bank!$B$27)</f>
        <v>0.5069559109</v>
      </c>
      <c r="L17" s="7">
        <f>(non_bank!$B$28 - non_bank!L17) / (non_bank!$B$28 - non_bank!$B$27)</f>
        <v>0.3038201765</v>
      </c>
      <c r="M17" s="7">
        <f>(non_bank!$B$28 - non_bank!M17) / (non_bank!$B$28 - non_bank!$B$27)</f>
        <v>0.4770768074</v>
      </c>
      <c r="N17" s="4"/>
    </row>
    <row r="18">
      <c r="A18" s="1" t="s">
        <v>23</v>
      </c>
      <c r="B18" s="7">
        <f>(non_bank!$B$28 - non_bank!B18) / (non_bank!$B$28 - non_bank!$B$27)</f>
        <v>0.4109855009</v>
      </c>
      <c r="C18" s="7">
        <f>(non_bank!$B$28 - non_bank!C18) / (non_bank!$B$28 - non_bank!$B$27)</f>
        <v>0.4529126145</v>
      </c>
      <c r="D18" s="7">
        <f>(non_bank!$B$28 - non_bank!D18) / (non_bank!$B$28 - non_bank!$B$27)</f>
        <v>0.5171398657</v>
      </c>
      <c r="E18" s="7">
        <f>(non_bank!$B$28 - non_bank!E18) / (non_bank!$B$28 - non_bank!$B$27)</f>
        <v>0.6030401105</v>
      </c>
      <c r="F18" s="7">
        <f>(non_bank!$B$28 - non_bank!F18) / (non_bank!$B$28 - non_bank!$B$27)</f>
        <v>0.3579542994</v>
      </c>
      <c r="G18" s="7">
        <f>(non_bank!$B$28 - non_bank!G18) / (non_bank!$B$28 - non_bank!$B$27)</f>
        <v>0.1689393906</v>
      </c>
      <c r="H18" s="7">
        <f>(non_bank!$B$28 - non_bank!H18) / (non_bank!$B$28 - non_bank!$B$27)</f>
        <v>0.2489432907</v>
      </c>
      <c r="I18" s="7">
        <f>(non_bank!$B$28 - non_bank!I18) / (non_bank!$B$28 - non_bank!$B$27)</f>
        <v>0.1972168601</v>
      </c>
      <c r="J18" s="7">
        <f>(non_bank!$B$28 - non_bank!J18) / (non_bank!$B$28 - non_bank!$B$27)</f>
        <v>0</v>
      </c>
      <c r="K18" s="7">
        <f>(non_bank!$B$28 - non_bank!K18) / (non_bank!$B$28 - non_bank!$B$27)</f>
        <v>0.05470182894</v>
      </c>
      <c r="L18" s="7">
        <f>(non_bank!$B$28 - non_bank!L18) / (non_bank!$B$28 - non_bank!$B$27)</f>
        <v>0</v>
      </c>
      <c r="M18" s="7">
        <f>(non_bank!$B$28 - non_bank!M18) / (non_bank!$B$28 - non_bank!$B$27)</f>
        <v>0.1347962771</v>
      </c>
      <c r="N18" s="4"/>
    </row>
    <row r="19">
      <c r="A19" s="1" t="s">
        <v>24</v>
      </c>
      <c r="B19" s="7">
        <f>(non_bank!$B$28 - non_bank!B19) / (non_bank!$B$28 - non_bank!$B$27)</f>
        <v>0.5537181777</v>
      </c>
      <c r="C19" s="7">
        <f>(non_bank!$B$28 - non_bank!C19) / (non_bank!$B$28 - non_bank!$B$27)</f>
        <v>0.5644477141</v>
      </c>
      <c r="D19" s="7">
        <f>(non_bank!$B$28 - non_bank!D19) / (non_bank!$B$28 - non_bank!$B$27)</f>
        <v>0.6086907271</v>
      </c>
      <c r="E19" s="7">
        <f>(non_bank!$B$28 - non_bank!E19) / (non_bank!$B$28 - non_bank!$B$27)</f>
        <v>0.6143769946</v>
      </c>
      <c r="F19" s="7">
        <f>(non_bank!$B$28 - non_bank!F19) / (non_bank!$B$28 - non_bank!$B$27)</f>
        <v>0.6612067698</v>
      </c>
      <c r="G19" s="7">
        <f>(non_bank!$B$28 - non_bank!G19) / (non_bank!$B$28 - non_bank!$B$27)</f>
        <v>0.7106038116</v>
      </c>
      <c r="H19" s="7">
        <f>(non_bank!$B$28 - non_bank!H19) / (non_bank!$B$28 - non_bank!$B$27)</f>
        <v>0.8183463184</v>
      </c>
      <c r="I19" s="7">
        <f>(non_bank!$B$28 - non_bank!I19) / (non_bank!$B$28 - non_bank!$B$27)</f>
        <v>0.8183463184</v>
      </c>
      <c r="J19" s="7">
        <f>(non_bank!$B$28 - non_bank!J19) / (non_bank!$B$28 - non_bank!$B$27)</f>
        <v>0.8698615055</v>
      </c>
      <c r="K19" s="7">
        <f>(non_bank!$B$28 - non_bank!K19) / (non_bank!$B$28 - non_bank!$B$27)</f>
        <v>0.8474220789</v>
      </c>
      <c r="L19" s="7">
        <f>(non_bank!$B$28 - non_bank!L19) / (non_bank!$B$28 - non_bank!$B$27)</f>
        <v>0.8183463184</v>
      </c>
      <c r="M19" s="7">
        <f>(non_bank!$B$28 - non_bank!M19) / (non_bank!$B$28 - non_bank!$B$27)</f>
        <v>0.8112216141</v>
      </c>
      <c r="N19" s="4"/>
    </row>
    <row r="20">
      <c r="A20" s="1" t="s">
        <v>25</v>
      </c>
      <c r="B20" s="7">
        <f>(non_bank!$B$28 - non_bank!B20) / (non_bank!$B$28 - non_bank!$B$27)</f>
        <v>1</v>
      </c>
      <c r="C20" s="7">
        <f>(non_bank!$B$28 - non_bank!C20) / (non_bank!$B$28 - non_bank!$B$27)</f>
        <v>0.9741244311</v>
      </c>
      <c r="D20" s="7">
        <f>(non_bank!$B$28 - non_bank!D20) / (non_bank!$B$28 - non_bank!$B$27)</f>
        <v>0.9741244311</v>
      </c>
      <c r="E20" s="7">
        <f>(non_bank!$B$28 - non_bank!E20) / (non_bank!$B$28 - non_bank!$B$27)</f>
        <v>0.9741244311</v>
      </c>
      <c r="F20" s="7">
        <f>(non_bank!$B$28 - non_bank!F20) / (non_bank!$B$28 - non_bank!$B$27)</f>
        <v>0.965661736</v>
      </c>
      <c r="G20" s="7">
        <f>(non_bank!$B$28 - non_bank!G20) / (non_bank!$B$28 - non_bank!$B$27)</f>
        <v>0.9325838801</v>
      </c>
      <c r="H20" s="7">
        <f>(non_bank!$B$28 - non_bank!H20) / (non_bank!$B$28 - non_bank!$B$27)</f>
        <v>0.965661736</v>
      </c>
      <c r="I20" s="7">
        <f>(non_bank!$B$28 - non_bank!I20) / (non_bank!$B$28 - non_bank!$B$27)</f>
        <v>0.9489710662</v>
      </c>
      <c r="J20" s="7">
        <f>(non_bank!$B$28 - non_bank!J20) / (non_bank!$B$28 - non_bank!$B$27)</f>
        <v>0.965661736</v>
      </c>
      <c r="K20" s="7">
        <f>(non_bank!$B$28 - non_bank!K20) / (non_bank!$B$28 - non_bank!$B$27)</f>
        <v>0.965661736</v>
      </c>
      <c r="L20" s="7">
        <f>(non_bank!$B$28 - non_bank!L20) / (non_bank!$B$28 - non_bank!$B$27)</f>
        <v>0.9741244311</v>
      </c>
      <c r="M20" s="7">
        <f>(non_bank!$B$28 - non_bank!M20) / (non_bank!$B$28 - non_bank!$B$27)</f>
        <v>1</v>
      </c>
      <c r="N20" s="4"/>
    </row>
    <row r="21">
      <c r="A21" s="1" t="s">
        <v>26</v>
      </c>
      <c r="B21" s="7">
        <f>(non_bank!$B$28 - non_bank!B21) / (non_bank!$B$28 - non_bank!$B$27)</f>
        <v>0.1794397471</v>
      </c>
      <c r="C21" s="7">
        <f>(non_bank!$B$28 - non_bank!C21) / (non_bank!$B$28 - non_bank!$B$27)</f>
        <v>0.2376064065</v>
      </c>
      <c r="D21" s="7">
        <f>(non_bank!$B$28 - non_bank!D21) / (non_bank!$B$28 - non_bank!$B$27)</f>
        <v>0.5862977638</v>
      </c>
      <c r="E21" s="7">
        <f>(non_bank!$B$28 - non_bank!E21) / (non_bank!$B$28 - non_bank!$B$27)</f>
        <v>0.9741244311</v>
      </c>
      <c r="F21" s="7">
        <f>(non_bank!$B$28 - non_bank!F21) / (non_bank!$B$28 - non_bank!$B$27)</f>
        <v>0.6143769946</v>
      </c>
      <c r="G21" s="7">
        <f>(non_bank!$B$28 - non_bank!G21) / (non_bank!$B$28 - non_bank!$B$27)</f>
        <v>0.7561650849</v>
      </c>
      <c r="H21" s="7">
        <f>(non_bank!$B$28 - non_bank!H21) / (non_bank!$B$28 - non_bank!$B$27)</f>
        <v>0.7298487508</v>
      </c>
      <c r="I21" s="7">
        <f>(non_bank!$B$28 - non_bank!I21) / (non_bank!$B$28 - non_bank!$B$27)</f>
        <v>0.7696171318</v>
      </c>
      <c r="J21" s="7">
        <f>(non_bank!$B$28 - non_bank!J21) / (non_bank!$B$28 - non_bank!$B$27)</f>
        <v>0.6979984255</v>
      </c>
      <c r="K21" s="7">
        <f>(non_bank!$B$28 - non_bank!K21) / (non_bank!$B$28 - non_bank!$B$27)</f>
        <v>1</v>
      </c>
      <c r="L21" s="7">
        <f>(non_bank!$B$28 - non_bank!L21) / (non_bank!$B$28 - non_bank!$B$27)</f>
        <v>1</v>
      </c>
      <c r="M21" s="7">
        <f>(non_bank!$B$28 - non_bank!M21) / (non_bank!$B$28 - non_bank!$B$27)</f>
        <v>0.7764192049</v>
      </c>
      <c r="N21" s="3"/>
    </row>
    <row r="22">
      <c r="A22" s="1" t="s">
        <v>27</v>
      </c>
      <c r="B22" s="7">
        <f>(non_bank!$B$28 - non_bank!B22) / (non_bank!$B$28 - non_bank!$B$27)</f>
        <v>0.9489710662</v>
      </c>
      <c r="C22" s="7">
        <f>(non_bank!$B$28 - non_bank!C22) / (non_bank!$B$28 - non_bank!$B$27)</f>
        <v>0.9245006832</v>
      </c>
      <c r="D22" s="7">
        <f>(non_bank!$B$28 - non_bank!D22) / (non_bank!$B$28 - non_bank!$B$27)</f>
        <v>0.8698615055</v>
      </c>
      <c r="E22" s="7">
        <f>(non_bank!$B$28 - non_bank!E22) / (non_bank!$B$28 - non_bank!$B$27)</f>
        <v>0.8548399843</v>
      </c>
      <c r="F22" s="7">
        <f>(non_bank!$B$28 - non_bank!F22) / (non_bank!$B$28 - non_bank!$B$27)</f>
        <v>1</v>
      </c>
      <c r="G22" s="7">
        <f>(non_bank!$B$28 - non_bank!G22) / (non_bank!$B$28 - non_bank!$B$27)</f>
        <v>0.9164893379</v>
      </c>
      <c r="H22" s="7">
        <f>(non_bank!$B$28 - non_bank!H22) / (non_bank!$B$28 - non_bank!$B$27)</f>
        <v>0.8327669526</v>
      </c>
      <c r="I22" s="7">
        <f>(non_bank!$B$28 - non_bank!I22) / (non_bank!$B$28 - non_bank!$B$27)</f>
        <v>0.825527794</v>
      </c>
      <c r="J22" s="7">
        <f>(non_bank!$B$28 - non_bank!J22) / (non_bank!$B$28 - non_bank!$B$27)</f>
        <v>0.8698615055</v>
      </c>
      <c r="K22" s="7">
        <f>(non_bank!$B$28 - non_bank!K22) / (non_bank!$B$28 - non_bank!$B$27)</f>
        <v>0.965661736</v>
      </c>
      <c r="L22" s="7">
        <f>(non_bank!$B$28 - non_bank!L22) / (non_bank!$B$28 - non_bank!$B$27)</f>
        <v>0.9572777647</v>
      </c>
      <c r="M22" s="7">
        <f>(non_bank!$B$28 - non_bank!M22) / (non_bank!$B$28 - non_bank!$B$27)</f>
        <v>0.7696171318</v>
      </c>
      <c r="N22" s="4"/>
    </row>
    <row r="23">
      <c r="A23" s="1" t="s">
        <v>28</v>
      </c>
      <c r="B23" s="7">
        <f>(non_bank!$B$28 - non_bank!B23) / (non_bank!$B$28 - non_bank!$B$27)</f>
        <v>0.7696171318</v>
      </c>
      <c r="C23" s="7">
        <f>(non_bank!$B$28 - non_bank!C23) / (non_bank!$B$28 - non_bank!$B$27)</f>
        <v>0.8851376408</v>
      </c>
      <c r="D23" s="7">
        <f>(non_bank!$B$28 - non_bank!D23) / (non_bank!$B$28 - non_bank!$B$27)</f>
        <v>0.8774672081</v>
      </c>
      <c r="E23" s="7">
        <f>(non_bank!$B$28 - non_bank!E23) / (non_bank!$B$28 - non_bank!$B$27)</f>
        <v>0.8623194497</v>
      </c>
      <c r="F23" s="7">
        <f>(non_bank!$B$28 - non_bank!F23) / (non_bank!$B$28 - non_bank!$B$27)</f>
        <v>0.7233880034</v>
      </c>
      <c r="G23" s="7">
        <f>(non_bank!$B$28 - non_bank!G23) / (non_bank!$B$28 - non_bank!$B$27)</f>
        <v>0.6316542728</v>
      </c>
      <c r="H23" s="7">
        <f>(non_bank!$B$28 - non_bank!H23) / (non_bank!$B$28 - non_bank!$B$27)</f>
        <v>0.4673332487</v>
      </c>
      <c r="I23" s="7">
        <f>(non_bank!$B$28 - non_bank!I23) / (non_bank!$B$28 - non_bank!$B$27)</f>
        <v>0.5431148741</v>
      </c>
      <c r="J23" s="7">
        <f>(non_bank!$B$28 - non_bank!J23) / (non_bank!$B$28 - non_bank!$B$27)</f>
        <v>0.7832730053</v>
      </c>
      <c r="K23" s="7">
        <f>(non_bank!$B$28 - non_bank!K23) / (non_bank!$B$28 - non_bank!$B$27)</f>
        <v>0.762866011</v>
      </c>
      <c r="L23" s="7">
        <f>(non_bank!$B$28 - non_bank!L23) / (non_bank!$B$28 - non_bank!$B$27)</f>
        <v>0.7233880034</v>
      </c>
      <c r="M23" s="7">
        <f>(non_bank!$B$28 - non_bank!M23) / (non_bank!$B$28 - non_bank!$B$27)</f>
        <v>0.7169732403</v>
      </c>
      <c r="N23" s="3"/>
    </row>
    <row r="24">
      <c r="B24" s="3"/>
      <c r="N24" s="5"/>
    </row>
    <row r="25">
      <c r="B25" s="3"/>
      <c r="C25" s="3"/>
      <c r="D25" s="3"/>
      <c r="E25" s="3"/>
      <c r="F25" s="5"/>
      <c r="G25" s="3"/>
      <c r="H25" s="3"/>
      <c r="I25" s="3"/>
      <c r="J25" s="3"/>
      <c r="K25" s="3"/>
      <c r="L25" s="3"/>
      <c r="M25" s="3"/>
      <c r="N25" s="3"/>
    </row>
    <row r="26">
      <c r="B26" s="3"/>
      <c r="C26" s="3"/>
      <c r="D26" s="3"/>
      <c r="E26" s="3"/>
      <c r="F26" s="5"/>
      <c r="G26" s="3"/>
      <c r="H26" s="3"/>
      <c r="I26" s="3"/>
      <c r="J26" s="3"/>
      <c r="K26" s="3"/>
      <c r="L26" s="3"/>
      <c r="M26" s="3"/>
      <c r="N26" s="3"/>
    </row>
    <row r="27">
      <c r="A27" s="1" t="s">
        <v>29</v>
      </c>
      <c r="B27" s="3">
        <f>MIN(B2:M23)</f>
        <v>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>
      <c r="A28" s="1" t="s">
        <v>30</v>
      </c>
      <c r="B28" s="7">
        <f>MAX(B2:M23)</f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>
        <v>2025.0</v>
      </c>
      <c r="C1" s="2">
        <v>2024.0</v>
      </c>
      <c r="D1" s="2">
        <v>2023.0</v>
      </c>
      <c r="E1" s="2">
        <v>2022.0</v>
      </c>
      <c r="F1" s="2">
        <v>2021.0</v>
      </c>
      <c r="G1" s="2">
        <v>2020.0</v>
      </c>
      <c r="H1" s="2">
        <v>2019.0</v>
      </c>
      <c r="I1" s="2">
        <v>2018.0</v>
      </c>
      <c r="J1" s="2">
        <v>2017.0</v>
      </c>
      <c r="K1" s="2">
        <v>2016.0</v>
      </c>
      <c r="L1" s="2">
        <v>2015.0</v>
      </c>
      <c r="M1" s="2">
        <v>2014.0</v>
      </c>
      <c r="N1" s="2"/>
      <c r="O1" s="2"/>
    </row>
    <row r="2">
      <c r="A2" s="1" t="s">
        <v>2</v>
      </c>
      <c r="B2" s="7">
        <f>(bank!$B$13 - bank!B2) / (bank!$B$13 - bank!$B$12)</f>
        <v>0.4574420529</v>
      </c>
      <c r="C2" s="7">
        <f>(bank!$B$13 - bank!C2) / (bank!$B$13 - bank!$B$12)</f>
        <v>0.3933567403</v>
      </c>
      <c r="D2" s="7">
        <f>(bank!$B$13 - bank!D2) / (bank!$B$13 - bank!$B$12)</f>
        <v>0.3421508305</v>
      </c>
      <c r="E2" s="7">
        <f>(bank!$B$13 - bank!E2) / (bank!$B$13 - bank!$B$12)</f>
        <v>0.3614808784</v>
      </c>
      <c r="F2" s="7">
        <f>(bank!$B$13 - bank!F2) / (bank!$B$13 - bank!$B$12)</f>
        <v>0.3956331497</v>
      </c>
      <c r="G2" s="7">
        <f>(bank!$B$13 - bank!G2) / (bank!$B$13 - bank!$B$12)</f>
        <v>0.4475876574</v>
      </c>
      <c r="H2" s="7">
        <f>(bank!$B$13 - bank!H2) / (bank!$B$13 - bank!$B$12)</f>
        <v>0.2370003656</v>
      </c>
      <c r="I2" s="7">
        <f>(bank!$B$13 - bank!I2) / (bank!$B$13 - bank!$B$12)</f>
        <v>0.3191961727</v>
      </c>
      <c r="J2" s="7">
        <f>(bank!$B$13 - bank!J2) / (bank!$B$13 - bank!$B$12)</f>
        <v>0.3144179224</v>
      </c>
      <c r="K2" s="7">
        <f>(bank!$B$13 - bank!K2) / (bank!$B$13 - bank!$B$12)</f>
        <v>0.3791011188</v>
      </c>
      <c r="L2" s="7">
        <f>(bank!$B$13 - bank!L2) / (bank!$B$13 - bank!$B$12)</f>
        <v>0.3464026268</v>
      </c>
      <c r="M2" s="7">
        <f>(bank!$B$13 - bank!M2) / (bank!$B$13 - bank!$B$12)</f>
        <v>0.3658464498</v>
      </c>
      <c r="N2" s="3"/>
    </row>
    <row r="3">
      <c r="A3" s="1" t="s">
        <v>3</v>
      </c>
      <c r="B3" s="7">
        <f>(bank!$B$13 - bank!B3) / (bank!$B$13 - bank!$B$12)</f>
        <v>0.7588405617</v>
      </c>
      <c r="C3" s="7">
        <f>(bank!$B$13 - bank!C3) / (bank!$B$13 - bank!$B$12)</f>
        <v>0.7739520683</v>
      </c>
      <c r="D3" s="7">
        <f>(bank!$B$13 - bank!D3) / (bank!$B$13 - bank!$B$12)</f>
        <v>0.8011696078</v>
      </c>
      <c r="E3" s="7">
        <f>(bank!$B$13 - bank!E3) / (bank!$B$13 - bank!$B$12)</f>
        <v>0.8805759601</v>
      </c>
      <c r="F3" s="7">
        <f>(bank!$B$13 - bank!F3) / (bank!$B$13 - bank!$B$12)</f>
        <v>0.9451236614</v>
      </c>
      <c r="G3" s="7">
        <f>(bank!$B$13 - bank!G3) / (bank!$B$13 - bank!$B$12)</f>
        <v>0.8732564434</v>
      </c>
      <c r="H3" s="7">
        <f>(bank!$B$13 - bank!H3) / (bank!$B$13 - bank!$B$12)</f>
        <v>0.8503126561</v>
      </c>
      <c r="I3" s="7">
        <f>(bank!$B$13 - bank!I3) / (bank!$B$13 - bank!$B$12)</f>
        <v>1</v>
      </c>
      <c r="J3" s="7">
        <f>(bank!$B$13 - bank!J3) / (bank!$B$13 - bank!$B$12)</f>
        <v>1</v>
      </c>
      <c r="K3" s="7">
        <f>(bank!$B$13 - bank!K3) / (bank!$B$13 - bank!$B$12)</f>
        <v>1</v>
      </c>
      <c r="L3" s="7">
        <f>(bank!$B$13 - bank!L3) / (bank!$B$13 - bank!$B$12)</f>
        <v>1</v>
      </c>
      <c r="M3" s="7">
        <f>(bank!$B$13 - bank!M3) / (bank!$B$13 - bank!$B$12)</f>
        <v>1</v>
      </c>
      <c r="N3" s="4"/>
    </row>
    <row r="4" ht="15.0" customHeight="1">
      <c r="A4" s="1" t="s">
        <v>4</v>
      </c>
      <c r="B4" s="7">
        <f>(bank!$B$13 - bank!B4) / (bank!$B$13 - bank!$B$12)</f>
        <v>0.9183099302</v>
      </c>
      <c r="C4" s="7">
        <f>(bank!$B$13 - bank!C4) / (bank!$B$13 - bank!$B$12)</f>
        <v>0.9060227573</v>
      </c>
      <c r="D4" s="7">
        <f>(bank!$B$13 - bank!D4) / (bank!$B$13 - bank!$B$12)</f>
        <v>0.8805759601</v>
      </c>
      <c r="E4" s="7">
        <f>(bank!$B$13 - bank!E4) / (bank!$B$13 - bank!$B$12)</f>
        <v>0.9121406381</v>
      </c>
      <c r="F4" s="7">
        <f>(bank!$B$13 - bank!F4) / (bank!$B$13 - bank!$B$12)</f>
        <v>0.9451236614</v>
      </c>
      <c r="G4" s="7">
        <f>(bank!$B$13 - bank!G4) / (bank!$B$13 - bank!$B$12)</f>
        <v>0.8761754987</v>
      </c>
      <c r="H4" s="7">
        <f>(bank!$B$13 - bank!H4) / (bank!$B$13 - bank!$B$12)</f>
        <v>0.7259357698</v>
      </c>
      <c r="I4" s="7">
        <f>(bank!$B$13 - bank!I4) / (bank!$B$13 - bank!$B$12)</f>
        <v>0.9696245373</v>
      </c>
      <c r="J4" s="7">
        <f>(bank!$B$13 - bank!J4) / (bank!$B$13 - bank!$B$12)</f>
        <v>0.8253300074</v>
      </c>
      <c r="K4" s="7">
        <f>(bank!$B$13 - bank!K4) / (bank!$B$13 - bank!$B$12)</f>
        <v>0.7464809863</v>
      </c>
      <c r="L4" s="7">
        <f>(bank!$B$13 - bank!L4) / (bank!$B$13 - bank!$B$12)</f>
        <v>0.7816260906</v>
      </c>
      <c r="M4" s="7">
        <f>(bank!$B$13 - bank!M4) / (bank!$B$13 - bank!$B$12)</f>
        <v>0.724744948</v>
      </c>
      <c r="N4" s="5"/>
    </row>
    <row r="5">
      <c r="A5" s="1" t="s">
        <v>8</v>
      </c>
      <c r="B5" s="7">
        <f>(bank!$B$13 - bank!B5) / (bank!$B$13 - bank!$B$12)</f>
        <v>0.6043035725</v>
      </c>
      <c r="C5" s="7">
        <f>(bank!$B$13 - bank!C5) / (bank!$B$13 - bank!$B$12)</f>
        <v>0.5231267176</v>
      </c>
      <c r="D5" s="7">
        <f>(bank!$B$13 - bank!D5) / (bank!$B$13 - bank!$B$12)</f>
        <v>0.4640859122</v>
      </c>
      <c r="E5" s="7">
        <f>(bank!$B$13 - bank!E5) / (bank!$B$13 - bank!$B$12)</f>
        <v>0.4826727643</v>
      </c>
      <c r="F5" s="7">
        <f>(bank!$B$13 - bank!F5) / (bank!$B$13 - bank!$B$12)</f>
        <v>0.4826727643</v>
      </c>
      <c r="G5" s="7">
        <f>(bank!$B$13 - bank!G5) / (bank!$B$13 - bank!$B$12)</f>
        <v>0.4541425353</v>
      </c>
      <c r="H5" s="7">
        <f>(bank!$B$13 - bank!H5) / (bank!$B$13 - bank!$B$12)</f>
        <v>0.4956209207</v>
      </c>
      <c r="I5" s="7">
        <f>(bank!$B$13 - bank!I5) / (bank!$B$13 - bank!$B$12)</f>
        <v>0.3578626283</v>
      </c>
      <c r="J5" s="7">
        <f>(bank!$B$13 - bank!J5) / (bank!$B$13 - bank!$B$12)</f>
        <v>0.445958042</v>
      </c>
      <c r="K5" s="7">
        <f>(bank!$B$13 - bank!K5) / (bank!$B$13 - bank!$B$12)</f>
        <v>0.4566157822</v>
      </c>
      <c r="L5" s="7">
        <f>(bank!$B$13 - bank!L5) / (bank!$B$13 - bank!$B$12)</f>
        <v>0.3994429218</v>
      </c>
      <c r="M5" s="7">
        <f>(bank!$B$13 - bank!M5) / (bank!$B$13 - bank!$B$12)</f>
        <v>0.2766253238</v>
      </c>
      <c r="N5" s="3"/>
    </row>
    <row r="6">
      <c r="A6" s="1" t="s">
        <v>10</v>
      </c>
      <c r="B6" s="7">
        <f>(bank!$B$13 - bank!B6) / (bank!$B$13 - bank!$B$12)</f>
        <v>0.3798445532</v>
      </c>
      <c r="C6" s="7">
        <f>(bank!$B$13 - bank!C6) / (bank!$B$13 - bank!$B$12)</f>
        <v>0.3761348867</v>
      </c>
      <c r="D6" s="7">
        <f>(bank!$B$13 - bank!D6) / (bank!$B$13 - bank!$B$12)</f>
        <v>0.4750120884</v>
      </c>
      <c r="E6" s="7">
        <f>(bank!$B$13 - bank!E6) / (bank!$B$13 - bank!$B$12)</f>
        <v>0.4370592489</v>
      </c>
      <c r="F6" s="7">
        <f>(bank!$B$13 - bank!F6) / (bank!$B$13 - bank!$B$12)</f>
        <v>0.4227263143</v>
      </c>
      <c r="G6" s="7">
        <f>(bank!$B$13 - bank!G6) / (bank!$B$13 - bank!$B$12)</f>
        <v>0.3428577554</v>
      </c>
      <c r="H6" s="7">
        <f>(bank!$B$13 - bank!H6) / (bank!$B$13 - bank!$B$12)</f>
        <v>0.3607558003</v>
      </c>
      <c r="I6" s="7">
        <f>(bank!$B$13 - bank!I6) / (bank!$B$13 - bank!$B$12)</f>
        <v>0.3979166397</v>
      </c>
      <c r="J6" s="7">
        <f>(bank!$B$13 - bank!J6) / (bank!$B$13 - bank!$B$12)</f>
        <v>0.4314520312</v>
      </c>
      <c r="K6" s="7">
        <f>(bank!$B$13 - bank!K6) / (bank!$B$13 - bank!$B$12)</f>
        <v>0.432250445</v>
      </c>
      <c r="L6" s="7">
        <f>(bank!$B$13 - bank!L6) / (bank!$B$13 - bank!$B$12)</f>
        <v>0.419578865</v>
      </c>
      <c r="M6" s="7">
        <f>(bank!$B$13 - bank!M6) / (bank!$B$13 - bank!$B$12)</f>
        <v>0.4243051137</v>
      </c>
    </row>
    <row r="7">
      <c r="A7" s="1" t="s">
        <v>13</v>
      </c>
      <c r="B7" s="7">
        <f>(bank!$B$13 - bank!B7) / (bank!$B$13 - bank!$B$12)</f>
        <v>0.8212476534</v>
      </c>
      <c r="C7" s="7">
        <f>(bank!$B$13 - bank!C7) / (bank!$B$13 - bank!$B$12)</f>
        <v>0.7563519443</v>
      </c>
      <c r="D7" s="7">
        <f>(bank!$B$13 - bank!D7) / (bank!$B$13 - bank!$B$12)</f>
        <v>0.8038151654</v>
      </c>
      <c r="E7" s="7">
        <f>(bank!$B$13 - bank!E7) / (bank!$B$13 - bank!$B$12)</f>
        <v>0.8038151654</v>
      </c>
      <c r="F7" s="7">
        <f>(bank!$B$13 - bank!F7) / (bank!$B$13 - bank!$B$12)</f>
        <v>0.7867870358</v>
      </c>
      <c r="G7" s="7">
        <f>(bank!$B$13 - bank!G7) / (bank!$B$13 - bank!$B$12)</f>
        <v>0.7071105988</v>
      </c>
      <c r="H7" s="7">
        <f>(bank!$B$13 - bank!H7) / (bank!$B$13 - bank!$B$12)</f>
        <v>0.6577001767</v>
      </c>
      <c r="I7" s="7">
        <f>(bank!$B$13 - bank!I7) / (bank!$B$13 - bank!$B$12)</f>
        <v>0.6469196388</v>
      </c>
      <c r="J7" s="7">
        <f>(bank!$B$13 - bank!J7) / (bank!$B$13 - bank!$B$12)</f>
        <v>0.6134487053</v>
      </c>
      <c r="K7" s="7">
        <f>(bank!$B$13 - bank!K7) / (bank!$B$13 - bank!$B$12)</f>
        <v>0.5972686246</v>
      </c>
      <c r="L7" s="7">
        <f>(bank!$B$13 - bank!L7) / (bank!$B$13 - bank!$B$12)</f>
        <v>0.6227091966</v>
      </c>
      <c r="M7" s="7">
        <f>(bank!$B$13 - bank!M7) / (bank!$B$13 - bank!$B$12)</f>
        <v>0.5765594338</v>
      </c>
      <c r="N7" s="3"/>
    </row>
    <row r="8">
      <c r="A8" s="1" t="s">
        <v>20</v>
      </c>
      <c r="B8" s="7">
        <f>(bank!$B$13 - bank!B8) / (bank!$B$13 - bank!$B$12)</f>
        <v>0.07354890596</v>
      </c>
      <c r="C8" s="7">
        <f>(bank!$B$13 - bank!C8) / (bank!$B$13 - bank!$B$12)</f>
        <v>0.01652242152</v>
      </c>
      <c r="D8" s="7">
        <f>(bank!$B$13 - bank!D8) / (bank!$B$13 - bank!$B$12)</f>
        <v>0.0003769376287</v>
      </c>
      <c r="E8" s="7">
        <f>(bank!$B$13 - bank!E8) / (bank!$B$13 - bank!$B$12)</f>
        <v>0</v>
      </c>
      <c r="F8" s="7">
        <f>(bank!$B$13 - bank!F8) / (bank!$B$13 - bank!$B$12)</f>
        <v>0</v>
      </c>
      <c r="G8" s="7">
        <f>(bank!$B$13 - bank!G8) / (bank!$B$13 - bank!$B$12)</f>
        <v>0</v>
      </c>
      <c r="H8" s="7">
        <f>(bank!$B$13 - bank!H8) / (bank!$B$13 - bank!$B$12)</f>
        <v>0</v>
      </c>
      <c r="I8" s="7">
        <f>(bank!$B$13 - bank!I8) / (bank!$B$13 - bank!$B$12)</f>
        <v>0.04002063928</v>
      </c>
      <c r="J8" s="7">
        <f>(bank!$B$13 - bank!J8) / (bank!$B$13 - bank!$B$12)</f>
        <v>0.03303098215</v>
      </c>
      <c r="K8" s="7">
        <f>(bank!$B$13 - bank!K8) / (bank!$B$13 - bank!$B$12)</f>
        <v>0.006166375422</v>
      </c>
      <c r="L8" s="7">
        <f>(bank!$B$13 - bank!L8) / (bank!$B$13 - bank!$B$12)</f>
        <v>0</v>
      </c>
      <c r="M8" s="7">
        <f>(bank!$B$13 - bank!M8) / (bank!$B$13 - bank!$B$12)</f>
        <v>0.01471084394</v>
      </c>
      <c r="N8" s="3"/>
    </row>
    <row r="9">
      <c r="B9" s="3"/>
      <c r="N9" s="5"/>
    </row>
    <row r="10">
      <c r="B10" s="3"/>
      <c r="C10" s="3"/>
      <c r="D10" s="3"/>
      <c r="E10" s="3"/>
      <c r="F10" s="5"/>
      <c r="G10" s="3"/>
      <c r="H10" s="3"/>
      <c r="I10" s="3"/>
      <c r="J10" s="3"/>
      <c r="K10" s="3"/>
      <c r="L10" s="3"/>
      <c r="M10" s="3"/>
      <c r="N10" s="3"/>
    </row>
    <row r="1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>
      <c r="A12" s="1" t="s">
        <v>29</v>
      </c>
      <c r="B12" s="3">
        <f>MIN(B2:M8)</f>
        <v>0</v>
      </c>
    </row>
    <row r="13">
      <c r="A13" s="1" t="s">
        <v>30</v>
      </c>
      <c r="B13" s="3">
        <f>MAX(B3:M9)</f>
        <v>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>
        <v>2025.0</v>
      </c>
      <c r="C1" s="2">
        <v>2024.0</v>
      </c>
      <c r="D1" s="2">
        <v>2023.0</v>
      </c>
      <c r="E1" s="2">
        <v>2022.0</v>
      </c>
      <c r="F1" s="2">
        <v>2021.0</v>
      </c>
      <c r="G1" s="2">
        <v>2020.0</v>
      </c>
      <c r="H1" s="2">
        <v>2019.0</v>
      </c>
      <c r="I1" s="2">
        <v>2018.0</v>
      </c>
      <c r="J1" s="2">
        <v>2017.0</v>
      </c>
      <c r="K1" s="2">
        <v>2016.0</v>
      </c>
      <c r="L1" s="2">
        <v>2015.0</v>
      </c>
      <c r="M1" s="2">
        <v>2014.0</v>
      </c>
      <c r="N1" s="2"/>
      <c r="O1" s="2"/>
      <c r="P1" s="8" t="s">
        <v>33</v>
      </c>
    </row>
    <row r="2">
      <c r="A2" s="1" t="s">
        <v>0</v>
      </c>
      <c r="B2" s="7">
        <v>0.532634867562179</v>
      </c>
      <c r="C2" s="7">
        <v>0.4625006879663207</v>
      </c>
      <c r="D2" s="7">
        <v>0.3622563142775422</v>
      </c>
      <c r="E2" s="7">
        <v>0.3201332084809979</v>
      </c>
      <c r="F2" s="7">
        <v>0.34517010759603917</v>
      </c>
      <c r="G2" s="7">
        <v>0.3622563142775422</v>
      </c>
      <c r="H2" s="7">
        <v>0.37092244267591573</v>
      </c>
      <c r="I2" s="7">
        <v>0.39743230703709925</v>
      </c>
      <c r="J2" s="7">
        <v>0.31602718584668543</v>
      </c>
      <c r="K2" s="7">
        <v>0.2376064064869655</v>
      </c>
      <c r="L2" s="7">
        <v>0.23385891497809416</v>
      </c>
      <c r="M2" s="7">
        <v>0.26428443399993323</v>
      </c>
      <c r="N2" s="3"/>
      <c r="P2" s="9">
        <f>IFERROR(__xludf.DUMMYFUNCTION("FLATTEN(B2:M30)"),0.532634867562179)</f>
        <v>0.5326348676</v>
      </c>
    </row>
    <row r="3">
      <c r="A3" s="1" t="s">
        <v>1</v>
      </c>
      <c r="B3" s="7">
        <v>0.9912920055972348</v>
      </c>
      <c r="C3" s="7">
        <v>0.9741244311181435</v>
      </c>
      <c r="D3" s="7">
        <v>0.9741244311181435</v>
      </c>
      <c r="E3" s="7">
        <v>0.9741244311181435</v>
      </c>
      <c r="F3" s="7">
        <v>1.0</v>
      </c>
      <c r="G3" s="7">
        <v>1.0</v>
      </c>
      <c r="H3" s="7">
        <v>0.9656617359891198</v>
      </c>
      <c r="I3" s="7">
        <v>0.9741244311181435</v>
      </c>
      <c r="J3" s="7">
        <v>0.9656617359891198</v>
      </c>
      <c r="K3" s="7">
        <v>0.9826673425624152</v>
      </c>
      <c r="L3" s="7">
        <v>0.9489710662267077</v>
      </c>
      <c r="M3" s="7">
        <v>0.9741244311181435</v>
      </c>
      <c r="N3" s="4"/>
      <c r="P3" s="7">
        <f>IFERROR(__xludf.DUMMYFUNCTION("""COMPUTED_VALUE"""),0.4625006879663207)</f>
        <v>0.462500688</v>
      </c>
    </row>
    <row r="4">
      <c r="A4" s="1" t="s">
        <v>2</v>
      </c>
      <c r="B4" s="7">
        <v>0.4574420529209024</v>
      </c>
      <c r="C4" s="7">
        <v>0.39335674030055834</v>
      </c>
      <c r="D4" s="7">
        <v>0.34215083049317574</v>
      </c>
      <c r="E4" s="7">
        <v>0.3614808783510441</v>
      </c>
      <c r="F4" s="7">
        <v>0.39563314969555186</v>
      </c>
      <c r="G4" s="7">
        <v>0.4475876574227574</v>
      </c>
      <c r="H4" s="7">
        <v>0.23700036559830037</v>
      </c>
      <c r="I4" s="7">
        <v>0.31919617269690104</v>
      </c>
      <c r="J4" s="7">
        <v>0.314417922363832</v>
      </c>
      <c r="K4" s="7">
        <v>0.3791011187550386</v>
      </c>
      <c r="L4" s="7">
        <v>0.3464026267887092</v>
      </c>
      <c r="M4" s="7">
        <v>0.3658464498375848</v>
      </c>
      <c r="O4" s="6"/>
      <c r="P4" s="7">
        <f>IFERROR(__xludf.DUMMYFUNCTION("""COMPUTED_VALUE"""),0.3622563142775422)</f>
        <v>0.3622563143</v>
      </c>
    </row>
    <row r="5">
      <c r="A5" s="1" t="s">
        <v>3</v>
      </c>
      <c r="B5" s="7">
        <v>0.758840561724621</v>
      </c>
      <c r="C5" s="7">
        <v>0.7739520683314665</v>
      </c>
      <c r="D5" s="7">
        <v>0.8011696077728717</v>
      </c>
      <c r="E5" s="7">
        <v>0.8805759601126983</v>
      </c>
      <c r="F5" s="7">
        <v>0.9451236614117886</v>
      </c>
      <c r="G5" s="7">
        <v>0.873256443432149</v>
      </c>
      <c r="H5" s="7">
        <v>0.850312656088328</v>
      </c>
      <c r="I5" s="7">
        <v>1.0</v>
      </c>
      <c r="J5" s="7">
        <v>1.0</v>
      </c>
      <c r="K5" s="7">
        <v>1.0</v>
      </c>
      <c r="L5" s="7">
        <v>1.0</v>
      </c>
      <c r="M5" s="7">
        <v>1.0</v>
      </c>
      <c r="O5" s="6"/>
      <c r="P5" s="7">
        <f>IFERROR(__xludf.DUMMYFUNCTION("""COMPUTED_VALUE"""),0.3201332084809979)</f>
        <v>0.3201332085</v>
      </c>
    </row>
    <row r="6">
      <c r="A6" s="1" t="s">
        <v>4</v>
      </c>
      <c r="B6" s="7">
        <v>0.9183099301983408</v>
      </c>
      <c r="C6" s="7">
        <v>0.9060227573295982</v>
      </c>
      <c r="D6" s="7">
        <v>0.8805759601126983</v>
      </c>
      <c r="E6" s="7">
        <v>0.9121406380813785</v>
      </c>
      <c r="F6" s="7">
        <v>0.9451236614117886</v>
      </c>
      <c r="G6" s="7">
        <v>0.876175498735854</v>
      </c>
      <c r="H6" s="7">
        <v>0.7259357697655205</v>
      </c>
      <c r="I6" s="7">
        <v>0.9696245372877794</v>
      </c>
      <c r="J6" s="7">
        <v>0.8253300074016543</v>
      </c>
      <c r="K6" s="7">
        <v>0.7464809862790823</v>
      </c>
      <c r="L6" s="7">
        <v>0.781626090558672</v>
      </c>
      <c r="M6" s="7">
        <v>0.7247449480256487</v>
      </c>
      <c r="O6" s="6"/>
      <c r="P6" s="7">
        <f>IFERROR(__xludf.DUMMYFUNCTION("""COMPUTED_VALUE"""),0.34517010759603917)</f>
        <v>0.3451701076</v>
      </c>
    </row>
    <row r="7">
      <c r="A7" s="1" t="s">
        <v>5</v>
      </c>
      <c r="B7" s="7">
        <v>0.31602718584668543</v>
      </c>
      <c r="C7" s="7">
        <v>0.34517010759603917</v>
      </c>
      <c r="D7" s="7">
        <v>0.3579542993820736</v>
      </c>
      <c r="E7" s="7">
        <v>0.43403715159584394</v>
      </c>
      <c r="F7" s="7">
        <v>0.4869268553120015</v>
      </c>
      <c r="G7" s="7">
        <v>0.23385891497809416</v>
      </c>
      <c r="H7" s="7">
        <v>0.29177629473830874</v>
      </c>
      <c r="I7" s="7">
        <v>0.5862977638288356</v>
      </c>
      <c r="J7" s="7">
        <v>0.532634867562179</v>
      </c>
      <c r="K7" s="7">
        <v>0.6258583016253385</v>
      </c>
      <c r="L7" s="7">
        <v>0.5484009327361631</v>
      </c>
      <c r="M7" s="7">
        <v>0.5069559108995523</v>
      </c>
      <c r="O7" s="6"/>
      <c r="P7" s="7">
        <f>IFERROR(__xludf.DUMMYFUNCTION("""COMPUTED_VALUE"""),0.3622563142775422)</f>
        <v>0.3622563143</v>
      </c>
    </row>
    <row r="8">
      <c r="A8" s="1" t="s">
        <v>6</v>
      </c>
      <c r="B8" s="7">
        <v>0.34517010759603917</v>
      </c>
      <c r="C8" s="7">
        <v>0.2008147507741938</v>
      </c>
      <c r="D8" s="7">
        <v>0.09226019708387133</v>
      </c>
      <c r="E8" s="7">
        <v>0.0364937266446314</v>
      </c>
      <c r="F8" s="7">
        <v>0.0</v>
      </c>
      <c r="G8" s="7">
        <v>0.19363327525251134</v>
      </c>
      <c r="H8" s="7">
        <v>0.13479627713524842</v>
      </c>
      <c r="I8" s="7">
        <v>0.23385891497809416</v>
      </c>
      <c r="J8" s="7">
        <v>0.19363327525251134</v>
      </c>
      <c r="K8" s="7">
        <v>0.2008147507741938</v>
      </c>
      <c r="L8" s="7">
        <v>0.11164310346747067</v>
      </c>
      <c r="M8" s="7">
        <v>0.2877971694695801</v>
      </c>
      <c r="N8" s="4"/>
      <c r="P8" s="7">
        <f>IFERROR(__xludf.DUMMYFUNCTION("""COMPUTED_VALUE"""),0.37092244267591573)</f>
        <v>0.3709224427</v>
      </c>
    </row>
    <row r="9">
      <c r="A9" s="1" t="s">
        <v>7</v>
      </c>
      <c r="B9" s="7">
        <v>1.0</v>
      </c>
      <c r="C9" s="7">
        <v>1.0</v>
      </c>
      <c r="D9" s="7">
        <v>1.0</v>
      </c>
      <c r="E9" s="7">
        <v>0.9741244311181435</v>
      </c>
      <c r="F9" s="7">
        <v>0.9741244311181435</v>
      </c>
      <c r="G9" s="7">
        <v>0.9489710662267077</v>
      </c>
      <c r="H9" s="7">
        <v>0.9489710662267077</v>
      </c>
      <c r="I9" s="7">
        <v>1.0</v>
      </c>
      <c r="J9" s="7">
        <v>1.0</v>
      </c>
      <c r="K9" s="7">
        <v>1.0</v>
      </c>
      <c r="L9" s="7">
        <v>1.0</v>
      </c>
      <c r="M9" s="7">
        <v>1.0</v>
      </c>
      <c r="N9" s="4"/>
      <c r="P9" s="7">
        <f>IFERROR(__xludf.DUMMYFUNCTION("""COMPUTED_VALUE"""),0.39743230703709925)</f>
        <v>0.397432307</v>
      </c>
    </row>
    <row r="10">
      <c r="A10" s="1" t="s">
        <v>8</v>
      </c>
      <c r="B10" s="7">
        <v>0.6043035725031001</v>
      </c>
      <c r="C10" s="7">
        <v>0.5231267175827262</v>
      </c>
      <c r="D10" s="7">
        <v>0.46408591221633166</v>
      </c>
      <c r="E10" s="7">
        <v>0.4826727642697319</v>
      </c>
      <c r="F10" s="7">
        <v>0.4826727642697319</v>
      </c>
      <c r="G10" s="7">
        <v>0.4541425352694792</v>
      </c>
      <c r="H10" s="7">
        <v>0.49562092074720315</v>
      </c>
      <c r="I10" s="7">
        <v>0.35786262833761673</v>
      </c>
      <c r="J10" s="7">
        <v>0.44595804201074557</v>
      </c>
      <c r="K10" s="7">
        <v>0.45661578221841226</v>
      </c>
      <c r="L10" s="7">
        <v>0.3994429218242953</v>
      </c>
      <c r="M10" s="7">
        <v>0.27662532376723725</v>
      </c>
      <c r="N10" s="3"/>
      <c r="P10" s="7">
        <f>IFERROR(__xludf.DUMMYFUNCTION("""COMPUTED_VALUE"""),0.31602718584668543)</f>
        <v>0.3160271858</v>
      </c>
    </row>
    <row r="11">
      <c r="A11" s="1" t="s">
        <v>9</v>
      </c>
      <c r="B11" s="7">
        <v>0.6258583016253385</v>
      </c>
      <c r="C11" s="7">
        <v>0.6200993656770362</v>
      </c>
      <c r="D11" s="7">
        <v>0.6374877585841277</v>
      </c>
      <c r="E11" s="7">
        <v>0.6492692388897182</v>
      </c>
      <c r="F11" s="7">
        <v>0.6672353569139456</v>
      </c>
      <c r="G11" s="7">
        <v>0.15170616171712326</v>
      </c>
      <c r="H11" s="7">
        <v>0.24514846229326356</v>
      </c>
      <c r="I11" s="7">
        <v>0.23385891497809416</v>
      </c>
      <c r="J11" s="7">
        <v>0.17592601787742876</v>
      </c>
      <c r="K11" s="7">
        <v>0.26042459765344234</v>
      </c>
      <c r="L11" s="7">
        <v>0.05470182893917413</v>
      </c>
      <c r="M11" s="7">
        <v>0.0</v>
      </c>
      <c r="N11" s="3"/>
      <c r="P11" s="7">
        <f>IFERROR(__xludf.DUMMYFUNCTION("""COMPUTED_VALUE"""),0.2376064064869655)</f>
        <v>0.2376064065</v>
      </c>
    </row>
    <row r="12">
      <c r="A12" s="1" t="s">
        <v>10</v>
      </c>
      <c r="B12" s="7">
        <v>0.37984455318987687</v>
      </c>
      <c r="C12" s="7">
        <v>0.3761348866726222</v>
      </c>
      <c r="D12" s="7">
        <v>0.4750120884105536</v>
      </c>
      <c r="E12" s="7">
        <v>0.43705924891458103</v>
      </c>
      <c r="F12" s="7">
        <v>0.4227263143281751</v>
      </c>
      <c r="G12" s="7">
        <v>0.34285775538329816</v>
      </c>
      <c r="H12" s="7">
        <v>0.36075580032502647</v>
      </c>
      <c r="I12" s="7">
        <v>0.3979166396910429</v>
      </c>
      <c r="J12" s="7">
        <v>0.43145203115800157</v>
      </c>
      <c r="K12" s="7">
        <v>0.4322504449851088</v>
      </c>
      <c r="L12" s="7">
        <v>0.4195788649555807</v>
      </c>
      <c r="M12" s="7">
        <v>0.4243051137359271</v>
      </c>
      <c r="N12" s="3"/>
      <c r="P12" s="7">
        <f>IFERROR(__xludf.DUMMYFUNCTION("""COMPUTED_VALUE"""),0.23385891497809416)</f>
        <v>0.233858915</v>
      </c>
    </row>
    <row r="13">
      <c r="A13" s="1" t="s">
        <v>11</v>
      </c>
      <c r="B13" s="7">
        <v>0.6794148721195159</v>
      </c>
      <c r="C13" s="7">
        <v>0.6672353569139456</v>
      </c>
      <c r="D13" s="7">
        <v>0.6200993656770362</v>
      </c>
      <c r="E13" s="7">
        <v>0.6258583016253385</v>
      </c>
      <c r="F13" s="7">
        <v>0.7042790809850588</v>
      </c>
      <c r="G13" s="7">
        <v>0.7106038115679355</v>
      </c>
      <c r="H13" s="7">
        <v>0.8041527903011957</v>
      </c>
      <c r="I13" s="7">
        <v>0.8400647286094464</v>
      </c>
      <c r="J13" s="7">
        <v>0.8698615054736052</v>
      </c>
      <c r="K13" s="7">
        <v>0.8623194496673071</v>
      </c>
      <c r="L13" s="7">
        <v>0.8623194496673071</v>
      </c>
      <c r="M13" s="7">
        <v>0.818346318432853</v>
      </c>
      <c r="N13" s="3"/>
      <c r="P13" s="7">
        <f>IFERROR(__xludf.DUMMYFUNCTION("""COMPUTED_VALUE"""),0.26428443399993323)</f>
        <v>0.264284434</v>
      </c>
    </row>
    <row r="14">
      <c r="A14" s="1" t="s">
        <v>12</v>
      </c>
      <c r="B14" s="7">
        <v>0.9164893379186505</v>
      </c>
      <c r="C14" s="7">
        <v>0.9085485780981635</v>
      </c>
      <c r="D14" s="7">
        <v>0.8400647286094464</v>
      </c>
      <c r="E14" s="7">
        <v>0.8327669526282987</v>
      </c>
      <c r="F14" s="7">
        <v>0.8400647286094464</v>
      </c>
      <c r="G14" s="7">
        <v>0.854839984257185</v>
      </c>
      <c r="H14" s="7">
        <v>0.8327669526282987</v>
      </c>
      <c r="I14" s="7">
        <v>0.8400647286094464</v>
      </c>
      <c r="J14" s="7">
        <v>0.8255277939545356</v>
      </c>
      <c r="K14" s="7">
        <v>0.7106038115679355</v>
      </c>
      <c r="L14" s="7">
        <v>0.6979984255377447</v>
      </c>
      <c r="M14" s="7">
        <v>0.6855669124528943</v>
      </c>
      <c r="N14" s="3"/>
      <c r="P14" s="7">
        <f>IFERROR(__xludf.DUMMYFUNCTION("""COMPUTED_VALUE"""),0.9912920055972348)</f>
        <v>0.9912920056</v>
      </c>
    </row>
    <row r="15">
      <c r="A15" s="1" t="s">
        <v>13</v>
      </c>
      <c r="B15" s="7">
        <v>0.8212476533697738</v>
      </c>
      <c r="C15" s="7">
        <v>0.7563519442850769</v>
      </c>
      <c r="D15" s="7">
        <v>0.8038151653805404</v>
      </c>
      <c r="E15" s="7">
        <v>0.8038151653805404</v>
      </c>
      <c r="F15" s="7">
        <v>0.7867870358316172</v>
      </c>
      <c r="G15" s="7">
        <v>0.707110598787234</v>
      </c>
      <c r="H15" s="7">
        <v>0.6577001767306213</v>
      </c>
      <c r="I15" s="7">
        <v>0.646919638787908</v>
      </c>
      <c r="J15" s="7">
        <v>0.6134487052571914</v>
      </c>
      <c r="K15" s="7">
        <v>0.5972686246376628</v>
      </c>
      <c r="L15" s="7">
        <v>0.6227091966151902</v>
      </c>
      <c r="M15" s="7">
        <v>0.5765594338035013</v>
      </c>
      <c r="N15" s="3"/>
      <c r="P15" s="7">
        <f>IFERROR(__xludf.DUMMYFUNCTION("""COMPUTED_VALUE"""),0.9741244311181435)</f>
        <v>0.9741244311</v>
      </c>
    </row>
    <row r="16">
      <c r="A16" s="1" t="s">
        <v>14</v>
      </c>
      <c r="B16" s="7">
        <v>0.26428443399993323</v>
      </c>
      <c r="C16" s="7">
        <v>0.268160871844152</v>
      </c>
      <c r="D16" s="7">
        <v>0.26428443399993323</v>
      </c>
      <c r="E16" s="7">
        <v>0.2008147507741938</v>
      </c>
      <c r="F16" s="7">
        <v>0.1214931513401051</v>
      </c>
      <c r="G16" s="7">
        <v>0.009853252847762138</v>
      </c>
      <c r="H16" s="7">
        <v>0.030505196908467782</v>
      </c>
      <c r="I16" s="7">
        <v>0.1449040886044848</v>
      </c>
      <c r="J16" s="7">
        <v>0.13815296782865388</v>
      </c>
      <c r="K16" s="7">
        <v>0.039502979555064335</v>
      </c>
      <c r="L16" s="7">
        <v>0.03349448790549284</v>
      </c>
      <c r="M16" s="7">
        <v>0.0</v>
      </c>
      <c r="N16" s="3"/>
      <c r="P16" s="7">
        <f>IFERROR(__xludf.DUMMYFUNCTION("""COMPUTED_VALUE"""),0.9741244311181435)</f>
        <v>0.9741244311</v>
      </c>
    </row>
    <row r="17">
      <c r="A17" s="1" t="s">
        <v>15</v>
      </c>
      <c r="B17" s="7">
        <v>0.17592601787742876</v>
      </c>
      <c r="C17" s="7">
        <v>0.17943974712085392</v>
      </c>
      <c r="D17" s="7">
        <v>0.17592601787742876</v>
      </c>
      <c r="E17" s="7">
        <v>0.17242593421882985</v>
      </c>
      <c r="F17" s="7">
        <v>0.22641035680239763</v>
      </c>
      <c r="G17" s="7">
        <v>0.17943974712085392</v>
      </c>
      <c r="H17" s="7">
        <v>0.25658122121343374</v>
      </c>
      <c r="I17" s="7">
        <v>0.303820176539151</v>
      </c>
      <c r="J17" s="7">
        <v>0.25658122121343374</v>
      </c>
      <c r="K17" s="7">
        <v>0.3325647215658483</v>
      </c>
      <c r="L17" s="7">
        <v>0.34094869280877826</v>
      </c>
      <c r="M17" s="7">
        <v>0.31193978469419453</v>
      </c>
      <c r="N17" s="4"/>
      <c r="P17" s="7">
        <f>IFERROR(__xludf.DUMMYFUNCTION("""COMPUTED_VALUE"""),0.9741244311181435)</f>
        <v>0.9741244311</v>
      </c>
    </row>
    <row r="18">
      <c r="A18" s="1" t="s">
        <v>16</v>
      </c>
      <c r="B18" s="7">
        <v>0.7901793257549009</v>
      </c>
      <c r="C18" s="7">
        <v>0.749513612578497</v>
      </c>
      <c r="D18" s="7">
        <v>0.749513612578497</v>
      </c>
      <c r="E18" s="7">
        <v>0.7628660110089954</v>
      </c>
      <c r="F18" s="7">
        <v>0.7696171317848265</v>
      </c>
      <c r="G18" s="7">
        <v>0.8112216140622946</v>
      </c>
      <c r="H18" s="7">
        <v>0.7832730052985137</v>
      </c>
      <c r="I18" s="7">
        <v>0.7628660110089954</v>
      </c>
      <c r="J18" s="7">
        <v>0.7561650849038561</v>
      </c>
      <c r="K18" s="7">
        <v>0.716973240264213</v>
      </c>
      <c r="L18" s="7">
        <v>0.6374877585841277</v>
      </c>
      <c r="M18" s="7">
        <v>0.5918440607742939</v>
      </c>
      <c r="N18" s="4"/>
      <c r="P18" s="7">
        <f>IFERROR(__xludf.DUMMYFUNCTION("""COMPUTED_VALUE"""),1.0)</f>
        <v>1</v>
      </c>
    </row>
    <row r="19">
      <c r="A19" s="1" t="s">
        <v>17</v>
      </c>
      <c r="B19" s="7">
        <v>0.33674695834839224</v>
      </c>
      <c r="C19" s="7">
        <v>0.2997876400159622</v>
      </c>
      <c r="D19" s="7">
        <v>0.26428443399993323</v>
      </c>
      <c r="E19" s="7">
        <v>0.26428443399993323</v>
      </c>
      <c r="F19" s="7">
        <v>0.24514846229326356</v>
      </c>
      <c r="G19" s="7">
        <v>0.23385891497809416</v>
      </c>
      <c r="H19" s="7">
        <v>0.29177629473830874</v>
      </c>
      <c r="I19" s="7">
        <v>0.34517010759603917</v>
      </c>
      <c r="J19" s="7">
        <v>0.3840799086066007</v>
      </c>
      <c r="K19" s="7">
        <v>0.4247456217830046</v>
      </c>
      <c r="L19" s="7">
        <v>0.42013553291107053</v>
      </c>
      <c r="M19" s="7">
        <v>0.532634867562179</v>
      </c>
      <c r="N19" s="4"/>
      <c r="P19" s="7">
        <f>IFERROR(__xludf.DUMMYFUNCTION("""COMPUTED_VALUE"""),1.0)</f>
        <v>1</v>
      </c>
    </row>
    <row r="20">
      <c r="A20" s="1" t="s">
        <v>18</v>
      </c>
      <c r="B20" s="7">
        <v>0.23385891497809416</v>
      </c>
      <c r="C20" s="7">
        <v>0.2301269410768433</v>
      </c>
      <c r="D20" s="7">
        <v>0.19363327525251134</v>
      </c>
      <c r="E20" s="7">
        <v>0.10838353243034174</v>
      </c>
      <c r="F20" s="7">
        <v>0.0764202391157675</v>
      </c>
      <c r="G20" s="7">
        <v>0.0</v>
      </c>
      <c r="H20" s="7">
        <v>0.0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  <c r="N20" s="4"/>
      <c r="P20" s="7">
        <f>IFERROR(__xludf.DUMMYFUNCTION("""COMPUTED_VALUE"""),0.9656617359891198)</f>
        <v>0.965661736</v>
      </c>
    </row>
    <row r="21">
      <c r="A21" s="1" t="s">
        <v>19</v>
      </c>
      <c r="B21" s="7">
        <v>0.716973240264213</v>
      </c>
      <c r="C21" s="7">
        <v>0.716973240264213</v>
      </c>
      <c r="D21" s="7">
        <v>0.6979984255377447</v>
      </c>
      <c r="E21" s="7">
        <v>0.7628660110089954</v>
      </c>
      <c r="F21" s="7">
        <v>0.7764192048974649</v>
      </c>
      <c r="G21" s="7">
        <v>0.575306525055131</v>
      </c>
      <c r="H21" s="7">
        <v>0.5484009327361631</v>
      </c>
      <c r="I21" s="7">
        <v>0.5918440607742939</v>
      </c>
      <c r="J21" s="7">
        <v>0.5484009327361631</v>
      </c>
      <c r="K21" s="7">
        <v>0.5378596381907261</v>
      </c>
      <c r="L21" s="7">
        <v>0.5590669792244075</v>
      </c>
      <c r="M21" s="7">
        <v>0.5590669792244075</v>
      </c>
      <c r="N21" s="3"/>
      <c r="P21" s="7">
        <f>IFERROR(__xludf.DUMMYFUNCTION("""COMPUTED_VALUE"""),0.9741244311181435)</f>
        <v>0.9741244311</v>
      </c>
    </row>
    <row r="22">
      <c r="A22" s="1" t="s">
        <v>20</v>
      </c>
      <c r="B22" s="7">
        <f>(bank!$B$13 - bank!B22) / (bank!$B$13 - bank!$B$12)</f>
        <v>0.6043035725</v>
      </c>
      <c r="C22" s="7">
        <f>(bank!$B$13 - bank!C22) / (bank!$B$13 - bank!$B$12)</f>
        <v>0.5231267176</v>
      </c>
      <c r="D22" s="7">
        <f>(bank!$B$13 - bank!D22) / (bank!$B$13 - bank!$B$12)</f>
        <v>0.4640859122</v>
      </c>
      <c r="E22" s="7">
        <f>(bank!$B$13 - bank!E22) / (bank!$B$13 - bank!$B$12)</f>
        <v>0.4826727643</v>
      </c>
      <c r="F22" s="7">
        <f>(bank!$B$13 - bank!F22) / (bank!$B$13 - bank!$B$12)</f>
        <v>0.4826727643</v>
      </c>
      <c r="G22" s="7">
        <f>(bank!$B$13 - bank!G22) / (bank!$B$13 - bank!$B$12)</f>
        <v>0.4541425353</v>
      </c>
      <c r="H22" s="7">
        <f>(bank!$B$13 - bank!H22) / (bank!$B$13 - bank!$B$12)</f>
        <v>0.4956209207</v>
      </c>
      <c r="I22" s="7">
        <f>(bank!$B$13 - bank!I22) / (bank!$B$13 - bank!$B$12)</f>
        <v>0.3578626283</v>
      </c>
      <c r="J22" s="7">
        <f>(bank!$B$13 - bank!J22) / (bank!$B$13 - bank!$B$12)</f>
        <v>0.445958042</v>
      </c>
      <c r="K22" s="7">
        <f>(bank!$B$13 - bank!K22) / (bank!$B$13 - bank!$B$12)</f>
        <v>0.4566157822</v>
      </c>
      <c r="L22" s="7">
        <f>(bank!$B$13 - bank!L22) / (bank!$B$13 - bank!$B$12)</f>
        <v>0.3994429218</v>
      </c>
      <c r="M22" s="7">
        <f>(bank!$B$13 - bank!M22) / (bank!$B$13 - bank!$B$12)</f>
        <v>0.2766253238</v>
      </c>
      <c r="N22" s="4"/>
      <c r="P22" s="7">
        <f>IFERROR(__xludf.DUMMYFUNCTION("""COMPUTED_VALUE"""),0.9656617359891198)</f>
        <v>0.965661736</v>
      </c>
    </row>
    <row r="23">
      <c r="A23" s="1" t="s">
        <v>21</v>
      </c>
      <c r="B23" s="7">
        <v>0.8112216140622946</v>
      </c>
      <c r="C23" s="7">
        <v>0.7628660110089954</v>
      </c>
      <c r="D23" s="7">
        <v>0.7298487508009589</v>
      </c>
      <c r="E23" s="7">
        <v>0.7298487508009589</v>
      </c>
      <c r="F23" s="7">
        <v>0.7298487508009589</v>
      </c>
      <c r="G23" s="7">
        <v>0.7042790809850588</v>
      </c>
      <c r="H23" s="7">
        <v>0.7233880033539699</v>
      </c>
      <c r="I23" s="7">
        <v>0.716973240264213</v>
      </c>
      <c r="J23" s="7">
        <v>0.7696171317848265</v>
      </c>
      <c r="K23" s="7">
        <v>0.7696171317848265</v>
      </c>
      <c r="L23" s="7">
        <v>0.7106038115679355</v>
      </c>
      <c r="M23" s="7">
        <v>0.7901793257549009</v>
      </c>
      <c r="N23" s="4"/>
      <c r="P23" s="7">
        <f>IFERROR(__xludf.DUMMYFUNCTION("""COMPUTED_VALUE"""),0.9826673425624152)</f>
        <v>0.9826673426</v>
      </c>
    </row>
    <row r="24">
      <c r="A24" s="1" t="s">
        <v>22</v>
      </c>
      <c r="B24" s="7">
        <v>0.6374877585841277</v>
      </c>
      <c r="C24" s="7">
        <v>0.3325647215658483</v>
      </c>
      <c r="D24" s="7">
        <v>0.0</v>
      </c>
      <c r="E24" s="7">
        <v>0.0</v>
      </c>
      <c r="F24" s="7">
        <v>0.01277471540378604</v>
      </c>
      <c r="G24" s="7">
        <v>0.17242593421882985</v>
      </c>
      <c r="H24" s="7">
        <v>0.19721686013036446</v>
      </c>
      <c r="I24" s="7">
        <v>0.4869268553120015</v>
      </c>
      <c r="J24" s="7">
        <v>0.28383553491782193</v>
      </c>
      <c r="K24" s="7">
        <v>0.5069559108995523</v>
      </c>
      <c r="L24" s="7">
        <v>0.303820176539151</v>
      </c>
      <c r="M24" s="7">
        <v>0.47707680743936687</v>
      </c>
      <c r="N24" s="4"/>
      <c r="P24" s="7">
        <f>IFERROR(__xludf.DUMMYFUNCTION("""COMPUTED_VALUE"""),0.9489710662267077)</f>
        <v>0.9489710662</v>
      </c>
    </row>
    <row r="25">
      <c r="A25" s="1" t="s">
        <v>23</v>
      </c>
      <c r="B25" s="7">
        <v>0.4109855009255686</v>
      </c>
      <c r="C25" s="7">
        <v>0.4529126144609566</v>
      </c>
      <c r="D25" s="7">
        <v>0.5171398656890195</v>
      </c>
      <c r="E25" s="7">
        <v>0.6030401104588616</v>
      </c>
      <c r="F25" s="7">
        <v>0.3579542993820736</v>
      </c>
      <c r="G25" s="7">
        <v>0.16893939056953625</v>
      </c>
      <c r="H25" s="7">
        <v>0.24894329067598034</v>
      </c>
      <c r="I25" s="7">
        <v>0.19721686013036446</v>
      </c>
      <c r="J25" s="7">
        <v>0.0</v>
      </c>
      <c r="K25" s="7">
        <v>0.05470182893917413</v>
      </c>
      <c r="L25" s="7">
        <v>0.0</v>
      </c>
      <c r="M25" s="7">
        <v>0.13479627713524842</v>
      </c>
      <c r="N25" s="4"/>
      <c r="P25" s="7">
        <f>IFERROR(__xludf.DUMMYFUNCTION("""COMPUTED_VALUE"""),0.9741244311181435)</f>
        <v>0.9741244311</v>
      </c>
    </row>
    <row r="26">
      <c r="A26" s="1" t="s">
        <v>24</v>
      </c>
      <c r="B26" s="7">
        <v>0.5537181777129324</v>
      </c>
      <c r="C26" s="7">
        <v>0.5644477140683706</v>
      </c>
      <c r="D26" s="7">
        <v>0.6086907271462473</v>
      </c>
      <c r="E26" s="7">
        <v>0.6143769946478765</v>
      </c>
      <c r="F26" s="7">
        <v>0.6612067698249732</v>
      </c>
      <c r="G26" s="7">
        <v>0.7106038115679355</v>
      </c>
      <c r="H26" s="7">
        <v>0.818346318432853</v>
      </c>
      <c r="I26" s="7">
        <v>0.818346318432853</v>
      </c>
      <c r="J26" s="7">
        <v>0.8698615054736052</v>
      </c>
      <c r="K26" s="7">
        <v>0.8474220789310577</v>
      </c>
      <c r="L26" s="7">
        <v>0.818346318432853</v>
      </c>
      <c r="M26" s="7">
        <v>0.8112216140622946</v>
      </c>
      <c r="N26" s="4"/>
      <c r="P26" s="7">
        <f>IFERROR(__xludf.DUMMYFUNCTION("""COMPUTED_VALUE"""),0.4574420529209024)</f>
        <v>0.4574420529</v>
      </c>
    </row>
    <row r="27">
      <c r="A27" s="1" t="s">
        <v>25</v>
      </c>
      <c r="B27" s="7">
        <v>1.0</v>
      </c>
      <c r="C27" s="7">
        <v>0.9741244311181435</v>
      </c>
      <c r="D27" s="7">
        <v>0.9741244311181435</v>
      </c>
      <c r="E27" s="7">
        <v>0.9741244311181435</v>
      </c>
      <c r="F27" s="7">
        <v>0.9656617359891198</v>
      </c>
      <c r="G27" s="7">
        <v>0.932583880063215</v>
      </c>
      <c r="H27" s="7">
        <v>0.9656617359891198</v>
      </c>
      <c r="I27" s="7">
        <v>0.9489710662267077</v>
      </c>
      <c r="J27" s="7">
        <v>0.9656617359891198</v>
      </c>
      <c r="K27" s="7">
        <v>0.9656617359891198</v>
      </c>
      <c r="L27" s="7">
        <v>0.9741244311181435</v>
      </c>
      <c r="M27" s="7">
        <v>1.0</v>
      </c>
      <c r="N27" s="4"/>
      <c r="P27" s="7">
        <f>IFERROR(__xludf.DUMMYFUNCTION("""COMPUTED_VALUE"""),0.39335674030055834)</f>
        <v>0.3933567403</v>
      </c>
    </row>
    <row r="28">
      <c r="A28" s="1" t="s">
        <v>26</v>
      </c>
      <c r="B28" s="7">
        <v>0.17943974712085392</v>
      </c>
      <c r="C28" s="7">
        <v>0.2376064064869655</v>
      </c>
      <c r="D28" s="7">
        <v>0.5862977638288356</v>
      </c>
      <c r="E28" s="7">
        <v>0.9741244311181435</v>
      </c>
      <c r="F28" s="7">
        <v>0.6143769946478765</v>
      </c>
      <c r="G28" s="7">
        <v>0.7561650849038561</v>
      </c>
      <c r="H28" s="7">
        <v>0.7298487508009589</v>
      </c>
      <c r="I28" s="7">
        <v>0.7696171317848265</v>
      </c>
      <c r="J28" s="7">
        <v>0.6979984255377447</v>
      </c>
      <c r="K28" s="7">
        <v>1.0</v>
      </c>
      <c r="L28" s="7">
        <v>1.0</v>
      </c>
      <c r="M28" s="7">
        <v>0.7764192048974649</v>
      </c>
      <c r="N28" s="3"/>
      <c r="P28" s="7">
        <f>IFERROR(__xludf.DUMMYFUNCTION("""COMPUTED_VALUE"""),0.34215083049317574)</f>
        <v>0.3421508305</v>
      </c>
    </row>
    <row r="29">
      <c r="A29" s="1" t="s">
        <v>27</v>
      </c>
      <c r="B29" s="7">
        <v>0.9489710662267077</v>
      </c>
      <c r="C29" s="7">
        <v>0.9245006831963039</v>
      </c>
      <c r="D29" s="7">
        <v>0.8698615054736052</v>
      </c>
      <c r="E29" s="7">
        <v>0.854839984257185</v>
      </c>
      <c r="F29" s="7">
        <v>1.0</v>
      </c>
      <c r="G29" s="7">
        <v>0.9164893379186505</v>
      </c>
      <c r="H29" s="7">
        <v>0.8327669526282987</v>
      </c>
      <c r="I29" s="7">
        <v>0.8255277939545356</v>
      </c>
      <c r="J29" s="7">
        <v>0.8698615054736052</v>
      </c>
      <c r="K29" s="7">
        <v>0.9656617359891198</v>
      </c>
      <c r="L29" s="7">
        <v>0.9572777647461901</v>
      </c>
      <c r="M29" s="7">
        <v>0.7696171317848265</v>
      </c>
      <c r="N29" s="4"/>
      <c r="P29" s="7">
        <f>IFERROR(__xludf.DUMMYFUNCTION("""COMPUTED_VALUE"""),0.3614808783510441)</f>
        <v>0.3614808784</v>
      </c>
    </row>
    <row r="30">
      <c r="A30" s="1" t="s">
        <v>28</v>
      </c>
      <c r="B30" s="7">
        <v>0.7696171317848265</v>
      </c>
      <c r="C30" s="7">
        <v>0.885137640833784</v>
      </c>
      <c r="D30" s="7">
        <v>0.877467208072725</v>
      </c>
      <c r="E30" s="7">
        <v>0.8623194496673071</v>
      </c>
      <c r="F30" s="7">
        <v>0.7233880033539699</v>
      </c>
      <c r="G30" s="7">
        <v>0.6316542727859646</v>
      </c>
      <c r="H30" s="7">
        <v>0.46733324865640247</v>
      </c>
      <c r="I30" s="7">
        <v>0.5431148741262674</v>
      </c>
      <c r="J30" s="7">
        <v>0.7832730052985137</v>
      </c>
      <c r="K30" s="7">
        <v>0.7628660110089954</v>
      </c>
      <c r="L30" s="7">
        <v>0.7233880033539699</v>
      </c>
      <c r="M30" s="7">
        <v>0.716973240264213</v>
      </c>
      <c r="N30" s="3"/>
      <c r="P30" s="7">
        <f>IFERROR(__xludf.DUMMYFUNCTION("""COMPUTED_VALUE"""),0.39563314969555186)</f>
        <v>0.3956331497</v>
      </c>
    </row>
    <row r="31">
      <c r="B31" s="3"/>
      <c r="N31" s="5"/>
      <c r="P31" s="7">
        <f>IFERROR(__xludf.DUMMYFUNCTION("""COMPUTED_VALUE"""),0.4475876574227574)</f>
        <v>0.4475876574</v>
      </c>
    </row>
    <row r="32">
      <c r="B32" s="3"/>
      <c r="C32" s="3"/>
      <c r="D32" s="3"/>
      <c r="E32" s="3"/>
      <c r="F32" s="5"/>
      <c r="G32" s="3"/>
      <c r="H32" s="3"/>
      <c r="I32" s="3"/>
      <c r="J32" s="3"/>
      <c r="K32" s="3"/>
      <c r="L32" s="3"/>
      <c r="M32" s="3"/>
      <c r="N32" s="3"/>
      <c r="P32" s="7">
        <f>IFERROR(__xludf.DUMMYFUNCTION("""COMPUTED_VALUE"""),0.23700036559830037)</f>
        <v>0.2370003656</v>
      </c>
    </row>
    <row r="33">
      <c r="B33" s="3"/>
      <c r="C33" s="3"/>
      <c r="D33" s="3"/>
      <c r="E33" s="3"/>
      <c r="F33" s="5"/>
      <c r="G33" s="3"/>
      <c r="H33" s="3"/>
      <c r="I33" s="3"/>
      <c r="J33" s="3"/>
      <c r="K33" s="3"/>
      <c r="L33" s="3"/>
      <c r="M33" s="3"/>
      <c r="N33" s="3"/>
      <c r="P33" s="7">
        <f>IFERROR(__xludf.DUMMYFUNCTION("""COMPUTED_VALUE"""),0.31919617269690104)</f>
        <v>0.3191961727</v>
      </c>
    </row>
    <row r="34">
      <c r="A34" s="1" t="s">
        <v>29</v>
      </c>
      <c r="B34" s="3">
        <f>MIN(B2:M30)</f>
        <v>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P34" s="7">
        <f>IFERROR(__xludf.DUMMYFUNCTION("""COMPUTED_VALUE"""),0.314417922363832)</f>
        <v>0.3144179224</v>
      </c>
    </row>
    <row r="35">
      <c r="A35" s="1" t="s">
        <v>30</v>
      </c>
      <c r="B35" s="7">
        <f>MAX(B2:M30)</f>
        <v>1</v>
      </c>
      <c r="P35" s="7">
        <f>IFERROR(__xludf.DUMMYFUNCTION("""COMPUTED_VALUE"""),0.3791011187550386)</f>
        <v>0.3791011188</v>
      </c>
    </row>
    <row r="36">
      <c r="P36" s="7">
        <f>IFERROR(__xludf.DUMMYFUNCTION("""COMPUTED_VALUE"""),0.3464026267887092)</f>
        <v>0.3464026268</v>
      </c>
    </row>
    <row r="37">
      <c r="P37" s="7">
        <f>IFERROR(__xludf.DUMMYFUNCTION("""COMPUTED_VALUE"""),0.3658464498375848)</f>
        <v>0.3658464498</v>
      </c>
    </row>
    <row r="38">
      <c r="P38" s="7">
        <f>IFERROR(__xludf.DUMMYFUNCTION("""COMPUTED_VALUE"""),0.758840561724621)</f>
        <v>0.7588405617</v>
      </c>
    </row>
    <row r="39">
      <c r="P39" s="7">
        <f>IFERROR(__xludf.DUMMYFUNCTION("""COMPUTED_VALUE"""),0.7739520683314665)</f>
        <v>0.7739520683</v>
      </c>
    </row>
    <row r="40">
      <c r="P40" s="7">
        <f>IFERROR(__xludf.DUMMYFUNCTION("""COMPUTED_VALUE"""),0.8011696077728717)</f>
        <v>0.8011696078</v>
      </c>
    </row>
    <row r="41">
      <c r="P41" s="7">
        <f>IFERROR(__xludf.DUMMYFUNCTION("""COMPUTED_VALUE"""),0.8805759601126983)</f>
        <v>0.8805759601</v>
      </c>
    </row>
    <row r="42">
      <c r="P42" s="7">
        <f>IFERROR(__xludf.DUMMYFUNCTION("""COMPUTED_VALUE"""),0.9451236614117886)</f>
        <v>0.9451236614</v>
      </c>
    </row>
    <row r="43">
      <c r="P43" s="7">
        <f>IFERROR(__xludf.DUMMYFUNCTION("""COMPUTED_VALUE"""),0.873256443432149)</f>
        <v>0.8732564434</v>
      </c>
    </row>
    <row r="44">
      <c r="P44" s="7">
        <f>IFERROR(__xludf.DUMMYFUNCTION("""COMPUTED_VALUE"""),0.850312656088328)</f>
        <v>0.8503126561</v>
      </c>
    </row>
    <row r="45">
      <c r="P45" s="7">
        <f>IFERROR(__xludf.DUMMYFUNCTION("""COMPUTED_VALUE"""),1.0)</f>
        <v>1</v>
      </c>
    </row>
    <row r="46">
      <c r="P46" s="7">
        <f>IFERROR(__xludf.DUMMYFUNCTION("""COMPUTED_VALUE"""),1.0)</f>
        <v>1</v>
      </c>
    </row>
    <row r="47">
      <c r="P47" s="7">
        <f>IFERROR(__xludf.DUMMYFUNCTION("""COMPUTED_VALUE"""),1.0)</f>
        <v>1</v>
      </c>
    </row>
    <row r="48">
      <c r="P48" s="7">
        <f>IFERROR(__xludf.DUMMYFUNCTION("""COMPUTED_VALUE"""),1.0)</f>
        <v>1</v>
      </c>
    </row>
    <row r="49">
      <c r="P49" s="7">
        <f>IFERROR(__xludf.DUMMYFUNCTION("""COMPUTED_VALUE"""),1.0)</f>
        <v>1</v>
      </c>
    </row>
    <row r="50">
      <c r="P50" s="7">
        <f>IFERROR(__xludf.DUMMYFUNCTION("""COMPUTED_VALUE"""),0.9183099301983408)</f>
        <v>0.9183099302</v>
      </c>
    </row>
    <row r="51">
      <c r="P51" s="7">
        <f>IFERROR(__xludf.DUMMYFUNCTION("""COMPUTED_VALUE"""),0.9060227573295982)</f>
        <v>0.9060227573</v>
      </c>
    </row>
    <row r="52">
      <c r="P52" s="7">
        <f>IFERROR(__xludf.DUMMYFUNCTION("""COMPUTED_VALUE"""),0.8805759601126983)</f>
        <v>0.8805759601</v>
      </c>
    </row>
    <row r="53">
      <c r="P53" s="7">
        <f>IFERROR(__xludf.DUMMYFUNCTION("""COMPUTED_VALUE"""),0.9121406380813785)</f>
        <v>0.9121406381</v>
      </c>
    </row>
    <row r="54">
      <c r="P54" s="7">
        <f>IFERROR(__xludf.DUMMYFUNCTION("""COMPUTED_VALUE"""),0.9451236614117886)</f>
        <v>0.9451236614</v>
      </c>
    </row>
    <row r="55">
      <c r="P55" s="7">
        <f>IFERROR(__xludf.DUMMYFUNCTION("""COMPUTED_VALUE"""),0.876175498735854)</f>
        <v>0.8761754987</v>
      </c>
    </row>
    <row r="56">
      <c r="P56" s="7">
        <f>IFERROR(__xludf.DUMMYFUNCTION("""COMPUTED_VALUE"""),0.7259357697655205)</f>
        <v>0.7259357698</v>
      </c>
    </row>
    <row r="57">
      <c r="P57" s="7">
        <f>IFERROR(__xludf.DUMMYFUNCTION("""COMPUTED_VALUE"""),0.9696245372877794)</f>
        <v>0.9696245373</v>
      </c>
    </row>
    <row r="58">
      <c r="P58" s="7">
        <f>IFERROR(__xludf.DUMMYFUNCTION("""COMPUTED_VALUE"""),0.8253300074016543)</f>
        <v>0.8253300074</v>
      </c>
    </row>
    <row r="59">
      <c r="P59" s="7">
        <f>IFERROR(__xludf.DUMMYFUNCTION("""COMPUTED_VALUE"""),0.7464809862790823)</f>
        <v>0.7464809863</v>
      </c>
    </row>
    <row r="60">
      <c r="P60" s="7">
        <f>IFERROR(__xludf.DUMMYFUNCTION("""COMPUTED_VALUE"""),0.781626090558672)</f>
        <v>0.7816260906</v>
      </c>
    </row>
    <row r="61">
      <c r="P61" s="7">
        <f>IFERROR(__xludf.DUMMYFUNCTION("""COMPUTED_VALUE"""),0.7247449480256487)</f>
        <v>0.724744948</v>
      </c>
    </row>
    <row r="62">
      <c r="P62" s="7">
        <f>IFERROR(__xludf.DUMMYFUNCTION("""COMPUTED_VALUE"""),0.31602718584668543)</f>
        <v>0.3160271858</v>
      </c>
    </row>
    <row r="63">
      <c r="P63" s="7">
        <f>IFERROR(__xludf.DUMMYFUNCTION("""COMPUTED_VALUE"""),0.34517010759603917)</f>
        <v>0.3451701076</v>
      </c>
    </row>
    <row r="64">
      <c r="P64" s="7">
        <f>IFERROR(__xludf.DUMMYFUNCTION("""COMPUTED_VALUE"""),0.3579542993820736)</f>
        <v>0.3579542994</v>
      </c>
    </row>
    <row r="65">
      <c r="P65" s="7">
        <f>IFERROR(__xludf.DUMMYFUNCTION("""COMPUTED_VALUE"""),0.43403715159584394)</f>
        <v>0.4340371516</v>
      </c>
    </row>
    <row r="66">
      <c r="P66" s="7">
        <f>IFERROR(__xludf.DUMMYFUNCTION("""COMPUTED_VALUE"""),0.4869268553120015)</f>
        <v>0.4869268553</v>
      </c>
    </row>
    <row r="67">
      <c r="P67" s="7">
        <f>IFERROR(__xludf.DUMMYFUNCTION("""COMPUTED_VALUE"""),0.23385891497809416)</f>
        <v>0.233858915</v>
      </c>
    </row>
    <row r="68">
      <c r="P68" s="7">
        <f>IFERROR(__xludf.DUMMYFUNCTION("""COMPUTED_VALUE"""),0.29177629473830874)</f>
        <v>0.2917762947</v>
      </c>
    </row>
    <row r="69">
      <c r="P69" s="7">
        <f>IFERROR(__xludf.DUMMYFUNCTION("""COMPUTED_VALUE"""),0.5862977638288356)</f>
        <v>0.5862977638</v>
      </c>
    </row>
    <row r="70">
      <c r="P70" s="7">
        <f>IFERROR(__xludf.DUMMYFUNCTION("""COMPUTED_VALUE"""),0.532634867562179)</f>
        <v>0.5326348676</v>
      </c>
    </row>
    <row r="71">
      <c r="P71" s="7">
        <f>IFERROR(__xludf.DUMMYFUNCTION("""COMPUTED_VALUE"""),0.6258583016253385)</f>
        <v>0.6258583016</v>
      </c>
    </row>
    <row r="72">
      <c r="P72" s="7">
        <f>IFERROR(__xludf.DUMMYFUNCTION("""COMPUTED_VALUE"""),0.5484009327361631)</f>
        <v>0.5484009327</v>
      </c>
    </row>
    <row r="73">
      <c r="P73" s="7">
        <f>IFERROR(__xludf.DUMMYFUNCTION("""COMPUTED_VALUE"""),0.5069559108995523)</f>
        <v>0.5069559109</v>
      </c>
    </row>
    <row r="74">
      <c r="P74" s="7">
        <f>IFERROR(__xludf.DUMMYFUNCTION("""COMPUTED_VALUE"""),0.34517010759603917)</f>
        <v>0.3451701076</v>
      </c>
    </row>
    <row r="75">
      <c r="P75" s="7">
        <f>IFERROR(__xludf.DUMMYFUNCTION("""COMPUTED_VALUE"""),0.2008147507741938)</f>
        <v>0.2008147508</v>
      </c>
    </row>
    <row r="76">
      <c r="P76" s="7">
        <f>IFERROR(__xludf.DUMMYFUNCTION("""COMPUTED_VALUE"""),0.09226019708387133)</f>
        <v>0.09226019708</v>
      </c>
    </row>
    <row r="77">
      <c r="P77" s="7">
        <f>IFERROR(__xludf.DUMMYFUNCTION("""COMPUTED_VALUE"""),0.0364937266446314)</f>
        <v>0.03649372664</v>
      </c>
    </row>
    <row r="78">
      <c r="P78" s="7">
        <f>IFERROR(__xludf.DUMMYFUNCTION("""COMPUTED_VALUE"""),0.0)</f>
        <v>0</v>
      </c>
    </row>
    <row r="79">
      <c r="P79" s="7">
        <f>IFERROR(__xludf.DUMMYFUNCTION("""COMPUTED_VALUE"""),0.19363327525251134)</f>
        <v>0.1936332753</v>
      </c>
    </row>
    <row r="80">
      <c r="P80" s="7">
        <f>IFERROR(__xludf.DUMMYFUNCTION("""COMPUTED_VALUE"""),0.13479627713524842)</f>
        <v>0.1347962771</v>
      </c>
    </row>
    <row r="81">
      <c r="P81" s="7">
        <f>IFERROR(__xludf.DUMMYFUNCTION("""COMPUTED_VALUE"""),0.23385891497809416)</f>
        <v>0.233858915</v>
      </c>
    </row>
    <row r="82">
      <c r="P82" s="7">
        <f>IFERROR(__xludf.DUMMYFUNCTION("""COMPUTED_VALUE"""),0.19363327525251134)</f>
        <v>0.1936332753</v>
      </c>
    </row>
    <row r="83">
      <c r="P83" s="7">
        <f>IFERROR(__xludf.DUMMYFUNCTION("""COMPUTED_VALUE"""),0.2008147507741938)</f>
        <v>0.2008147508</v>
      </c>
    </row>
    <row r="84">
      <c r="P84" s="7">
        <f>IFERROR(__xludf.DUMMYFUNCTION("""COMPUTED_VALUE"""),0.11164310346747067)</f>
        <v>0.1116431035</v>
      </c>
    </row>
    <row r="85">
      <c r="P85" s="7">
        <f>IFERROR(__xludf.DUMMYFUNCTION("""COMPUTED_VALUE"""),0.2877971694695801)</f>
        <v>0.2877971695</v>
      </c>
    </row>
    <row r="86">
      <c r="P86" s="7">
        <f>IFERROR(__xludf.DUMMYFUNCTION("""COMPUTED_VALUE"""),1.0)</f>
        <v>1</v>
      </c>
    </row>
    <row r="87">
      <c r="P87" s="7">
        <f>IFERROR(__xludf.DUMMYFUNCTION("""COMPUTED_VALUE"""),1.0)</f>
        <v>1</v>
      </c>
    </row>
    <row r="88">
      <c r="P88" s="7">
        <f>IFERROR(__xludf.DUMMYFUNCTION("""COMPUTED_VALUE"""),1.0)</f>
        <v>1</v>
      </c>
    </row>
    <row r="89">
      <c r="P89" s="7">
        <f>IFERROR(__xludf.DUMMYFUNCTION("""COMPUTED_VALUE"""),0.9741244311181435)</f>
        <v>0.9741244311</v>
      </c>
    </row>
    <row r="90">
      <c r="P90" s="7">
        <f>IFERROR(__xludf.DUMMYFUNCTION("""COMPUTED_VALUE"""),0.9741244311181435)</f>
        <v>0.9741244311</v>
      </c>
    </row>
    <row r="91">
      <c r="P91" s="7">
        <f>IFERROR(__xludf.DUMMYFUNCTION("""COMPUTED_VALUE"""),0.9489710662267077)</f>
        <v>0.9489710662</v>
      </c>
    </row>
    <row r="92">
      <c r="P92" s="7">
        <f>IFERROR(__xludf.DUMMYFUNCTION("""COMPUTED_VALUE"""),0.9489710662267077)</f>
        <v>0.9489710662</v>
      </c>
    </row>
    <row r="93">
      <c r="P93" s="7">
        <f>IFERROR(__xludf.DUMMYFUNCTION("""COMPUTED_VALUE"""),1.0)</f>
        <v>1</v>
      </c>
    </row>
    <row r="94">
      <c r="P94" s="7">
        <f>IFERROR(__xludf.DUMMYFUNCTION("""COMPUTED_VALUE"""),1.0)</f>
        <v>1</v>
      </c>
    </row>
    <row r="95">
      <c r="P95" s="7">
        <f>IFERROR(__xludf.DUMMYFUNCTION("""COMPUTED_VALUE"""),1.0)</f>
        <v>1</v>
      </c>
    </row>
    <row r="96">
      <c r="P96" s="7">
        <f>IFERROR(__xludf.DUMMYFUNCTION("""COMPUTED_VALUE"""),1.0)</f>
        <v>1</v>
      </c>
    </row>
    <row r="97">
      <c r="P97" s="7">
        <f>IFERROR(__xludf.DUMMYFUNCTION("""COMPUTED_VALUE"""),1.0)</f>
        <v>1</v>
      </c>
    </row>
    <row r="98">
      <c r="P98" s="7">
        <f>IFERROR(__xludf.DUMMYFUNCTION("""COMPUTED_VALUE"""),0.6043035725031001)</f>
        <v>0.6043035725</v>
      </c>
    </row>
    <row r="99">
      <c r="P99" s="7">
        <f>IFERROR(__xludf.DUMMYFUNCTION("""COMPUTED_VALUE"""),0.5231267175827262)</f>
        <v>0.5231267176</v>
      </c>
    </row>
    <row r="100">
      <c r="P100" s="7">
        <f>IFERROR(__xludf.DUMMYFUNCTION("""COMPUTED_VALUE"""),0.46408591221633166)</f>
        <v>0.4640859122</v>
      </c>
    </row>
    <row r="101">
      <c r="P101" s="7">
        <f>IFERROR(__xludf.DUMMYFUNCTION("""COMPUTED_VALUE"""),0.4826727642697319)</f>
        <v>0.4826727643</v>
      </c>
    </row>
    <row r="102">
      <c r="P102" s="7">
        <f>IFERROR(__xludf.DUMMYFUNCTION("""COMPUTED_VALUE"""),0.4826727642697319)</f>
        <v>0.4826727643</v>
      </c>
    </row>
    <row r="103">
      <c r="P103" s="7">
        <f>IFERROR(__xludf.DUMMYFUNCTION("""COMPUTED_VALUE"""),0.4541425352694792)</f>
        <v>0.4541425353</v>
      </c>
    </row>
    <row r="104">
      <c r="P104" s="7">
        <f>IFERROR(__xludf.DUMMYFUNCTION("""COMPUTED_VALUE"""),0.49562092074720315)</f>
        <v>0.4956209207</v>
      </c>
    </row>
    <row r="105">
      <c r="P105" s="7">
        <f>IFERROR(__xludf.DUMMYFUNCTION("""COMPUTED_VALUE"""),0.35786262833761673)</f>
        <v>0.3578626283</v>
      </c>
    </row>
    <row r="106">
      <c r="P106" s="7">
        <f>IFERROR(__xludf.DUMMYFUNCTION("""COMPUTED_VALUE"""),0.44595804201074557)</f>
        <v>0.445958042</v>
      </c>
    </row>
    <row r="107">
      <c r="P107" s="7">
        <f>IFERROR(__xludf.DUMMYFUNCTION("""COMPUTED_VALUE"""),0.45661578221841226)</f>
        <v>0.4566157822</v>
      </c>
    </row>
    <row r="108">
      <c r="P108" s="7">
        <f>IFERROR(__xludf.DUMMYFUNCTION("""COMPUTED_VALUE"""),0.3994429218242953)</f>
        <v>0.3994429218</v>
      </c>
    </row>
    <row r="109">
      <c r="P109" s="7">
        <f>IFERROR(__xludf.DUMMYFUNCTION("""COMPUTED_VALUE"""),0.27662532376723725)</f>
        <v>0.2766253238</v>
      </c>
    </row>
    <row r="110">
      <c r="P110" s="7">
        <f>IFERROR(__xludf.DUMMYFUNCTION("""COMPUTED_VALUE"""),0.6258583016253385)</f>
        <v>0.6258583016</v>
      </c>
    </row>
    <row r="111">
      <c r="P111" s="7">
        <f>IFERROR(__xludf.DUMMYFUNCTION("""COMPUTED_VALUE"""),0.6200993656770362)</f>
        <v>0.6200993657</v>
      </c>
    </row>
    <row r="112">
      <c r="P112" s="7">
        <f>IFERROR(__xludf.DUMMYFUNCTION("""COMPUTED_VALUE"""),0.6374877585841277)</f>
        <v>0.6374877586</v>
      </c>
    </row>
    <row r="113">
      <c r="P113" s="7">
        <f>IFERROR(__xludf.DUMMYFUNCTION("""COMPUTED_VALUE"""),0.6492692388897182)</f>
        <v>0.6492692389</v>
      </c>
    </row>
    <row r="114">
      <c r="P114" s="7">
        <f>IFERROR(__xludf.DUMMYFUNCTION("""COMPUTED_VALUE"""),0.6672353569139456)</f>
        <v>0.6672353569</v>
      </c>
    </row>
    <row r="115">
      <c r="P115" s="7">
        <f>IFERROR(__xludf.DUMMYFUNCTION("""COMPUTED_VALUE"""),0.15170616171712326)</f>
        <v>0.1517061617</v>
      </c>
    </row>
    <row r="116">
      <c r="P116" s="7">
        <f>IFERROR(__xludf.DUMMYFUNCTION("""COMPUTED_VALUE"""),0.24514846229326356)</f>
        <v>0.2451484623</v>
      </c>
    </row>
    <row r="117">
      <c r="P117" s="7">
        <f>IFERROR(__xludf.DUMMYFUNCTION("""COMPUTED_VALUE"""),0.23385891497809416)</f>
        <v>0.233858915</v>
      </c>
    </row>
    <row r="118">
      <c r="P118" s="7">
        <f>IFERROR(__xludf.DUMMYFUNCTION("""COMPUTED_VALUE"""),0.17592601787742876)</f>
        <v>0.1759260179</v>
      </c>
    </row>
    <row r="119">
      <c r="P119" s="7">
        <f>IFERROR(__xludf.DUMMYFUNCTION("""COMPUTED_VALUE"""),0.26042459765344234)</f>
        <v>0.2604245977</v>
      </c>
    </row>
    <row r="120">
      <c r="P120" s="7">
        <f>IFERROR(__xludf.DUMMYFUNCTION("""COMPUTED_VALUE"""),0.05470182893917413)</f>
        <v>0.05470182894</v>
      </c>
    </row>
    <row r="121">
      <c r="P121" s="7">
        <f>IFERROR(__xludf.DUMMYFUNCTION("""COMPUTED_VALUE"""),0.0)</f>
        <v>0</v>
      </c>
    </row>
    <row r="122">
      <c r="P122" s="7">
        <f>IFERROR(__xludf.DUMMYFUNCTION("""COMPUTED_VALUE"""),0.37984455318987687)</f>
        <v>0.3798445532</v>
      </c>
    </row>
    <row r="123">
      <c r="P123" s="7">
        <f>IFERROR(__xludf.DUMMYFUNCTION("""COMPUTED_VALUE"""),0.3761348866726222)</f>
        <v>0.3761348867</v>
      </c>
    </row>
    <row r="124">
      <c r="P124" s="7">
        <f>IFERROR(__xludf.DUMMYFUNCTION("""COMPUTED_VALUE"""),0.4750120884105536)</f>
        <v>0.4750120884</v>
      </c>
    </row>
    <row r="125">
      <c r="P125" s="7">
        <f>IFERROR(__xludf.DUMMYFUNCTION("""COMPUTED_VALUE"""),0.43705924891458103)</f>
        <v>0.4370592489</v>
      </c>
    </row>
    <row r="126">
      <c r="P126" s="7">
        <f>IFERROR(__xludf.DUMMYFUNCTION("""COMPUTED_VALUE"""),0.4227263143281751)</f>
        <v>0.4227263143</v>
      </c>
    </row>
    <row r="127">
      <c r="P127" s="7">
        <f>IFERROR(__xludf.DUMMYFUNCTION("""COMPUTED_VALUE"""),0.34285775538329816)</f>
        <v>0.3428577554</v>
      </c>
    </row>
    <row r="128">
      <c r="P128" s="7">
        <f>IFERROR(__xludf.DUMMYFUNCTION("""COMPUTED_VALUE"""),0.36075580032502647)</f>
        <v>0.3607558003</v>
      </c>
    </row>
    <row r="129">
      <c r="P129" s="7">
        <f>IFERROR(__xludf.DUMMYFUNCTION("""COMPUTED_VALUE"""),0.3979166396910429)</f>
        <v>0.3979166397</v>
      </c>
    </row>
    <row r="130">
      <c r="P130" s="7">
        <f>IFERROR(__xludf.DUMMYFUNCTION("""COMPUTED_VALUE"""),0.43145203115800157)</f>
        <v>0.4314520312</v>
      </c>
    </row>
    <row r="131">
      <c r="P131" s="7">
        <f>IFERROR(__xludf.DUMMYFUNCTION("""COMPUTED_VALUE"""),0.4322504449851088)</f>
        <v>0.432250445</v>
      </c>
    </row>
    <row r="132">
      <c r="P132" s="7">
        <f>IFERROR(__xludf.DUMMYFUNCTION("""COMPUTED_VALUE"""),0.4195788649555807)</f>
        <v>0.419578865</v>
      </c>
    </row>
    <row r="133">
      <c r="P133" s="7">
        <f>IFERROR(__xludf.DUMMYFUNCTION("""COMPUTED_VALUE"""),0.4243051137359271)</f>
        <v>0.4243051137</v>
      </c>
    </row>
    <row r="134">
      <c r="P134" s="7">
        <f>IFERROR(__xludf.DUMMYFUNCTION("""COMPUTED_VALUE"""),0.6794148721195159)</f>
        <v>0.6794148721</v>
      </c>
    </row>
    <row r="135">
      <c r="P135" s="7">
        <f>IFERROR(__xludf.DUMMYFUNCTION("""COMPUTED_VALUE"""),0.6672353569139456)</f>
        <v>0.6672353569</v>
      </c>
    </row>
    <row r="136">
      <c r="P136" s="7">
        <f>IFERROR(__xludf.DUMMYFUNCTION("""COMPUTED_VALUE"""),0.6200993656770362)</f>
        <v>0.6200993657</v>
      </c>
    </row>
    <row r="137">
      <c r="P137" s="7">
        <f>IFERROR(__xludf.DUMMYFUNCTION("""COMPUTED_VALUE"""),0.6258583016253385)</f>
        <v>0.6258583016</v>
      </c>
    </row>
    <row r="138">
      <c r="P138" s="7">
        <f>IFERROR(__xludf.DUMMYFUNCTION("""COMPUTED_VALUE"""),0.7042790809850588)</f>
        <v>0.704279081</v>
      </c>
    </row>
    <row r="139">
      <c r="P139" s="7">
        <f>IFERROR(__xludf.DUMMYFUNCTION("""COMPUTED_VALUE"""),0.7106038115679355)</f>
        <v>0.7106038116</v>
      </c>
    </row>
    <row r="140">
      <c r="P140" s="7">
        <f>IFERROR(__xludf.DUMMYFUNCTION("""COMPUTED_VALUE"""),0.8041527903011957)</f>
        <v>0.8041527903</v>
      </c>
    </row>
    <row r="141">
      <c r="P141" s="7">
        <f>IFERROR(__xludf.DUMMYFUNCTION("""COMPUTED_VALUE"""),0.8400647286094464)</f>
        <v>0.8400647286</v>
      </c>
    </row>
    <row r="142">
      <c r="P142" s="7">
        <f>IFERROR(__xludf.DUMMYFUNCTION("""COMPUTED_VALUE"""),0.8698615054736052)</f>
        <v>0.8698615055</v>
      </c>
    </row>
    <row r="143">
      <c r="P143" s="7">
        <f>IFERROR(__xludf.DUMMYFUNCTION("""COMPUTED_VALUE"""),0.8623194496673071)</f>
        <v>0.8623194497</v>
      </c>
    </row>
    <row r="144">
      <c r="P144" s="7">
        <f>IFERROR(__xludf.DUMMYFUNCTION("""COMPUTED_VALUE"""),0.8623194496673071)</f>
        <v>0.8623194497</v>
      </c>
    </row>
    <row r="145">
      <c r="P145" s="7">
        <f>IFERROR(__xludf.DUMMYFUNCTION("""COMPUTED_VALUE"""),0.818346318432853)</f>
        <v>0.8183463184</v>
      </c>
    </row>
    <row r="146">
      <c r="P146" s="7">
        <f>IFERROR(__xludf.DUMMYFUNCTION("""COMPUTED_VALUE"""),0.9164893379186505)</f>
        <v>0.9164893379</v>
      </c>
    </row>
    <row r="147">
      <c r="P147" s="7">
        <f>IFERROR(__xludf.DUMMYFUNCTION("""COMPUTED_VALUE"""),0.9085485780981635)</f>
        <v>0.9085485781</v>
      </c>
    </row>
    <row r="148">
      <c r="P148" s="7">
        <f>IFERROR(__xludf.DUMMYFUNCTION("""COMPUTED_VALUE"""),0.8400647286094464)</f>
        <v>0.8400647286</v>
      </c>
    </row>
    <row r="149">
      <c r="P149" s="7">
        <f>IFERROR(__xludf.DUMMYFUNCTION("""COMPUTED_VALUE"""),0.8327669526282987)</f>
        <v>0.8327669526</v>
      </c>
    </row>
    <row r="150">
      <c r="P150" s="7">
        <f>IFERROR(__xludf.DUMMYFUNCTION("""COMPUTED_VALUE"""),0.8400647286094464)</f>
        <v>0.8400647286</v>
      </c>
    </row>
    <row r="151">
      <c r="P151" s="7">
        <f>IFERROR(__xludf.DUMMYFUNCTION("""COMPUTED_VALUE"""),0.854839984257185)</f>
        <v>0.8548399843</v>
      </c>
    </row>
    <row r="152">
      <c r="P152" s="7">
        <f>IFERROR(__xludf.DUMMYFUNCTION("""COMPUTED_VALUE"""),0.8327669526282987)</f>
        <v>0.8327669526</v>
      </c>
    </row>
    <row r="153">
      <c r="P153" s="7">
        <f>IFERROR(__xludf.DUMMYFUNCTION("""COMPUTED_VALUE"""),0.8400647286094464)</f>
        <v>0.8400647286</v>
      </c>
    </row>
    <row r="154">
      <c r="P154" s="7">
        <f>IFERROR(__xludf.DUMMYFUNCTION("""COMPUTED_VALUE"""),0.8255277939545356)</f>
        <v>0.825527794</v>
      </c>
    </row>
    <row r="155">
      <c r="P155" s="7">
        <f>IFERROR(__xludf.DUMMYFUNCTION("""COMPUTED_VALUE"""),0.7106038115679355)</f>
        <v>0.7106038116</v>
      </c>
    </row>
    <row r="156">
      <c r="P156" s="7">
        <f>IFERROR(__xludf.DUMMYFUNCTION("""COMPUTED_VALUE"""),0.6979984255377447)</f>
        <v>0.6979984255</v>
      </c>
    </row>
    <row r="157">
      <c r="P157" s="7">
        <f>IFERROR(__xludf.DUMMYFUNCTION("""COMPUTED_VALUE"""),0.6855669124528943)</f>
        <v>0.6855669125</v>
      </c>
    </row>
    <row r="158">
      <c r="P158" s="7">
        <f>IFERROR(__xludf.DUMMYFUNCTION("""COMPUTED_VALUE"""),0.8212476533697738)</f>
        <v>0.8212476534</v>
      </c>
    </row>
    <row r="159">
      <c r="P159" s="7">
        <f>IFERROR(__xludf.DUMMYFUNCTION("""COMPUTED_VALUE"""),0.7563519442850769)</f>
        <v>0.7563519443</v>
      </c>
    </row>
    <row r="160">
      <c r="P160" s="7">
        <f>IFERROR(__xludf.DUMMYFUNCTION("""COMPUTED_VALUE"""),0.8038151653805404)</f>
        <v>0.8038151654</v>
      </c>
    </row>
    <row r="161">
      <c r="P161" s="7">
        <f>IFERROR(__xludf.DUMMYFUNCTION("""COMPUTED_VALUE"""),0.8038151653805404)</f>
        <v>0.8038151654</v>
      </c>
    </row>
    <row r="162">
      <c r="P162" s="7">
        <f>IFERROR(__xludf.DUMMYFUNCTION("""COMPUTED_VALUE"""),0.7867870358316172)</f>
        <v>0.7867870358</v>
      </c>
    </row>
    <row r="163">
      <c r="P163" s="7">
        <f>IFERROR(__xludf.DUMMYFUNCTION("""COMPUTED_VALUE"""),0.707110598787234)</f>
        <v>0.7071105988</v>
      </c>
    </row>
    <row r="164">
      <c r="P164" s="7">
        <f>IFERROR(__xludf.DUMMYFUNCTION("""COMPUTED_VALUE"""),0.6577001767306213)</f>
        <v>0.6577001767</v>
      </c>
    </row>
    <row r="165">
      <c r="P165" s="7">
        <f>IFERROR(__xludf.DUMMYFUNCTION("""COMPUTED_VALUE"""),0.646919638787908)</f>
        <v>0.6469196388</v>
      </c>
    </row>
    <row r="166">
      <c r="P166" s="7">
        <f>IFERROR(__xludf.DUMMYFUNCTION("""COMPUTED_VALUE"""),0.6134487052571914)</f>
        <v>0.6134487053</v>
      </c>
    </row>
    <row r="167">
      <c r="P167" s="7">
        <f>IFERROR(__xludf.DUMMYFUNCTION("""COMPUTED_VALUE"""),0.5972686246376628)</f>
        <v>0.5972686246</v>
      </c>
    </row>
    <row r="168">
      <c r="P168" s="7">
        <f>IFERROR(__xludf.DUMMYFUNCTION("""COMPUTED_VALUE"""),0.6227091966151902)</f>
        <v>0.6227091966</v>
      </c>
    </row>
    <row r="169">
      <c r="P169" s="7">
        <f>IFERROR(__xludf.DUMMYFUNCTION("""COMPUTED_VALUE"""),0.5765594338035013)</f>
        <v>0.5765594338</v>
      </c>
    </row>
    <row r="170">
      <c r="P170" s="7">
        <f>IFERROR(__xludf.DUMMYFUNCTION("""COMPUTED_VALUE"""),0.26428443399993323)</f>
        <v>0.264284434</v>
      </c>
    </row>
    <row r="171">
      <c r="P171" s="7">
        <f>IFERROR(__xludf.DUMMYFUNCTION("""COMPUTED_VALUE"""),0.268160871844152)</f>
        <v>0.2681608718</v>
      </c>
    </row>
    <row r="172">
      <c r="P172" s="7">
        <f>IFERROR(__xludf.DUMMYFUNCTION("""COMPUTED_VALUE"""),0.26428443399993323)</f>
        <v>0.264284434</v>
      </c>
    </row>
    <row r="173">
      <c r="P173" s="7">
        <f>IFERROR(__xludf.DUMMYFUNCTION("""COMPUTED_VALUE"""),0.2008147507741938)</f>
        <v>0.2008147508</v>
      </c>
    </row>
    <row r="174">
      <c r="P174" s="7">
        <f>IFERROR(__xludf.DUMMYFUNCTION("""COMPUTED_VALUE"""),0.1214931513401051)</f>
        <v>0.1214931513</v>
      </c>
    </row>
    <row r="175">
      <c r="P175" s="7">
        <f>IFERROR(__xludf.DUMMYFUNCTION("""COMPUTED_VALUE"""),0.009853252847762138)</f>
        <v>0.009853252848</v>
      </c>
    </row>
    <row r="176">
      <c r="P176" s="7">
        <f>IFERROR(__xludf.DUMMYFUNCTION("""COMPUTED_VALUE"""),0.030505196908467782)</f>
        <v>0.03050519691</v>
      </c>
    </row>
    <row r="177">
      <c r="P177" s="7">
        <f>IFERROR(__xludf.DUMMYFUNCTION("""COMPUTED_VALUE"""),0.1449040886044848)</f>
        <v>0.1449040886</v>
      </c>
    </row>
    <row r="178">
      <c r="P178" s="7">
        <f>IFERROR(__xludf.DUMMYFUNCTION("""COMPUTED_VALUE"""),0.13815296782865388)</f>
        <v>0.1381529678</v>
      </c>
    </row>
    <row r="179">
      <c r="P179" s="7">
        <f>IFERROR(__xludf.DUMMYFUNCTION("""COMPUTED_VALUE"""),0.039502979555064335)</f>
        <v>0.03950297956</v>
      </c>
    </row>
    <row r="180">
      <c r="P180" s="7">
        <f>IFERROR(__xludf.DUMMYFUNCTION("""COMPUTED_VALUE"""),0.03349448790549284)</f>
        <v>0.03349448791</v>
      </c>
    </row>
    <row r="181">
      <c r="P181" s="7">
        <f>IFERROR(__xludf.DUMMYFUNCTION("""COMPUTED_VALUE"""),0.0)</f>
        <v>0</v>
      </c>
    </row>
    <row r="182">
      <c r="P182" s="7">
        <f>IFERROR(__xludf.DUMMYFUNCTION("""COMPUTED_VALUE"""),0.17592601787742876)</f>
        <v>0.1759260179</v>
      </c>
    </row>
    <row r="183">
      <c r="P183" s="7">
        <f>IFERROR(__xludf.DUMMYFUNCTION("""COMPUTED_VALUE"""),0.17943974712085392)</f>
        <v>0.1794397471</v>
      </c>
    </row>
    <row r="184">
      <c r="P184" s="7">
        <f>IFERROR(__xludf.DUMMYFUNCTION("""COMPUTED_VALUE"""),0.17592601787742876)</f>
        <v>0.1759260179</v>
      </c>
    </row>
    <row r="185">
      <c r="P185" s="7">
        <f>IFERROR(__xludf.DUMMYFUNCTION("""COMPUTED_VALUE"""),0.17242593421882985)</f>
        <v>0.1724259342</v>
      </c>
    </row>
    <row r="186">
      <c r="P186" s="7">
        <f>IFERROR(__xludf.DUMMYFUNCTION("""COMPUTED_VALUE"""),0.22641035680239763)</f>
        <v>0.2264103568</v>
      </c>
    </row>
    <row r="187">
      <c r="P187" s="7">
        <f>IFERROR(__xludf.DUMMYFUNCTION("""COMPUTED_VALUE"""),0.17943974712085392)</f>
        <v>0.1794397471</v>
      </c>
    </row>
    <row r="188">
      <c r="P188" s="7">
        <f>IFERROR(__xludf.DUMMYFUNCTION("""COMPUTED_VALUE"""),0.25658122121343374)</f>
        <v>0.2565812212</v>
      </c>
    </row>
    <row r="189">
      <c r="P189" s="7">
        <f>IFERROR(__xludf.DUMMYFUNCTION("""COMPUTED_VALUE"""),0.303820176539151)</f>
        <v>0.3038201765</v>
      </c>
    </row>
    <row r="190">
      <c r="P190" s="7">
        <f>IFERROR(__xludf.DUMMYFUNCTION("""COMPUTED_VALUE"""),0.25658122121343374)</f>
        <v>0.2565812212</v>
      </c>
    </row>
    <row r="191">
      <c r="P191" s="7">
        <f>IFERROR(__xludf.DUMMYFUNCTION("""COMPUTED_VALUE"""),0.3325647215658483)</f>
        <v>0.3325647216</v>
      </c>
    </row>
    <row r="192">
      <c r="P192" s="7">
        <f>IFERROR(__xludf.DUMMYFUNCTION("""COMPUTED_VALUE"""),0.34094869280877826)</f>
        <v>0.3409486928</v>
      </c>
    </row>
    <row r="193">
      <c r="P193" s="7">
        <f>IFERROR(__xludf.DUMMYFUNCTION("""COMPUTED_VALUE"""),0.31193978469419453)</f>
        <v>0.3119397847</v>
      </c>
    </row>
    <row r="194">
      <c r="P194" s="7">
        <f>IFERROR(__xludf.DUMMYFUNCTION("""COMPUTED_VALUE"""),0.7901793257549009)</f>
        <v>0.7901793258</v>
      </c>
    </row>
    <row r="195">
      <c r="P195" s="7">
        <f>IFERROR(__xludf.DUMMYFUNCTION("""COMPUTED_VALUE"""),0.749513612578497)</f>
        <v>0.7495136126</v>
      </c>
    </row>
    <row r="196">
      <c r="P196" s="7">
        <f>IFERROR(__xludf.DUMMYFUNCTION("""COMPUTED_VALUE"""),0.749513612578497)</f>
        <v>0.7495136126</v>
      </c>
    </row>
    <row r="197">
      <c r="P197" s="7">
        <f>IFERROR(__xludf.DUMMYFUNCTION("""COMPUTED_VALUE"""),0.7628660110089954)</f>
        <v>0.762866011</v>
      </c>
    </row>
    <row r="198">
      <c r="P198" s="7">
        <f>IFERROR(__xludf.DUMMYFUNCTION("""COMPUTED_VALUE"""),0.7696171317848265)</f>
        <v>0.7696171318</v>
      </c>
    </row>
    <row r="199">
      <c r="P199" s="7">
        <f>IFERROR(__xludf.DUMMYFUNCTION("""COMPUTED_VALUE"""),0.8112216140622946)</f>
        <v>0.8112216141</v>
      </c>
    </row>
    <row r="200">
      <c r="P200" s="7">
        <f>IFERROR(__xludf.DUMMYFUNCTION("""COMPUTED_VALUE"""),0.7832730052985137)</f>
        <v>0.7832730053</v>
      </c>
    </row>
    <row r="201">
      <c r="P201" s="7">
        <f>IFERROR(__xludf.DUMMYFUNCTION("""COMPUTED_VALUE"""),0.7628660110089954)</f>
        <v>0.762866011</v>
      </c>
    </row>
    <row r="202">
      <c r="P202" s="7">
        <f>IFERROR(__xludf.DUMMYFUNCTION("""COMPUTED_VALUE"""),0.7561650849038561)</f>
        <v>0.7561650849</v>
      </c>
    </row>
    <row r="203">
      <c r="P203" s="7">
        <f>IFERROR(__xludf.DUMMYFUNCTION("""COMPUTED_VALUE"""),0.716973240264213)</f>
        <v>0.7169732403</v>
      </c>
    </row>
    <row r="204">
      <c r="P204" s="7">
        <f>IFERROR(__xludf.DUMMYFUNCTION("""COMPUTED_VALUE"""),0.6374877585841277)</f>
        <v>0.6374877586</v>
      </c>
    </row>
    <row r="205">
      <c r="P205" s="7">
        <f>IFERROR(__xludf.DUMMYFUNCTION("""COMPUTED_VALUE"""),0.5918440607742939)</f>
        <v>0.5918440608</v>
      </c>
    </row>
    <row r="206">
      <c r="P206" s="7">
        <f>IFERROR(__xludf.DUMMYFUNCTION("""COMPUTED_VALUE"""),0.33674695834839224)</f>
        <v>0.3367469583</v>
      </c>
    </row>
    <row r="207">
      <c r="P207" s="7">
        <f>IFERROR(__xludf.DUMMYFUNCTION("""COMPUTED_VALUE"""),0.2997876400159622)</f>
        <v>0.29978764</v>
      </c>
    </row>
    <row r="208">
      <c r="P208" s="7">
        <f>IFERROR(__xludf.DUMMYFUNCTION("""COMPUTED_VALUE"""),0.26428443399993323)</f>
        <v>0.264284434</v>
      </c>
    </row>
    <row r="209">
      <c r="P209" s="7">
        <f>IFERROR(__xludf.DUMMYFUNCTION("""COMPUTED_VALUE"""),0.26428443399993323)</f>
        <v>0.264284434</v>
      </c>
    </row>
    <row r="210">
      <c r="P210" s="7">
        <f>IFERROR(__xludf.DUMMYFUNCTION("""COMPUTED_VALUE"""),0.24514846229326356)</f>
        <v>0.2451484623</v>
      </c>
    </row>
    <row r="211">
      <c r="P211" s="7">
        <f>IFERROR(__xludf.DUMMYFUNCTION("""COMPUTED_VALUE"""),0.23385891497809416)</f>
        <v>0.233858915</v>
      </c>
    </row>
    <row r="212">
      <c r="P212" s="7">
        <f>IFERROR(__xludf.DUMMYFUNCTION("""COMPUTED_VALUE"""),0.29177629473830874)</f>
        <v>0.2917762947</v>
      </c>
    </row>
    <row r="213">
      <c r="P213" s="7">
        <f>IFERROR(__xludf.DUMMYFUNCTION("""COMPUTED_VALUE"""),0.34517010759603917)</f>
        <v>0.3451701076</v>
      </c>
    </row>
    <row r="214">
      <c r="P214" s="7">
        <f>IFERROR(__xludf.DUMMYFUNCTION("""COMPUTED_VALUE"""),0.3840799086066007)</f>
        <v>0.3840799086</v>
      </c>
    </row>
    <row r="215">
      <c r="P215" s="7">
        <f>IFERROR(__xludf.DUMMYFUNCTION("""COMPUTED_VALUE"""),0.4247456217830046)</f>
        <v>0.4247456218</v>
      </c>
    </row>
    <row r="216">
      <c r="P216" s="7">
        <f>IFERROR(__xludf.DUMMYFUNCTION("""COMPUTED_VALUE"""),0.42013553291107053)</f>
        <v>0.4201355329</v>
      </c>
    </row>
    <row r="217">
      <c r="P217" s="7">
        <f>IFERROR(__xludf.DUMMYFUNCTION("""COMPUTED_VALUE"""),0.532634867562179)</f>
        <v>0.5326348676</v>
      </c>
    </row>
    <row r="218">
      <c r="P218" s="7">
        <f>IFERROR(__xludf.DUMMYFUNCTION("""COMPUTED_VALUE"""),0.23385891497809416)</f>
        <v>0.233858915</v>
      </c>
    </row>
    <row r="219">
      <c r="P219" s="7">
        <f>IFERROR(__xludf.DUMMYFUNCTION("""COMPUTED_VALUE"""),0.2301269410768433)</f>
        <v>0.2301269411</v>
      </c>
    </row>
    <row r="220">
      <c r="P220" s="7">
        <f>IFERROR(__xludf.DUMMYFUNCTION("""COMPUTED_VALUE"""),0.19363327525251134)</f>
        <v>0.1936332753</v>
      </c>
    </row>
    <row r="221">
      <c r="P221" s="7">
        <f>IFERROR(__xludf.DUMMYFUNCTION("""COMPUTED_VALUE"""),0.10838353243034174)</f>
        <v>0.1083835324</v>
      </c>
    </row>
    <row r="222">
      <c r="P222" s="7">
        <f>IFERROR(__xludf.DUMMYFUNCTION("""COMPUTED_VALUE"""),0.0764202391157675)</f>
        <v>0.07642023912</v>
      </c>
    </row>
    <row r="223">
      <c r="P223" s="7">
        <f>IFERROR(__xludf.DUMMYFUNCTION("""COMPUTED_VALUE"""),0.0)</f>
        <v>0</v>
      </c>
    </row>
    <row r="224">
      <c r="P224" s="7">
        <f>IFERROR(__xludf.DUMMYFUNCTION("""COMPUTED_VALUE"""),0.0)</f>
        <v>0</v>
      </c>
    </row>
    <row r="225">
      <c r="P225" s="7">
        <f>IFERROR(__xludf.DUMMYFUNCTION("""COMPUTED_VALUE"""),0.0)</f>
        <v>0</v>
      </c>
    </row>
    <row r="226">
      <c r="P226" s="7">
        <f>IFERROR(__xludf.DUMMYFUNCTION("""COMPUTED_VALUE"""),0.0)</f>
        <v>0</v>
      </c>
    </row>
    <row r="227">
      <c r="P227" s="7">
        <f>IFERROR(__xludf.DUMMYFUNCTION("""COMPUTED_VALUE"""),0.0)</f>
        <v>0</v>
      </c>
    </row>
    <row r="228">
      <c r="P228" s="7">
        <f>IFERROR(__xludf.DUMMYFUNCTION("""COMPUTED_VALUE"""),0.0)</f>
        <v>0</v>
      </c>
    </row>
    <row r="229">
      <c r="P229" s="7">
        <f>IFERROR(__xludf.DUMMYFUNCTION("""COMPUTED_VALUE"""),0.0)</f>
        <v>0</v>
      </c>
    </row>
    <row r="230">
      <c r="P230" s="7">
        <f>IFERROR(__xludf.DUMMYFUNCTION("""COMPUTED_VALUE"""),0.716973240264213)</f>
        <v>0.7169732403</v>
      </c>
    </row>
    <row r="231">
      <c r="P231" s="7">
        <f>IFERROR(__xludf.DUMMYFUNCTION("""COMPUTED_VALUE"""),0.716973240264213)</f>
        <v>0.7169732403</v>
      </c>
    </row>
    <row r="232">
      <c r="P232" s="7">
        <f>IFERROR(__xludf.DUMMYFUNCTION("""COMPUTED_VALUE"""),0.6979984255377447)</f>
        <v>0.6979984255</v>
      </c>
    </row>
    <row r="233">
      <c r="P233" s="7">
        <f>IFERROR(__xludf.DUMMYFUNCTION("""COMPUTED_VALUE"""),0.7628660110089954)</f>
        <v>0.762866011</v>
      </c>
    </row>
    <row r="234">
      <c r="P234" s="7">
        <f>IFERROR(__xludf.DUMMYFUNCTION("""COMPUTED_VALUE"""),0.7764192048974649)</f>
        <v>0.7764192049</v>
      </c>
    </row>
    <row r="235">
      <c r="P235" s="7">
        <f>IFERROR(__xludf.DUMMYFUNCTION("""COMPUTED_VALUE"""),0.575306525055131)</f>
        <v>0.5753065251</v>
      </c>
    </row>
    <row r="236">
      <c r="P236" s="7">
        <f>IFERROR(__xludf.DUMMYFUNCTION("""COMPUTED_VALUE"""),0.5484009327361631)</f>
        <v>0.5484009327</v>
      </c>
    </row>
    <row r="237">
      <c r="P237" s="7">
        <f>IFERROR(__xludf.DUMMYFUNCTION("""COMPUTED_VALUE"""),0.5918440607742939)</f>
        <v>0.5918440608</v>
      </c>
    </row>
    <row r="238">
      <c r="P238" s="7">
        <f>IFERROR(__xludf.DUMMYFUNCTION("""COMPUTED_VALUE"""),0.5484009327361631)</f>
        <v>0.5484009327</v>
      </c>
    </row>
    <row r="239">
      <c r="P239" s="7">
        <f>IFERROR(__xludf.DUMMYFUNCTION("""COMPUTED_VALUE"""),0.5378596381907261)</f>
        <v>0.5378596382</v>
      </c>
    </row>
    <row r="240">
      <c r="P240" s="7">
        <f>IFERROR(__xludf.DUMMYFUNCTION("""COMPUTED_VALUE"""),0.5590669792244075)</f>
        <v>0.5590669792</v>
      </c>
    </row>
    <row r="241">
      <c r="P241" s="7">
        <f>IFERROR(__xludf.DUMMYFUNCTION("""COMPUTED_VALUE"""),0.5590669792244075)</f>
        <v>0.5590669792</v>
      </c>
    </row>
    <row r="242">
      <c r="P242" s="7">
        <f>IFERROR(__xludf.DUMMYFUNCTION("""COMPUTED_VALUE"""),0.6043035725031001)</f>
        <v>0.6043035725</v>
      </c>
    </row>
    <row r="243">
      <c r="P243" s="7">
        <f>IFERROR(__xludf.DUMMYFUNCTION("""COMPUTED_VALUE"""),0.5231267175827262)</f>
        <v>0.5231267176</v>
      </c>
    </row>
    <row r="244">
      <c r="P244" s="7">
        <f>IFERROR(__xludf.DUMMYFUNCTION("""COMPUTED_VALUE"""),0.46408591221633166)</f>
        <v>0.4640859122</v>
      </c>
    </row>
    <row r="245">
      <c r="P245" s="7">
        <f>IFERROR(__xludf.DUMMYFUNCTION("""COMPUTED_VALUE"""),0.4826727642697319)</f>
        <v>0.4826727643</v>
      </c>
    </row>
    <row r="246">
      <c r="P246" s="7">
        <f>IFERROR(__xludf.DUMMYFUNCTION("""COMPUTED_VALUE"""),0.4826727642697319)</f>
        <v>0.4826727643</v>
      </c>
    </row>
    <row r="247">
      <c r="P247" s="7">
        <f>IFERROR(__xludf.DUMMYFUNCTION("""COMPUTED_VALUE"""),0.4541425352694792)</f>
        <v>0.4541425353</v>
      </c>
    </row>
    <row r="248">
      <c r="P248" s="7">
        <f>IFERROR(__xludf.DUMMYFUNCTION("""COMPUTED_VALUE"""),0.49562092074720315)</f>
        <v>0.4956209207</v>
      </c>
    </row>
    <row r="249">
      <c r="P249" s="7">
        <f>IFERROR(__xludf.DUMMYFUNCTION("""COMPUTED_VALUE"""),0.35786262833761673)</f>
        <v>0.3578626283</v>
      </c>
    </row>
    <row r="250">
      <c r="P250" s="7">
        <f>IFERROR(__xludf.DUMMYFUNCTION("""COMPUTED_VALUE"""),0.44595804201074557)</f>
        <v>0.445958042</v>
      </c>
    </row>
    <row r="251">
      <c r="P251" s="7">
        <f>IFERROR(__xludf.DUMMYFUNCTION("""COMPUTED_VALUE"""),0.45661578221841226)</f>
        <v>0.4566157822</v>
      </c>
    </row>
    <row r="252">
      <c r="P252" s="7">
        <f>IFERROR(__xludf.DUMMYFUNCTION("""COMPUTED_VALUE"""),0.3994429218242953)</f>
        <v>0.3994429218</v>
      </c>
    </row>
    <row r="253">
      <c r="P253" s="7">
        <f>IFERROR(__xludf.DUMMYFUNCTION("""COMPUTED_VALUE"""),0.27662532376723725)</f>
        <v>0.2766253238</v>
      </c>
    </row>
    <row r="254">
      <c r="P254" s="7">
        <f>IFERROR(__xludf.DUMMYFUNCTION("""COMPUTED_VALUE"""),0.8112216140622946)</f>
        <v>0.8112216141</v>
      </c>
    </row>
    <row r="255">
      <c r="P255" s="7">
        <f>IFERROR(__xludf.DUMMYFUNCTION("""COMPUTED_VALUE"""),0.7628660110089954)</f>
        <v>0.762866011</v>
      </c>
    </row>
    <row r="256">
      <c r="P256" s="7">
        <f>IFERROR(__xludf.DUMMYFUNCTION("""COMPUTED_VALUE"""),0.7298487508009589)</f>
        <v>0.7298487508</v>
      </c>
    </row>
    <row r="257">
      <c r="P257" s="7">
        <f>IFERROR(__xludf.DUMMYFUNCTION("""COMPUTED_VALUE"""),0.7298487508009589)</f>
        <v>0.7298487508</v>
      </c>
    </row>
    <row r="258">
      <c r="P258" s="7">
        <f>IFERROR(__xludf.DUMMYFUNCTION("""COMPUTED_VALUE"""),0.7298487508009589)</f>
        <v>0.7298487508</v>
      </c>
    </row>
    <row r="259">
      <c r="P259" s="7">
        <f>IFERROR(__xludf.DUMMYFUNCTION("""COMPUTED_VALUE"""),0.7042790809850588)</f>
        <v>0.704279081</v>
      </c>
    </row>
    <row r="260">
      <c r="P260" s="7">
        <f>IFERROR(__xludf.DUMMYFUNCTION("""COMPUTED_VALUE"""),0.7233880033539699)</f>
        <v>0.7233880034</v>
      </c>
    </row>
    <row r="261">
      <c r="P261" s="7">
        <f>IFERROR(__xludf.DUMMYFUNCTION("""COMPUTED_VALUE"""),0.716973240264213)</f>
        <v>0.7169732403</v>
      </c>
    </row>
    <row r="262">
      <c r="P262" s="7">
        <f>IFERROR(__xludf.DUMMYFUNCTION("""COMPUTED_VALUE"""),0.7696171317848265)</f>
        <v>0.7696171318</v>
      </c>
    </row>
    <row r="263">
      <c r="P263" s="7">
        <f>IFERROR(__xludf.DUMMYFUNCTION("""COMPUTED_VALUE"""),0.7696171317848265)</f>
        <v>0.7696171318</v>
      </c>
    </row>
    <row r="264">
      <c r="P264" s="7">
        <f>IFERROR(__xludf.DUMMYFUNCTION("""COMPUTED_VALUE"""),0.7106038115679355)</f>
        <v>0.7106038116</v>
      </c>
    </row>
    <row r="265">
      <c r="P265" s="7">
        <f>IFERROR(__xludf.DUMMYFUNCTION("""COMPUTED_VALUE"""),0.7901793257549009)</f>
        <v>0.7901793258</v>
      </c>
    </row>
    <row r="266">
      <c r="P266" s="7">
        <f>IFERROR(__xludf.DUMMYFUNCTION("""COMPUTED_VALUE"""),0.6374877585841277)</f>
        <v>0.6374877586</v>
      </c>
    </row>
    <row r="267">
      <c r="P267" s="7">
        <f>IFERROR(__xludf.DUMMYFUNCTION("""COMPUTED_VALUE"""),0.3325647215658483)</f>
        <v>0.3325647216</v>
      </c>
    </row>
    <row r="268">
      <c r="P268" s="7">
        <f>IFERROR(__xludf.DUMMYFUNCTION("""COMPUTED_VALUE"""),0.0)</f>
        <v>0</v>
      </c>
    </row>
    <row r="269">
      <c r="P269" s="7">
        <f>IFERROR(__xludf.DUMMYFUNCTION("""COMPUTED_VALUE"""),0.0)</f>
        <v>0</v>
      </c>
    </row>
    <row r="270">
      <c r="P270" s="7">
        <f>IFERROR(__xludf.DUMMYFUNCTION("""COMPUTED_VALUE"""),0.01277471540378604)</f>
        <v>0.0127747154</v>
      </c>
    </row>
    <row r="271">
      <c r="P271" s="7">
        <f>IFERROR(__xludf.DUMMYFUNCTION("""COMPUTED_VALUE"""),0.17242593421882985)</f>
        <v>0.1724259342</v>
      </c>
    </row>
    <row r="272">
      <c r="P272" s="7">
        <f>IFERROR(__xludf.DUMMYFUNCTION("""COMPUTED_VALUE"""),0.19721686013036446)</f>
        <v>0.1972168601</v>
      </c>
    </row>
    <row r="273">
      <c r="P273" s="7">
        <f>IFERROR(__xludf.DUMMYFUNCTION("""COMPUTED_VALUE"""),0.4869268553120015)</f>
        <v>0.4869268553</v>
      </c>
    </row>
    <row r="274">
      <c r="P274" s="7">
        <f>IFERROR(__xludf.DUMMYFUNCTION("""COMPUTED_VALUE"""),0.28383553491782193)</f>
        <v>0.2838355349</v>
      </c>
    </row>
    <row r="275">
      <c r="P275" s="7">
        <f>IFERROR(__xludf.DUMMYFUNCTION("""COMPUTED_VALUE"""),0.5069559108995523)</f>
        <v>0.5069559109</v>
      </c>
    </row>
    <row r="276">
      <c r="P276" s="7">
        <f>IFERROR(__xludf.DUMMYFUNCTION("""COMPUTED_VALUE"""),0.303820176539151)</f>
        <v>0.3038201765</v>
      </c>
    </row>
    <row r="277">
      <c r="P277" s="7">
        <f>IFERROR(__xludf.DUMMYFUNCTION("""COMPUTED_VALUE"""),0.47707680743936687)</f>
        <v>0.4770768074</v>
      </c>
    </row>
    <row r="278">
      <c r="P278" s="7">
        <f>IFERROR(__xludf.DUMMYFUNCTION("""COMPUTED_VALUE"""),0.4109855009255686)</f>
        <v>0.4109855009</v>
      </c>
    </row>
    <row r="279">
      <c r="P279" s="7">
        <f>IFERROR(__xludf.DUMMYFUNCTION("""COMPUTED_VALUE"""),0.4529126144609566)</f>
        <v>0.4529126145</v>
      </c>
    </row>
    <row r="280">
      <c r="P280" s="7">
        <f>IFERROR(__xludf.DUMMYFUNCTION("""COMPUTED_VALUE"""),0.5171398656890195)</f>
        <v>0.5171398657</v>
      </c>
    </row>
    <row r="281">
      <c r="P281" s="7">
        <f>IFERROR(__xludf.DUMMYFUNCTION("""COMPUTED_VALUE"""),0.6030401104588616)</f>
        <v>0.6030401105</v>
      </c>
    </row>
    <row r="282">
      <c r="P282" s="7">
        <f>IFERROR(__xludf.DUMMYFUNCTION("""COMPUTED_VALUE"""),0.3579542993820736)</f>
        <v>0.3579542994</v>
      </c>
    </row>
    <row r="283">
      <c r="P283" s="7">
        <f>IFERROR(__xludf.DUMMYFUNCTION("""COMPUTED_VALUE"""),0.16893939056953625)</f>
        <v>0.1689393906</v>
      </c>
    </row>
    <row r="284">
      <c r="P284" s="7">
        <f>IFERROR(__xludf.DUMMYFUNCTION("""COMPUTED_VALUE"""),0.24894329067598034)</f>
        <v>0.2489432907</v>
      </c>
    </row>
    <row r="285">
      <c r="P285" s="7">
        <f>IFERROR(__xludf.DUMMYFUNCTION("""COMPUTED_VALUE"""),0.19721686013036446)</f>
        <v>0.1972168601</v>
      </c>
    </row>
    <row r="286">
      <c r="P286" s="7">
        <f>IFERROR(__xludf.DUMMYFUNCTION("""COMPUTED_VALUE"""),0.0)</f>
        <v>0</v>
      </c>
    </row>
    <row r="287">
      <c r="P287" s="7">
        <f>IFERROR(__xludf.DUMMYFUNCTION("""COMPUTED_VALUE"""),0.05470182893917413)</f>
        <v>0.05470182894</v>
      </c>
    </row>
    <row r="288">
      <c r="P288" s="7">
        <f>IFERROR(__xludf.DUMMYFUNCTION("""COMPUTED_VALUE"""),0.0)</f>
        <v>0</v>
      </c>
    </row>
    <row r="289">
      <c r="P289" s="7">
        <f>IFERROR(__xludf.DUMMYFUNCTION("""COMPUTED_VALUE"""),0.13479627713524842)</f>
        <v>0.1347962771</v>
      </c>
    </row>
    <row r="290">
      <c r="P290" s="7">
        <f>IFERROR(__xludf.DUMMYFUNCTION("""COMPUTED_VALUE"""),0.5537181777129324)</f>
        <v>0.5537181777</v>
      </c>
    </row>
    <row r="291">
      <c r="P291" s="7">
        <f>IFERROR(__xludf.DUMMYFUNCTION("""COMPUTED_VALUE"""),0.5644477140683706)</f>
        <v>0.5644477141</v>
      </c>
    </row>
    <row r="292">
      <c r="P292" s="7">
        <f>IFERROR(__xludf.DUMMYFUNCTION("""COMPUTED_VALUE"""),0.6086907271462473)</f>
        <v>0.6086907271</v>
      </c>
    </row>
    <row r="293">
      <c r="P293" s="7">
        <f>IFERROR(__xludf.DUMMYFUNCTION("""COMPUTED_VALUE"""),0.6143769946478765)</f>
        <v>0.6143769946</v>
      </c>
    </row>
    <row r="294">
      <c r="P294" s="7">
        <f>IFERROR(__xludf.DUMMYFUNCTION("""COMPUTED_VALUE"""),0.6612067698249732)</f>
        <v>0.6612067698</v>
      </c>
    </row>
    <row r="295">
      <c r="P295" s="7">
        <f>IFERROR(__xludf.DUMMYFUNCTION("""COMPUTED_VALUE"""),0.7106038115679355)</f>
        <v>0.7106038116</v>
      </c>
    </row>
    <row r="296">
      <c r="P296" s="7">
        <f>IFERROR(__xludf.DUMMYFUNCTION("""COMPUTED_VALUE"""),0.818346318432853)</f>
        <v>0.8183463184</v>
      </c>
    </row>
    <row r="297">
      <c r="P297" s="7">
        <f>IFERROR(__xludf.DUMMYFUNCTION("""COMPUTED_VALUE"""),0.818346318432853)</f>
        <v>0.8183463184</v>
      </c>
    </row>
    <row r="298">
      <c r="P298" s="7">
        <f>IFERROR(__xludf.DUMMYFUNCTION("""COMPUTED_VALUE"""),0.8698615054736052)</f>
        <v>0.8698615055</v>
      </c>
    </row>
    <row r="299">
      <c r="P299" s="7">
        <f>IFERROR(__xludf.DUMMYFUNCTION("""COMPUTED_VALUE"""),0.8474220789310577)</f>
        <v>0.8474220789</v>
      </c>
    </row>
    <row r="300">
      <c r="P300" s="7">
        <f>IFERROR(__xludf.DUMMYFUNCTION("""COMPUTED_VALUE"""),0.818346318432853)</f>
        <v>0.8183463184</v>
      </c>
    </row>
    <row r="301">
      <c r="P301" s="7">
        <f>IFERROR(__xludf.DUMMYFUNCTION("""COMPUTED_VALUE"""),0.8112216140622946)</f>
        <v>0.8112216141</v>
      </c>
    </row>
    <row r="302">
      <c r="P302" s="7">
        <f>IFERROR(__xludf.DUMMYFUNCTION("""COMPUTED_VALUE"""),1.0)</f>
        <v>1</v>
      </c>
    </row>
    <row r="303">
      <c r="P303" s="7">
        <f>IFERROR(__xludf.DUMMYFUNCTION("""COMPUTED_VALUE"""),0.9741244311181435)</f>
        <v>0.9741244311</v>
      </c>
    </row>
    <row r="304">
      <c r="P304" s="7">
        <f>IFERROR(__xludf.DUMMYFUNCTION("""COMPUTED_VALUE"""),0.9741244311181435)</f>
        <v>0.9741244311</v>
      </c>
    </row>
    <row r="305">
      <c r="P305" s="7">
        <f>IFERROR(__xludf.DUMMYFUNCTION("""COMPUTED_VALUE"""),0.9741244311181435)</f>
        <v>0.9741244311</v>
      </c>
    </row>
    <row r="306">
      <c r="P306" s="7">
        <f>IFERROR(__xludf.DUMMYFUNCTION("""COMPUTED_VALUE"""),0.9656617359891198)</f>
        <v>0.965661736</v>
      </c>
    </row>
    <row r="307">
      <c r="P307" s="7">
        <f>IFERROR(__xludf.DUMMYFUNCTION("""COMPUTED_VALUE"""),0.932583880063215)</f>
        <v>0.9325838801</v>
      </c>
    </row>
    <row r="308">
      <c r="P308" s="7">
        <f>IFERROR(__xludf.DUMMYFUNCTION("""COMPUTED_VALUE"""),0.9656617359891198)</f>
        <v>0.965661736</v>
      </c>
    </row>
    <row r="309">
      <c r="P309" s="7">
        <f>IFERROR(__xludf.DUMMYFUNCTION("""COMPUTED_VALUE"""),0.9489710662267077)</f>
        <v>0.9489710662</v>
      </c>
    </row>
    <row r="310">
      <c r="P310" s="7">
        <f>IFERROR(__xludf.DUMMYFUNCTION("""COMPUTED_VALUE"""),0.9656617359891198)</f>
        <v>0.965661736</v>
      </c>
    </row>
    <row r="311">
      <c r="P311" s="7">
        <f>IFERROR(__xludf.DUMMYFUNCTION("""COMPUTED_VALUE"""),0.9656617359891198)</f>
        <v>0.965661736</v>
      </c>
    </row>
    <row r="312">
      <c r="P312" s="7">
        <f>IFERROR(__xludf.DUMMYFUNCTION("""COMPUTED_VALUE"""),0.9741244311181435)</f>
        <v>0.9741244311</v>
      </c>
    </row>
    <row r="313">
      <c r="P313" s="7">
        <f>IFERROR(__xludf.DUMMYFUNCTION("""COMPUTED_VALUE"""),1.0)</f>
        <v>1</v>
      </c>
    </row>
    <row r="314">
      <c r="P314" s="7">
        <f>IFERROR(__xludf.DUMMYFUNCTION("""COMPUTED_VALUE"""),0.17943974712085392)</f>
        <v>0.1794397471</v>
      </c>
    </row>
    <row r="315">
      <c r="P315" s="7">
        <f>IFERROR(__xludf.DUMMYFUNCTION("""COMPUTED_VALUE"""),0.2376064064869655)</f>
        <v>0.2376064065</v>
      </c>
    </row>
    <row r="316">
      <c r="P316" s="7">
        <f>IFERROR(__xludf.DUMMYFUNCTION("""COMPUTED_VALUE"""),0.5862977638288356)</f>
        <v>0.5862977638</v>
      </c>
    </row>
    <row r="317">
      <c r="P317" s="7">
        <f>IFERROR(__xludf.DUMMYFUNCTION("""COMPUTED_VALUE"""),0.9741244311181435)</f>
        <v>0.9741244311</v>
      </c>
    </row>
    <row r="318">
      <c r="P318" s="7">
        <f>IFERROR(__xludf.DUMMYFUNCTION("""COMPUTED_VALUE"""),0.6143769946478765)</f>
        <v>0.6143769946</v>
      </c>
    </row>
    <row r="319">
      <c r="P319" s="7">
        <f>IFERROR(__xludf.DUMMYFUNCTION("""COMPUTED_VALUE"""),0.7561650849038561)</f>
        <v>0.7561650849</v>
      </c>
    </row>
    <row r="320">
      <c r="P320" s="7">
        <f>IFERROR(__xludf.DUMMYFUNCTION("""COMPUTED_VALUE"""),0.7298487508009589)</f>
        <v>0.7298487508</v>
      </c>
    </row>
    <row r="321">
      <c r="P321" s="7">
        <f>IFERROR(__xludf.DUMMYFUNCTION("""COMPUTED_VALUE"""),0.7696171317848265)</f>
        <v>0.7696171318</v>
      </c>
    </row>
    <row r="322">
      <c r="P322" s="7">
        <f>IFERROR(__xludf.DUMMYFUNCTION("""COMPUTED_VALUE"""),0.6979984255377447)</f>
        <v>0.6979984255</v>
      </c>
    </row>
    <row r="323">
      <c r="P323" s="7">
        <f>IFERROR(__xludf.DUMMYFUNCTION("""COMPUTED_VALUE"""),1.0)</f>
        <v>1</v>
      </c>
    </row>
    <row r="324">
      <c r="P324" s="7">
        <f>IFERROR(__xludf.DUMMYFUNCTION("""COMPUTED_VALUE"""),1.0)</f>
        <v>1</v>
      </c>
    </row>
    <row r="325">
      <c r="P325" s="7">
        <f>IFERROR(__xludf.DUMMYFUNCTION("""COMPUTED_VALUE"""),0.7764192048974649)</f>
        <v>0.7764192049</v>
      </c>
    </row>
    <row r="326">
      <c r="P326" s="7">
        <f>IFERROR(__xludf.DUMMYFUNCTION("""COMPUTED_VALUE"""),0.9489710662267077)</f>
        <v>0.9489710662</v>
      </c>
    </row>
    <row r="327">
      <c r="P327" s="7">
        <f>IFERROR(__xludf.DUMMYFUNCTION("""COMPUTED_VALUE"""),0.9245006831963039)</f>
        <v>0.9245006832</v>
      </c>
    </row>
    <row r="328">
      <c r="P328" s="7">
        <f>IFERROR(__xludf.DUMMYFUNCTION("""COMPUTED_VALUE"""),0.8698615054736052)</f>
        <v>0.8698615055</v>
      </c>
    </row>
    <row r="329">
      <c r="P329" s="7">
        <f>IFERROR(__xludf.DUMMYFUNCTION("""COMPUTED_VALUE"""),0.854839984257185)</f>
        <v>0.8548399843</v>
      </c>
    </row>
    <row r="330">
      <c r="P330" s="7">
        <f>IFERROR(__xludf.DUMMYFUNCTION("""COMPUTED_VALUE"""),1.0)</f>
        <v>1</v>
      </c>
    </row>
    <row r="331">
      <c r="P331" s="7">
        <f>IFERROR(__xludf.DUMMYFUNCTION("""COMPUTED_VALUE"""),0.9164893379186505)</f>
        <v>0.9164893379</v>
      </c>
    </row>
    <row r="332">
      <c r="P332" s="7">
        <f>IFERROR(__xludf.DUMMYFUNCTION("""COMPUTED_VALUE"""),0.8327669526282987)</f>
        <v>0.8327669526</v>
      </c>
    </row>
    <row r="333">
      <c r="P333" s="7">
        <f>IFERROR(__xludf.DUMMYFUNCTION("""COMPUTED_VALUE"""),0.8255277939545356)</f>
        <v>0.825527794</v>
      </c>
    </row>
    <row r="334">
      <c r="P334" s="7">
        <f>IFERROR(__xludf.DUMMYFUNCTION("""COMPUTED_VALUE"""),0.8698615054736052)</f>
        <v>0.8698615055</v>
      </c>
    </row>
    <row r="335">
      <c r="P335" s="7">
        <f>IFERROR(__xludf.DUMMYFUNCTION("""COMPUTED_VALUE"""),0.9656617359891198)</f>
        <v>0.965661736</v>
      </c>
    </row>
    <row r="336">
      <c r="P336" s="7">
        <f>IFERROR(__xludf.DUMMYFUNCTION("""COMPUTED_VALUE"""),0.9572777647461901)</f>
        <v>0.9572777647</v>
      </c>
    </row>
    <row r="337">
      <c r="P337" s="7">
        <f>IFERROR(__xludf.DUMMYFUNCTION("""COMPUTED_VALUE"""),0.7696171317848265)</f>
        <v>0.7696171318</v>
      </c>
    </row>
    <row r="338">
      <c r="P338" s="7">
        <f>IFERROR(__xludf.DUMMYFUNCTION("""COMPUTED_VALUE"""),0.7696171317848265)</f>
        <v>0.7696171318</v>
      </c>
    </row>
    <row r="339">
      <c r="P339" s="7">
        <f>IFERROR(__xludf.DUMMYFUNCTION("""COMPUTED_VALUE"""),0.885137640833784)</f>
        <v>0.8851376408</v>
      </c>
    </row>
    <row r="340">
      <c r="P340" s="7">
        <f>IFERROR(__xludf.DUMMYFUNCTION("""COMPUTED_VALUE"""),0.877467208072725)</f>
        <v>0.8774672081</v>
      </c>
    </row>
    <row r="341">
      <c r="P341" s="7">
        <f>IFERROR(__xludf.DUMMYFUNCTION("""COMPUTED_VALUE"""),0.8623194496673071)</f>
        <v>0.8623194497</v>
      </c>
    </row>
    <row r="342">
      <c r="P342" s="7">
        <f>IFERROR(__xludf.DUMMYFUNCTION("""COMPUTED_VALUE"""),0.7233880033539699)</f>
        <v>0.7233880034</v>
      </c>
    </row>
    <row r="343">
      <c r="P343" s="7">
        <f>IFERROR(__xludf.DUMMYFUNCTION("""COMPUTED_VALUE"""),0.6316542727859646)</f>
        <v>0.6316542728</v>
      </c>
    </row>
    <row r="344">
      <c r="P344" s="7">
        <f>IFERROR(__xludf.DUMMYFUNCTION("""COMPUTED_VALUE"""),0.46733324865640247)</f>
        <v>0.4673332487</v>
      </c>
    </row>
    <row r="345">
      <c r="P345" s="7">
        <f>IFERROR(__xludf.DUMMYFUNCTION("""COMPUTED_VALUE"""),0.5431148741262674)</f>
        <v>0.5431148741</v>
      </c>
    </row>
    <row r="346">
      <c r="P346" s="7">
        <f>IFERROR(__xludf.DUMMYFUNCTION("""COMPUTED_VALUE"""),0.7832730052985137)</f>
        <v>0.7832730053</v>
      </c>
    </row>
    <row r="347">
      <c r="P347" s="7">
        <f>IFERROR(__xludf.DUMMYFUNCTION("""COMPUTED_VALUE"""),0.7628660110089954)</f>
        <v>0.762866011</v>
      </c>
    </row>
    <row r="348">
      <c r="P348" s="7">
        <f>IFERROR(__xludf.DUMMYFUNCTION("""COMPUTED_VALUE"""),0.7233880033539699)</f>
        <v>0.7233880034</v>
      </c>
    </row>
    <row r="349">
      <c r="P349" s="7">
        <f>IFERROR(__xludf.DUMMYFUNCTION("""COMPUTED_VALUE"""),0.716973240264213)</f>
        <v>0.7169732403</v>
      </c>
    </row>
  </sheetData>
  <drawing r:id="rId1"/>
</worksheet>
</file>