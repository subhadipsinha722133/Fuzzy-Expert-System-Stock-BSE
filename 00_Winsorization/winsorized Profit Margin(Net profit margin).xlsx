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<sst xmlns="http://schemas.openxmlformats.org/spreadsheetml/2006/main" count="89" uniqueCount="46">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</sst>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  <xf borderId="0" fillId="0" fontId="1" numFmtId="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2600325</xdr:colOff>
      <xdr:row>39</xdr:row>
      <xdr:rowOff>95250</xdr:rowOff>
    </xdr:from>
    <xdr:ext cx="9410700" cy="5819775"/>
    <xdr:pic>
      <xdr:nvPicPr>
        <xdr:cNvPr id="132853796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1" t="s">
        <v>12</v>
      </c>
      <c r="B2" s="3">
        <v>31.9425</v>
      </c>
      <c r="C2" s="3">
        <v>30.94</v>
      </c>
      <c r="D2" s="3">
        <v>25.63</v>
      </c>
      <c r="E2" s="3">
        <v>28.88</v>
      </c>
      <c r="F2" s="3">
        <v>31.9425</v>
      </c>
      <c r="G2" s="3">
        <v>31.91</v>
      </c>
      <c r="H2" s="3">
        <v>31.9425</v>
      </c>
      <c r="I2" s="3">
        <v>31.9425</v>
      </c>
      <c r="J2" s="3">
        <v>31.9425</v>
      </c>
      <c r="K2" s="3">
        <v>31.9425</v>
      </c>
      <c r="L2" s="3">
        <v>31.9425</v>
      </c>
      <c r="M2" s="3">
        <v>31.9425</v>
      </c>
    </row>
    <row r="3">
      <c r="A3" s="1" t="s">
        <v>13</v>
      </c>
      <c r="B3" s="3">
        <v>10.52</v>
      </c>
      <c r="C3" s="3">
        <v>15.28</v>
      </c>
      <c r="D3" s="3">
        <v>11.89</v>
      </c>
      <c r="E3" s="3">
        <v>10.49</v>
      </c>
      <c r="F3" s="3">
        <v>14.63</v>
      </c>
      <c r="G3" s="3">
        <v>13.47</v>
      </c>
      <c r="H3" s="3">
        <v>11.26</v>
      </c>
      <c r="I3" s="3">
        <v>12.19</v>
      </c>
      <c r="J3" s="3">
        <v>13.05</v>
      </c>
      <c r="K3" s="3">
        <v>12.39</v>
      </c>
      <c r="L3" s="3">
        <v>10.06</v>
      </c>
      <c r="M3" s="3">
        <v>9.93</v>
      </c>
    </row>
    <row r="4">
      <c r="A4" s="1" t="s">
        <v>14</v>
      </c>
      <c r="B4" s="3">
        <v>22.07</v>
      </c>
      <c r="C4" s="3">
        <v>23.43</v>
      </c>
      <c r="D4" s="3">
        <v>12.41</v>
      </c>
      <c r="E4" s="3">
        <v>20.57</v>
      </c>
      <c r="F4" s="3">
        <v>11.2</v>
      </c>
      <c r="G4" s="3">
        <v>2.94</v>
      </c>
      <c r="H4" s="3">
        <v>9.0</v>
      </c>
      <c r="I4" s="3">
        <v>0.99</v>
      </c>
      <c r="J4" s="3">
        <v>8.78</v>
      </c>
      <c r="K4" s="3">
        <v>20.18</v>
      </c>
      <c r="L4" s="3">
        <v>20.84</v>
      </c>
      <c r="M4" s="3">
        <v>20.52</v>
      </c>
    </row>
    <row r="5">
      <c r="A5" s="1" t="s">
        <v>15</v>
      </c>
      <c r="B5" s="3">
        <v>13.1</v>
      </c>
      <c r="C5" s="3">
        <v>14.12</v>
      </c>
      <c r="D5" s="3">
        <v>14.87</v>
      </c>
      <c r="E5" s="3">
        <v>12.15</v>
      </c>
      <c r="F5" s="3">
        <v>12.15</v>
      </c>
      <c r="G5" s="3">
        <v>11.02</v>
      </c>
      <c r="H5" s="3">
        <v>12.61</v>
      </c>
      <c r="I5" s="3">
        <v>12.7</v>
      </c>
      <c r="J5" s="3">
        <v>14.07</v>
      </c>
      <c r="K5" s="3">
        <v>29.37</v>
      </c>
      <c r="L5" s="3">
        <v>31.75</v>
      </c>
      <c r="M5" s="3">
        <v>31.9425</v>
      </c>
    </row>
    <row r="6">
      <c r="A6" s="1" t="s">
        <v>16</v>
      </c>
      <c r="B6" s="3">
        <v>24.05</v>
      </c>
      <c r="C6" s="3">
        <v>26.27</v>
      </c>
      <c r="D6" s="3">
        <v>27.79</v>
      </c>
      <c r="E6" s="3">
        <v>22.21</v>
      </c>
      <c r="F6" s="3">
        <v>16.57</v>
      </c>
      <c r="G6" s="3">
        <v>19.95</v>
      </c>
      <c r="H6" s="3">
        <v>21.6</v>
      </c>
      <c r="I6" s="3">
        <v>19.89</v>
      </c>
      <c r="J6" s="3">
        <v>18.42</v>
      </c>
      <c r="K6" s="3">
        <v>17.5</v>
      </c>
      <c r="L6" s="3">
        <v>16.68</v>
      </c>
      <c r="M6" s="3">
        <v>17.65</v>
      </c>
    </row>
    <row r="7">
      <c r="A7" s="1" t="s">
        <v>17</v>
      </c>
      <c r="B7" s="3">
        <v>22.24</v>
      </c>
      <c r="C7" s="3">
        <v>19.45</v>
      </c>
      <c r="D7" s="3">
        <v>16.57</v>
      </c>
      <c r="E7" s="3">
        <v>15.32</v>
      </c>
      <c r="F7" s="3">
        <v>14.66</v>
      </c>
      <c r="G7" s="3">
        <v>13.82</v>
      </c>
      <c r="H7" s="3">
        <v>15.19</v>
      </c>
      <c r="I7" s="3">
        <v>13.53</v>
      </c>
      <c r="J7" s="3">
        <v>17.27</v>
      </c>
      <c r="K7" s="3">
        <v>17.72</v>
      </c>
      <c r="L7" s="3">
        <v>16.87</v>
      </c>
      <c r="M7" s="3">
        <v>14.6</v>
      </c>
    </row>
    <row r="8">
      <c r="A8" s="1" t="s">
        <v>18</v>
      </c>
      <c r="B8" s="3">
        <v>19.52</v>
      </c>
      <c r="C8" s="3">
        <v>3.89</v>
      </c>
      <c r="D8" s="4">
        <v>8.29</v>
      </c>
      <c r="E8" s="3">
        <v>5.04</v>
      </c>
      <c r="F8" s="3">
        <v>0.667</v>
      </c>
      <c r="G8" s="3">
        <v>0.667</v>
      </c>
      <c r="H8" s="3">
        <v>1.64</v>
      </c>
      <c r="I8" s="4">
        <v>1.33</v>
      </c>
      <c r="J8" s="3">
        <v>3.34</v>
      </c>
      <c r="K8" s="3">
        <v>6.03</v>
      </c>
      <c r="L8" s="3">
        <v>5.25</v>
      </c>
      <c r="M8" s="3">
        <v>3.51</v>
      </c>
    </row>
    <row r="9">
      <c r="A9" s="1" t="s">
        <v>19</v>
      </c>
      <c r="B9" s="3">
        <v>14.86</v>
      </c>
      <c r="C9" s="3">
        <v>14.29</v>
      </c>
      <c r="D9" s="3">
        <v>14.63</v>
      </c>
      <c r="E9" s="3">
        <v>15.78</v>
      </c>
      <c r="F9" s="3">
        <v>14.81</v>
      </c>
      <c r="G9" s="3">
        <v>15.64</v>
      </c>
      <c r="H9" s="3">
        <v>16.74</v>
      </c>
      <c r="I9" s="3">
        <v>17.22</v>
      </c>
      <c r="J9" s="3">
        <v>18.08</v>
      </c>
      <c r="K9" s="3">
        <v>17.97</v>
      </c>
      <c r="L9" s="3">
        <v>19.89</v>
      </c>
      <c r="M9" s="3">
        <v>20.24</v>
      </c>
    </row>
    <row r="10">
      <c r="A10" s="1" t="s">
        <v>20</v>
      </c>
      <c r="B10" s="3">
        <v>22.41</v>
      </c>
      <c r="C10" s="3">
        <v>23.53</v>
      </c>
      <c r="D10" s="3">
        <v>27.29</v>
      </c>
      <c r="E10" s="3">
        <v>28.93</v>
      </c>
      <c r="F10" s="3">
        <v>25.74</v>
      </c>
      <c r="G10" s="3">
        <v>22.86</v>
      </c>
      <c r="H10" s="3">
        <v>21.29</v>
      </c>
      <c r="I10" s="3">
        <v>21.79</v>
      </c>
      <c r="J10" s="3">
        <v>20.99</v>
      </c>
      <c r="K10" s="3">
        <v>20.41</v>
      </c>
      <c r="L10" s="3">
        <v>21.07</v>
      </c>
      <c r="M10" s="3">
        <v>20.61</v>
      </c>
    </row>
    <row r="11">
      <c r="A11" s="1" t="s">
        <v>21</v>
      </c>
      <c r="B11" s="3">
        <v>16.91</v>
      </c>
      <c r="C11" s="3">
        <v>16.61</v>
      </c>
      <c r="D11" s="3">
        <v>16.74</v>
      </c>
      <c r="E11" s="3">
        <v>16.95</v>
      </c>
      <c r="F11" s="3">
        <v>17.0</v>
      </c>
      <c r="G11" s="3">
        <v>16.98</v>
      </c>
      <c r="H11" s="3">
        <v>15.41</v>
      </c>
      <c r="I11" s="3">
        <v>14.7</v>
      </c>
      <c r="J11" s="3">
        <v>13.53</v>
      </c>
      <c r="K11" s="3">
        <v>12.92</v>
      </c>
      <c r="L11" s="3">
        <v>13.68</v>
      </c>
      <c r="M11" s="3">
        <v>13.53</v>
      </c>
    </row>
    <row r="12">
      <c r="A12" s="1" t="s">
        <v>22</v>
      </c>
      <c r="B12" s="3">
        <v>29.2</v>
      </c>
      <c r="C12" s="3">
        <v>28.21</v>
      </c>
      <c r="D12" s="3">
        <v>28.46</v>
      </c>
      <c r="E12" s="3">
        <v>27.02</v>
      </c>
      <c r="F12" s="3">
        <v>22.67</v>
      </c>
      <c r="G12" s="3">
        <v>13.23</v>
      </c>
      <c r="H12" s="3">
        <v>7.9</v>
      </c>
      <c r="I12" s="3">
        <v>14.63</v>
      </c>
      <c r="J12" s="3">
        <v>18.6</v>
      </c>
      <c r="K12" s="3">
        <v>18.42</v>
      </c>
      <c r="L12" s="3">
        <v>23.54</v>
      </c>
      <c r="M12" s="3">
        <v>23.6</v>
      </c>
    </row>
    <row r="13">
      <c r="A13" s="1" t="s">
        <v>23</v>
      </c>
      <c r="B13" s="3">
        <v>16.41</v>
      </c>
      <c r="C13" s="3">
        <v>17.08</v>
      </c>
      <c r="D13" s="3">
        <v>16.42</v>
      </c>
      <c r="E13" s="3">
        <v>18.2</v>
      </c>
      <c r="F13" s="3">
        <v>19.33</v>
      </c>
      <c r="G13" s="3">
        <v>18.32</v>
      </c>
      <c r="H13" s="3">
        <v>18.63</v>
      </c>
      <c r="I13" s="3">
        <v>22.82</v>
      </c>
      <c r="J13" s="3">
        <v>21.0</v>
      </c>
      <c r="K13" s="3">
        <v>21.6</v>
      </c>
      <c r="L13" s="3">
        <v>23.2</v>
      </c>
      <c r="M13" s="3">
        <v>21.25</v>
      </c>
    </row>
    <row r="14">
      <c r="A14" s="1" t="s">
        <v>24</v>
      </c>
      <c r="B14" s="3">
        <v>31.9425</v>
      </c>
      <c r="C14" s="3">
        <v>29.23</v>
      </c>
      <c r="D14" s="3">
        <v>27.38</v>
      </c>
      <c r="E14" s="3">
        <v>25.52</v>
      </c>
      <c r="F14" s="3">
        <v>27.17</v>
      </c>
      <c r="G14" s="3">
        <v>31.54</v>
      </c>
      <c r="H14" s="3">
        <v>26.52</v>
      </c>
      <c r="I14" s="3">
        <v>26.43</v>
      </c>
      <c r="J14" s="3">
        <v>24.47</v>
      </c>
      <c r="K14" s="3">
        <v>24.22</v>
      </c>
      <c r="L14" s="3">
        <v>25.14</v>
      </c>
      <c r="M14" s="3">
        <v>25.45</v>
      </c>
    </row>
    <row r="15">
      <c r="A15" s="1" t="s">
        <v>25</v>
      </c>
      <c r="B15" s="3">
        <v>31.9425</v>
      </c>
      <c r="C15" s="3">
        <v>31.9425</v>
      </c>
      <c r="D15" s="3">
        <v>31.9425</v>
      </c>
      <c r="E15" s="3">
        <v>31.9425</v>
      </c>
      <c r="F15" s="3">
        <v>30.17</v>
      </c>
      <c r="G15" s="3">
        <v>25.71</v>
      </c>
      <c r="H15" s="3">
        <v>23.78</v>
      </c>
      <c r="I15" s="3">
        <v>24.46</v>
      </c>
      <c r="J15" s="3">
        <v>22.17</v>
      </c>
      <c r="K15" s="3">
        <v>16.81</v>
      </c>
      <c r="L15" s="3">
        <v>23.01</v>
      </c>
      <c r="M15" s="3">
        <v>20.95</v>
      </c>
    </row>
    <row r="16">
      <c r="A16" s="1" t="s">
        <v>26</v>
      </c>
      <c r="B16" s="3">
        <v>6.91</v>
      </c>
      <c r="C16" s="3">
        <v>7.04</v>
      </c>
      <c r="D16" s="3">
        <v>6.88</v>
      </c>
      <c r="E16" s="3">
        <v>6.57</v>
      </c>
      <c r="F16" s="3">
        <v>9.49</v>
      </c>
      <c r="G16" s="3">
        <v>7.44</v>
      </c>
      <c r="H16" s="3">
        <v>7.57</v>
      </c>
      <c r="I16" s="3">
        <v>7.05</v>
      </c>
      <c r="J16" s="3">
        <v>6.29</v>
      </c>
      <c r="K16" s="3">
        <v>5.47</v>
      </c>
      <c r="L16" s="3">
        <v>5.36</v>
      </c>
      <c r="M16" s="3">
        <v>5.7</v>
      </c>
    </row>
    <row r="17">
      <c r="A17" s="1" t="s">
        <v>27</v>
      </c>
      <c r="B17" s="3">
        <v>7.89</v>
      </c>
      <c r="C17" s="3">
        <v>8.06</v>
      </c>
      <c r="D17" s="3">
        <v>8.13</v>
      </c>
      <c r="E17" s="3">
        <v>5.98</v>
      </c>
      <c r="F17" s="3">
        <v>0.667</v>
      </c>
      <c r="G17" s="3">
        <v>0.667</v>
      </c>
      <c r="H17" s="3">
        <v>4.44</v>
      </c>
      <c r="I17" s="3">
        <v>7.43</v>
      </c>
      <c r="J17" s="3">
        <v>3.76</v>
      </c>
      <c r="K17" s="3">
        <v>3.57</v>
      </c>
      <c r="L17" s="3">
        <v>3.6</v>
      </c>
      <c r="M17" s="3">
        <v>5.84</v>
      </c>
    </row>
    <row r="18">
      <c r="A18" s="1" t="s">
        <v>28</v>
      </c>
      <c r="B18" s="3">
        <v>9.32</v>
      </c>
      <c r="C18" s="3">
        <v>9.32</v>
      </c>
      <c r="D18" s="3">
        <v>6.83</v>
      </c>
      <c r="E18" s="3">
        <v>4.2</v>
      </c>
      <c r="F18" s="3">
        <v>5.99</v>
      </c>
      <c r="G18" s="3">
        <v>7.34</v>
      </c>
      <c r="H18" s="3">
        <v>8.7</v>
      </c>
      <c r="I18" s="3">
        <v>9.66</v>
      </c>
      <c r="J18" s="3">
        <v>10.77</v>
      </c>
      <c r="K18" s="3">
        <v>9.33</v>
      </c>
      <c r="L18" s="3">
        <v>7.46</v>
      </c>
      <c r="M18" s="3">
        <v>6.37</v>
      </c>
    </row>
    <row r="19">
      <c r="A19" s="1" t="s">
        <v>29</v>
      </c>
      <c r="B19" s="3">
        <v>11.55</v>
      </c>
      <c r="C19" s="3">
        <v>11.03</v>
      </c>
      <c r="D19" s="3">
        <v>9.27</v>
      </c>
      <c r="E19" s="3">
        <v>12.01</v>
      </c>
      <c r="F19" s="3">
        <v>12.8</v>
      </c>
      <c r="G19" s="3">
        <v>10.5</v>
      </c>
      <c r="H19" s="3">
        <v>13.32</v>
      </c>
      <c r="I19" s="3">
        <v>11.41</v>
      </c>
      <c r="J19" s="3">
        <v>12.29</v>
      </c>
      <c r="K19" s="3">
        <v>14.49</v>
      </c>
      <c r="L19" s="3">
        <v>12.39</v>
      </c>
      <c r="M19" s="3">
        <v>14.44</v>
      </c>
    </row>
    <row r="20">
      <c r="A20" s="1" t="s">
        <v>30</v>
      </c>
      <c r="B20" s="3">
        <v>31.9425</v>
      </c>
      <c r="C20" s="3">
        <v>31.9425</v>
      </c>
      <c r="D20" s="3">
        <v>31.9425</v>
      </c>
      <c r="E20" s="3">
        <v>31.9425</v>
      </c>
      <c r="F20" s="3">
        <v>29.82</v>
      </c>
      <c r="G20" s="3">
        <v>28.89</v>
      </c>
      <c r="H20" s="3">
        <v>28.25</v>
      </c>
      <c r="I20" s="3">
        <v>26.89</v>
      </c>
      <c r="J20" s="3">
        <v>28.44</v>
      </c>
      <c r="K20" s="3">
        <v>28.29</v>
      </c>
      <c r="L20" s="3">
        <v>28.57</v>
      </c>
      <c r="M20" s="3">
        <v>29.01</v>
      </c>
    </row>
    <row r="21">
      <c r="A21" s="1" t="s">
        <v>31</v>
      </c>
      <c r="B21" s="3">
        <v>8.37</v>
      </c>
      <c r="C21" s="3">
        <v>8.72</v>
      </c>
      <c r="D21" s="3">
        <v>8.43</v>
      </c>
      <c r="E21" s="3">
        <v>9.65</v>
      </c>
      <c r="F21" s="3">
        <v>11.39</v>
      </c>
      <c r="G21" s="3">
        <v>6.65</v>
      </c>
      <c r="H21" s="3">
        <v>6.98</v>
      </c>
      <c r="I21" s="3">
        <v>9.19</v>
      </c>
      <c r="J21" s="3">
        <v>9.8</v>
      </c>
      <c r="K21" s="3">
        <v>10.81</v>
      </c>
      <c r="L21" s="3">
        <v>6.29</v>
      </c>
      <c r="M21" s="3">
        <v>5.18</v>
      </c>
    </row>
    <row r="22">
      <c r="A22" s="1" t="s">
        <v>32</v>
      </c>
      <c r="B22" s="3">
        <v>16.09</v>
      </c>
      <c r="C22" s="3">
        <v>15.51</v>
      </c>
      <c r="D22" s="3">
        <v>16.12</v>
      </c>
      <c r="E22" s="3">
        <v>12.53</v>
      </c>
      <c r="F22" s="3">
        <v>8.73</v>
      </c>
      <c r="G22" s="3">
        <v>6.73</v>
      </c>
      <c r="H22" s="3">
        <v>1.21</v>
      </c>
      <c r="I22" s="3">
        <v>0.667</v>
      </c>
      <c r="J22" s="3">
        <v>0.667</v>
      </c>
      <c r="K22" s="3">
        <v>5.77</v>
      </c>
      <c r="L22" s="3">
        <v>8.42</v>
      </c>
      <c r="M22" s="3">
        <v>7.66</v>
      </c>
    </row>
    <row r="23">
      <c r="A23" s="1" t="s">
        <v>33</v>
      </c>
      <c r="B23" s="3">
        <v>20.88</v>
      </c>
      <c r="C23" s="3">
        <v>19.89</v>
      </c>
      <c r="D23" s="3">
        <v>19.5</v>
      </c>
      <c r="E23" s="3">
        <v>8.81</v>
      </c>
      <c r="F23" s="3">
        <v>6.82</v>
      </c>
      <c r="G23" s="3">
        <v>12.75</v>
      </c>
      <c r="H23" s="3">
        <v>11.04</v>
      </c>
      <c r="I23" s="3">
        <v>9.97</v>
      </c>
      <c r="J23" s="3">
        <v>25.02</v>
      </c>
      <c r="K23" s="3">
        <v>19.85</v>
      </c>
      <c r="L23" s="3">
        <v>20.0</v>
      </c>
      <c r="M23" s="3">
        <v>24.12</v>
      </c>
    </row>
    <row r="24">
      <c r="A24" s="1" t="s">
        <v>34</v>
      </c>
      <c r="B24" s="3">
        <v>6.33</v>
      </c>
      <c r="C24" s="3">
        <v>7.1</v>
      </c>
      <c r="D24" s="3">
        <v>0.68</v>
      </c>
      <c r="E24" s="3">
        <v>0.667</v>
      </c>
      <c r="F24" s="3">
        <v>0.667</v>
      </c>
      <c r="G24" s="3">
        <v>0.667</v>
      </c>
      <c r="H24" s="3">
        <v>0.667</v>
      </c>
      <c r="I24" s="3">
        <v>2.31</v>
      </c>
      <c r="J24" s="3">
        <v>2.24</v>
      </c>
      <c r="K24" s="3">
        <v>4.06</v>
      </c>
      <c r="L24" s="3">
        <v>5.35</v>
      </c>
      <c r="M24" s="3">
        <v>6.05</v>
      </c>
    </row>
    <row r="25">
      <c r="A25" s="1" t="s">
        <v>35</v>
      </c>
      <c r="B25" s="3">
        <v>1.36</v>
      </c>
      <c r="C25" s="3">
        <v>0.667</v>
      </c>
      <c r="D25" s="3">
        <v>3.14</v>
      </c>
      <c r="E25" s="3">
        <v>16.84</v>
      </c>
      <c r="F25" s="3">
        <v>5.02</v>
      </c>
      <c r="G25" s="3">
        <v>0.667</v>
      </c>
      <c r="H25" s="3">
        <v>5.62</v>
      </c>
      <c r="I25" s="3">
        <v>13.3</v>
      </c>
      <c r="J25" s="3">
        <v>0.667</v>
      </c>
      <c r="K25" s="3">
        <v>0.667</v>
      </c>
      <c r="L25" s="3">
        <v>0.667</v>
      </c>
      <c r="M25" s="3">
        <v>2.46</v>
      </c>
    </row>
    <row r="26">
      <c r="A26" s="1" t="s">
        <v>36</v>
      </c>
      <c r="B26" s="3">
        <v>19.11</v>
      </c>
      <c r="C26" s="3">
        <v>19.13</v>
      </c>
      <c r="D26" s="3">
        <v>18.76</v>
      </c>
      <c r="E26" s="3">
        <v>20.05</v>
      </c>
      <c r="F26" s="3">
        <v>19.83</v>
      </c>
      <c r="G26" s="3">
        <v>20.67</v>
      </c>
      <c r="H26" s="3">
        <v>21.54</v>
      </c>
      <c r="I26" s="3">
        <v>21.02</v>
      </c>
      <c r="J26" s="3">
        <v>22.34</v>
      </c>
      <c r="K26" s="3">
        <v>22.4</v>
      </c>
      <c r="L26" s="3">
        <v>21.19</v>
      </c>
      <c r="M26" s="3">
        <v>23.63</v>
      </c>
    </row>
    <row r="27">
      <c r="A27" s="1" t="s">
        <v>37</v>
      </c>
      <c r="B27" s="3">
        <v>8.01</v>
      </c>
      <c r="C27" s="3">
        <v>4.58</v>
      </c>
      <c r="D27" s="3">
        <v>9.16</v>
      </c>
      <c r="E27" s="3">
        <v>12.6</v>
      </c>
      <c r="F27" s="3">
        <v>11.49</v>
      </c>
      <c r="G27" s="3">
        <v>10.58</v>
      </c>
      <c r="H27" s="3">
        <v>12.53</v>
      </c>
      <c r="I27" s="3">
        <v>12.3</v>
      </c>
      <c r="J27" s="3">
        <v>9.79</v>
      </c>
      <c r="K27" s="3">
        <v>11.41</v>
      </c>
      <c r="L27" s="3">
        <v>11.75</v>
      </c>
      <c r="M27" s="3">
        <v>16.26</v>
      </c>
    </row>
    <row r="28">
      <c r="A28" s="1" t="s">
        <v>38</v>
      </c>
      <c r="B28" s="3">
        <v>5.51</v>
      </c>
      <c r="C28" s="3">
        <v>6.84</v>
      </c>
      <c r="D28" s="3">
        <v>8.06</v>
      </c>
      <c r="E28" s="3">
        <v>7.63</v>
      </c>
      <c r="F28" s="3">
        <v>4.52</v>
      </c>
      <c r="G28" s="3">
        <v>7.1</v>
      </c>
      <c r="H28" s="3">
        <v>7.03</v>
      </c>
      <c r="I28" s="3">
        <v>6.85</v>
      </c>
      <c r="J28" s="3">
        <v>5.27</v>
      </c>
      <c r="K28" s="3">
        <v>5.99</v>
      </c>
      <c r="L28" s="3">
        <v>6.85</v>
      </c>
      <c r="M28" s="3">
        <v>6.72</v>
      </c>
    </row>
    <row r="29">
      <c r="A29" s="1" t="s">
        <v>39</v>
      </c>
      <c r="B29" s="3">
        <v>8.45</v>
      </c>
      <c r="C29" s="3">
        <v>10.94</v>
      </c>
      <c r="D29" s="3">
        <v>3.76</v>
      </c>
      <c r="E29" s="3">
        <v>0.667</v>
      </c>
      <c r="F29" s="3">
        <v>0.667</v>
      </c>
      <c r="G29" s="3">
        <v>3.91</v>
      </c>
      <c r="H29" s="3">
        <v>4.04</v>
      </c>
      <c r="I29" s="3">
        <v>5.08</v>
      </c>
      <c r="J29" s="3">
        <v>5.18</v>
      </c>
      <c r="K29" s="3">
        <v>2.95</v>
      </c>
      <c r="L29" s="3">
        <v>5.66</v>
      </c>
      <c r="M29" s="3">
        <v>0.667</v>
      </c>
    </row>
    <row r="30">
      <c r="A30" s="1" t="s">
        <v>40</v>
      </c>
      <c r="B30" s="3">
        <v>7.96</v>
      </c>
      <c r="C30" s="3">
        <v>9.84</v>
      </c>
      <c r="D30" s="3">
        <v>8.01</v>
      </c>
      <c r="E30" s="3">
        <v>13.94</v>
      </c>
      <c r="F30" s="3">
        <v>12.2</v>
      </c>
      <c r="G30" s="3">
        <v>13.55</v>
      </c>
      <c r="H30" s="3">
        <v>5.76</v>
      </c>
      <c r="I30" s="3">
        <v>7.18</v>
      </c>
      <c r="J30" s="3">
        <v>10.69</v>
      </c>
      <c r="K30" s="3">
        <v>9.85</v>
      </c>
      <c r="L30" s="3">
        <v>8.63</v>
      </c>
      <c r="M30" s="3">
        <v>10.21</v>
      </c>
    </row>
    <row r="34">
      <c r="A34" s="5" t="s">
        <v>41</v>
      </c>
      <c r="B34" s="3">
        <f>MIN(B2:N30)</f>
        <v>0.667</v>
      </c>
    </row>
    <row r="35">
      <c r="A35" s="5" t="s">
        <v>42</v>
      </c>
      <c r="B35" s="3">
        <f>MAX(B2:N30)</f>
        <v>31.9425</v>
      </c>
    </row>
    <row r="38">
      <c r="A38" s="5" t="s">
        <v>43</v>
      </c>
      <c r="B38" s="6">
        <f>PERCENTILE(B2:M30, 0.05)</f>
        <v>0.67155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 t="s">
        <v>44</v>
      </c>
      <c r="B39" s="6">
        <f>PERCENTILE(B2:M30, 0.95)</f>
        <v>31.931125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6">
        <f t="shared" ref="B42:N42" si="1">MEDIAN(B2, $B$38, $B$39)</f>
        <v>31.931125</v>
      </c>
      <c r="C42" s="6">
        <f t="shared" si="1"/>
        <v>30.94</v>
      </c>
      <c r="D42" s="6">
        <f t="shared" si="1"/>
        <v>25.63</v>
      </c>
      <c r="E42" s="6">
        <f t="shared" si="1"/>
        <v>28.88</v>
      </c>
      <c r="F42" s="6">
        <f t="shared" si="1"/>
        <v>31.931125</v>
      </c>
      <c r="G42" s="6">
        <f t="shared" si="1"/>
        <v>31.91</v>
      </c>
      <c r="H42" s="6">
        <f t="shared" si="1"/>
        <v>31.931125</v>
      </c>
      <c r="I42" s="6">
        <f t="shared" si="1"/>
        <v>31.931125</v>
      </c>
      <c r="J42" s="6">
        <f t="shared" si="1"/>
        <v>31.931125</v>
      </c>
      <c r="K42" s="6">
        <f t="shared" si="1"/>
        <v>31.931125</v>
      </c>
      <c r="L42" s="6">
        <f t="shared" si="1"/>
        <v>31.931125</v>
      </c>
      <c r="M42" s="6">
        <f t="shared" si="1"/>
        <v>31.931125</v>
      </c>
      <c r="N42" s="6">
        <f t="shared" si="1"/>
        <v>16.3013375</v>
      </c>
    </row>
    <row r="43">
      <c r="A43" s="5"/>
      <c r="B43" s="6">
        <f t="shared" ref="B43:N43" si="2">MEDIAN(B3, $B$38, $B$39)</f>
        <v>10.52</v>
      </c>
      <c r="C43" s="6">
        <f t="shared" si="2"/>
        <v>15.28</v>
      </c>
      <c r="D43" s="6">
        <f t="shared" si="2"/>
        <v>11.89</v>
      </c>
      <c r="E43" s="6">
        <f t="shared" si="2"/>
        <v>10.49</v>
      </c>
      <c r="F43" s="6">
        <f t="shared" si="2"/>
        <v>14.63</v>
      </c>
      <c r="G43" s="6">
        <f t="shared" si="2"/>
        <v>13.47</v>
      </c>
      <c r="H43" s="6">
        <f t="shared" si="2"/>
        <v>11.26</v>
      </c>
      <c r="I43" s="6">
        <f t="shared" si="2"/>
        <v>12.19</v>
      </c>
      <c r="J43" s="6">
        <f t="shared" si="2"/>
        <v>13.05</v>
      </c>
      <c r="K43" s="6">
        <f t="shared" si="2"/>
        <v>12.39</v>
      </c>
      <c r="L43" s="6">
        <f t="shared" si="2"/>
        <v>10.06</v>
      </c>
      <c r="M43" s="6">
        <f t="shared" si="2"/>
        <v>9.93</v>
      </c>
      <c r="N43" s="6">
        <f t="shared" si="2"/>
        <v>16.3013375</v>
      </c>
    </row>
    <row r="44">
      <c r="A44" s="5"/>
      <c r="B44" s="6">
        <f t="shared" ref="B44:N44" si="3">MEDIAN(B4, $B$38, $B$39)</f>
        <v>22.07</v>
      </c>
      <c r="C44" s="6">
        <f t="shared" si="3"/>
        <v>23.43</v>
      </c>
      <c r="D44" s="6">
        <f t="shared" si="3"/>
        <v>12.41</v>
      </c>
      <c r="E44" s="6">
        <f t="shared" si="3"/>
        <v>20.57</v>
      </c>
      <c r="F44" s="6">
        <f t="shared" si="3"/>
        <v>11.2</v>
      </c>
      <c r="G44" s="6">
        <f t="shared" si="3"/>
        <v>2.94</v>
      </c>
      <c r="H44" s="6">
        <f t="shared" si="3"/>
        <v>9</v>
      </c>
      <c r="I44" s="6">
        <f t="shared" si="3"/>
        <v>0.99</v>
      </c>
      <c r="J44" s="6">
        <f t="shared" si="3"/>
        <v>8.78</v>
      </c>
      <c r="K44" s="6">
        <f t="shared" si="3"/>
        <v>20.18</v>
      </c>
      <c r="L44" s="6">
        <f t="shared" si="3"/>
        <v>20.84</v>
      </c>
      <c r="M44" s="6">
        <f t="shared" si="3"/>
        <v>20.52</v>
      </c>
      <c r="N44" s="6">
        <f t="shared" si="3"/>
        <v>16.3013375</v>
      </c>
    </row>
    <row r="45">
      <c r="A45" s="5"/>
      <c r="B45" s="6">
        <f t="shared" ref="B45:N45" si="4">MEDIAN(B5, $B$38, $B$39)</f>
        <v>13.1</v>
      </c>
      <c r="C45" s="6">
        <f t="shared" si="4"/>
        <v>14.12</v>
      </c>
      <c r="D45" s="6">
        <f t="shared" si="4"/>
        <v>14.87</v>
      </c>
      <c r="E45" s="6">
        <f t="shared" si="4"/>
        <v>12.15</v>
      </c>
      <c r="F45" s="6">
        <f t="shared" si="4"/>
        <v>12.15</v>
      </c>
      <c r="G45" s="6">
        <f t="shared" si="4"/>
        <v>11.02</v>
      </c>
      <c r="H45" s="6">
        <f t="shared" si="4"/>
        <v>12.61</v>
      </c>
      <c r="I45" s="6">
        <f t="shared" si="4"/>
        <v>12.7</v>
      </c>
      <c r="J45" s="6">
        <f t="shared" si="4"/>
        <v>14.07</v>
      </c>
      <c r="K45" s="6">
        <f t="shared" si="4"/>
        <v>29.37</v>
      </c>
      <c r="L45" s="6">
        <f t="shared" si="4"/>
        <v>31.75</v>
      </c>
      <c r="M45" s="6">
        <f t="shared" si="4"/>
        <v>31.931125</v>
      </c>
      <c r="N45" s="6">
        <f t="shared" si="4"/>
        <v>16.3013375</v>
      </c>
    </row>
    <row r="46">
      <c r="A46" s="5"/>
      <c r="B46" s="6">
        <f t="shared" ref="B46:N46" si="5">MEDIAN(B6, $B$38, $B$39)</f>
        <v>24.05</v>
      </c>
      <c r="C46" s="6">
        <f t="shared" si="5"/>
        <v>26.27</v>
      </c>
      <c r="D46" s="6">
        <f t="shared" si="5"/>
        <v>27.79</v>
      </c>
      <c r="E46" s="6">
        <f t="shared" si="5"/>
        <v>22.21</v>
      </c>
      <c r="F46" s="6">
        <f t="shared" si="5"/>
        <v>16.57</v>
      </c>
      <c r="G46" s="6">
        <f t="shared" si="5"/>
        <v>19.95</v>
      </c>
      <c r="H46" s="6">
        <f t="shared" si="5"/>
        <v>21.6</v>
      </c>
      <c r="I46" s="6">
        <f t="shared" si="5"/>
        <v>19.89</v>
      </c>
      <c r="J46" s="6">
        <f t="shared" si="5"/>
        <v>18.42</v>
      </c>
      <c r="K46" s="6">
        <f t="shared" si="5"/>
        <v>17.5</v>
      </c>
      <c r="L46" s="6">
        <f t="shared" si="5"/>
        <v>16.68</v>
      </c>
      <c r="M46" s="6">
        <f t="shared" si="5"/>
        <v>17.65</v>
      </c>
      <c r="N46" s="6">
        <f t="shared" si="5"/>
        <v>16.3013375</v>
      </c>
    </row>
    <row r="47">
      <c r="A47" s="5"/>
      <c r="B47" s="6">
        <f t="shared" ref="B47:N47" si="6">MEDIAN(B7, $B$38, $B$39)</f>
        <v>22.24</v>
      </c>
      <c r="C47" s="6">
        <f t="shared" si="6"/>
        <v>19.45</v>
      </c>
      <c r="D47" s="6">
        <f t="shared" si="6"/>
        <v>16.57</v>
      </c>
      <c r="E47" s="6">
        <f t="shared" si="6"/>
        <v>15.32</v>
      </c>
      <c r="F47" s="6">
        <f t="shared" si="6"/>
        <v>14.66</v>
      </c>
      <c r="G47" s="6">
        <f t="shared" si="6"/>
        <v>13.82</v>
      </c>
      <c r="H47" s="6">
        <f t="shared" si="6"/>
        <v>15.19</v>
      </c>
      <c r="I47" s="6">
        <f t="shared" si="6"/>
        <v>13.53</v>
      </c>
      <c r="J47" s="6">
        <f t="shared" si="6"/>
        <v>17.27</v>
      </c>
      <c r="K47" s="6">
        <f t="shared" si="6"/>
        <v>17.72</v>
      </c>
      <c r="L47" s="6">
        <f t="shared" si="6"/>
        <v>16.87</v>
      </c>
      <c r="M47" s="6">
        <f t="shared" si="6"/>
        <v>14.6</v>
      </c>
      <c r="N47" s="6">
        <f t="shared" si="6"/>
        <v>16.3013375</v>
      </c>
    </row>
    <row r="48">
      <c r="A48" s="5"/>
      <c r="B48" s="6">
        <f t="shared" ref="B48:N48" si="7">MEDIAN(B8, $B$38, $B$39)</f>
        <v>19.52</v>
      </c>
      <c r="C48" s="6">
        <f t="shared" si="7"/>
        <v>3.89</v>
      </c>
      <c r="D48" s="7">
        <f t="shared" si="7"/>
        <v>8.29</v>
      </c>
      <c r="E48" s="6">
        <f t="shared" si="7"/>
        <v>5.04</v>
      </c>
      <c r="F48" s="6">
        <f t="shared" si="7"/>
        <v>0.67155</v>
      </c>
      <c r="G48" s="6">
        <f t="shared" si="7"/>
        <v>0.67155</v>
      </c>
      <c r="H48" s="6">
        <f t="shared" si="7"/>
        <v>1.64</v>
      </c>
      <c r="I48" s="7">
        <f t="shared" si="7"/>
        <v>1.33</v>
      </c>
      <c r="J48" s="6">
        <f t="shared" si="7"/>
        <v>3.34</v>
      </c>
      <c r="K48" s="6">
        <f t="shared" si="7"/>
        <v>6.03</v>
      </c>
      <c r="L48" s="6">
        <f t="shared" si="7"/>
        <v>5.25</v>
      </c>
      <c r="M48" s="6">
        <f t="shared" si="7"/>
        <v>3.51</v>
      </c>
      <c r="N48" s="6">
        <f t="shared" si="7"/>
        <v>16.3013375</v>
      </c>
    </row>
    <row r="49">
      <c r="A49" s="5"/>
      <c r="B49" s="6">
        <f t="shared" ref="B49:N49" si="8">MEDIAN(B9, $B$38, $B$39)</f>
        <v>14.86</v>
      </c>
      <c r="C49" s="6">
        <f t="shared" si="8"/>
        <v>14.29</v>
      </c>
      <c r="D49" s="6">
        <f t="shared" si="8"/>
        <v>14.63</v>
      </c>
      <c r="E49" s="6">
        <f t="shared" si="8"/>
        <v>15.78</v>
      </c>
      <c r="F49" s="6">
        <f t="shared" si="8"/>
        <v>14.81</v>
      </c>
      <c r="G49" s="6">
        <f t="shared" si="8"/>
        <v>15.64</v>
      </c>
      <c r="H49" s="6">
        <f t="shared" si="8"/>
        <v>16.74</v>
      </c>
      <c r="I49" s="6">
        <f t="shared" si="8"/>
        <v>17.22</v>
      </c>
      <c r="J49" s="6">
        <f t="shared" si="8"/>
        <v>18.08</v>
      </c>
      <c r="K49" s="6">
        <f t="shared" si="8"/>
        <v>17.97</v>
      </c>
      <c r="L49" s="6">
        <f t="shared" si="8"/>
        <v>19.89</v>
      </c>
      <c r="M49" s="6">
        <f t="shared" si="8"/>
        <v>20.24</v>
      </c>
      <c r="N49" s="6">
        <f t="shared" si="8"/>
        <v>16.3013375</v>
      </c>
    </row>
    <row r="50">
      <c r="A50" s="5"/>
      <c r="B50" s="6">
        <f t="shared" ref="B50:N50" si="9">MEDIAN(B10, $B$38, $B$39)</f>
        <v>22.41</v>
      </c>
      <c r="C50" s="6">
        <f t="shared" si="9"/>
        <v>23.53</v>
      </c>
      <c r="D50" s="6">
        <f t="shared" si="9"/>
        <v>27.29</v>
      </c>
      <c r="E50" s="6">
        <f t="shared" si="9"/>
        <v>28.93</v>
      </c>
      <c r="F50" s="6">
        <f t="shared" si="9"/>
        <v>25.74</v>
      </c>
      <c r="G50" s="6">
        <f t="shared" si="9"/>
        <v>22.86</v>
      </c>
      <c r="H50" s="6">
        <f t="shared" si="9"/>
        <v>21.29</v>
      </c>
      <c r="I50" s="6">
        <f t="shared" si="9"/>
        <v>21.79</v>
      </c>
      <c r="J50" s="6">
        <f t="shared" si="9"/>
        <v>20.99</v>
      </c>
      <c r="K50" s="6">
        <f t="shared" si="9"/>
        <v>20.41</v>
      </c>
      <c r="L50" s="6">
        <f t="shared" si="9"/>
        <v>21.07</v>
      </c>
      <c r="M50" s="6">
        <f t="shared" si="9"/>
        <v>20.61</v>
      </c>
      <c r="N50" s="6">
        <f t="shared" si="9"/>
        <v>16.3013375</v>
      </c>
    </row>
    <row r="51">
      <c r="A51" s="5"/>
      <c r="B51" s="6">
        <f t="shared" ref="B51:N51" si="10">MEDIAN(B11, $B$38, $B$39)</f>
        <v>16.91</v>
      </c>
      <c r="C51" s="6">
        <f t="shared" si="10"/>
        <v>16.61</v>
      </c>
      <c r="D51" s="6">
        <f t="shared" si="10"/>
        <v>16.74</v>
      </c>
      <c r="E51" s="6">
        <f t="shared" si="10"/>
        <v>16.95</v>
      </c>
      <c r="F51" s="6">
        <f t="shared" si="10"/>
        <v>17</v>
      </c>
      <c r="G51" s="6">
        <f t="shared" si="10"/>
        <v>16.98</v>
      </c>
      <c r="H51" s="6">
        <f t="shared" si="10"/>
        <v>15.41</v>
      </c>
      <c r="I51" s="6">
        <f t="shared" si="10"/>
        <v>14.7</v>
      </c>
      <c r="J51" s="6">
        <f t="shared" si="10"/>
        <v>13.53</v>
      </c>
      <c r="K51" s="6">
        <f t="shared" si="10"/>
        <v>12.92</v>
      </c>
      <c r="L51" s="6">
        <f t="shared" si="10"/>
        <v>13.68</v>
      </c>
      <c r="M51" s="6">
        <f t="shared" si="10"/>
        <v>13.53</v>
      </c>
      <c r="N51" s="6">
        <f t="shared" si="10"/>
        <v>16.3013375</v>
      </c>
    </row>
    <row r="52">
      <c r="A52" s="5"/>
      <c r="B52" s="6">
        <f t="shared" ref="B52:N52" si="11">MEDIAN(B12, $B$38, $B$39)</f>
        <v>29.2</v>
      </c>
      <c r="C52" s="6">
        <f t="shared" si="11"/>
        <v>28.21</v>
      </c>
      <c r="D52" s="6">
        <f t="shared" si="11"/>
        <v>28.46</v>
      </c>
      <c r="E52" s="6">
        <f t="shared" si="11"/>
        <v>27.02</v>
      </c>
      <c r="F52" s="6">
        <f t="shared" si="11"/>
        <v>22.67</v>
      </c>
      <c r="G52" s="6">
        <f t="shared" si="11"/>
        <v>13.23</v>
      </c>
      <c r="H52" s="6">
        <f t="shared" si="11"/>
        <v>7.9</v>
      </c>
      <c r="I52" s="6">
        <f t="shared" si="11"/>
        <v>14.63</v>
      </c>
      <c r="J52" s="6">
        <f t="shared" si="11"/>
        <v>18.6</v>
      </c>
      <c r="K52" s="6">
        <f t="shared" si="11"/>
        <v>18.42</v>
      </c>
      <c r="L52" s="6">
        <f t="shared" si="11"/>
        <v>23.54</v>
      </c>
      <c r="M52" s="6">
        <f t="shared" si="11"/>
        <v>23.6</v>
      </c>
      <c r="N52" s="6">
        <f t="shared" si="11"/>
        <v>16.3013375</v>
      </c>
    </row>
    <row r="53">
      <c r="A53" s="5"/>
      <c r="B53" s="6">
        <f t="shared" ref="B53:N53" si="12">MEDIAN(B13, $B$38, $B$39)</f>
        <v>16.41</v>
      </c>
      <c r="C53" s="6">
        <f t="shared" si="12"/>
        <v>17.08</v>
      </c>
      <c r="D53" s="6">
        <f t="shared" si="12"/>
        <v>16.42</v>
      </c>
      <c r="E53" s="6">
        <f t="shared" si="12"/>
        <v>18.2</v>
      </c>
      <c r="F53" s="6">
        <f t="shared" si="12"/>
        <v>19.33</v>
      </c>
      <c r="G53" s="6">
        <f t="shared" si="12"/>
        <v>18.32</v>
      </c>
      <c r="H53" s="6">
        <f t="shared" si="12"/>
        <v>18.63</v>
      </c>
      <c r="I53" s="6">
        <f t="shared" si="12"/>
        <v>22.82</v>
      </c>
      <c r="J53" s="6">
        <f t="shared" si="12"/>
        <v>21</v>
      </c>
      <c r="K53" s="6">
        <f t="shared" si="12"/>
        <v>21.6</v>
      </c>
      <c r="L53" s="6">
        <f t="shared" si="12"/>
        <v>23.2</v>
      </c>
      <c r="M53" s="6">
        <f t="shared" si="12"/>
        <v>21.25</v>
      </c>
      <c r="N53" s="6">
        <f t="shared" si="12"/>
        <v>16.3013375</v>
      </c>
    </row>
    <row r="54">
      <c r="A54" s="5"/>
      <c r="B54" s="6">
        <f t="shared" ref="B54:N54" si="13">MEDIAN(B14, $B$38, $B$39)</f>
        <v>31.931125</v>
      </c>
      <c r="C54" s="6">
        <f t="shared" si="13"/>
        <v>29.23</v>
      </c>
      <c r="D54" s="6">
        <f t="shared" si="13"/>
        <v>27.38</v>
      </c>
      <c r="E54" s="6">
        <f t="shared" si="13"/>
        <v>25.52</v>
      </c>
      <c r="F54" s="6">
        <f t="shared" si="13"/>
        <v>27.17</v>
      </c>
      <c r="G54" s="6">
        <f t="shared" si="13"/>
        <v>31.54</v>
      </c>
      <c r="H54" s="6">
        <f t="shared" si="13"/>
        <v>26.52</v>
      </c>
      <c r="I54" s="6">
        <f t="shared" si="13"/>
        <v>26.43</v>
      </c>
      <c r="J54" s="6">
        <f t="shared" si="13"/>
        <v>24.47</v>
      </c>
      <c r="K54" s="6">
        <f t="shared" si="13"/>
        <v>24.22</v>
      </c>
      <c r="L54" s="6">
        <f t="shared" si="13"/>
        <v>25.14</v>
      </c>
      <c r="M54" s="6">
        <f t="shared" si="13"/>
        <v>25.45</v>
      </c>
      <c r="N54" s="6">
        <f t="shared" si="13"/>
        <v>16.3013375</v>
      </c>
    </row>
    <row r="55">
      <c r="A55" s="5"/>
      <c r="B55" s="6">
        <f t="shared" ref="B55:N55" si="14">MEDIAN(B15, $B$38, $B$39)</f>
        <v>31.931125</v>
      </c>
      <c r="C55" s="6">
        <f t="shared" si="14"/>
        <v>31.931125</v>
      </c>
      <c r="D55" s="6">
        <f t="shared" si="14"/>
        <v>31.931125</v>
      </c>
      <c r="E55" s="6">
        <f t="shared" si="14"/>
        <v>31.931125</v>
      </c>
      <c r="F55" s="6">
        <f t="shared" si="14"/>
        <v>30.17</v>
      </c>
      <c r="G55" s="6">
        <f t="shared" si="14"/>
        <v>25.71</v>
      </c>
      <c r="H55" s="6">
        <f t="shared" si="14"/>
        <v>23.78</v>
      </c>
      <c r="I55" s="6">
        <f t="shared" si="14"/>
        <v>24.46</v>
      </c>
      <c r="J55" s="6">
        <f t="shared" si="14"/>
        <v>22.17</v>
      </c>
      <c r="K55" s="6">
        <f t="shared" si="14"/>
        <v>16.81</v>
      </c>
      <c r="L55" s="6">
        <f t="shared" si="14"/>
        <v>23.01</v>
      </c>
      <c r="M55" s="6">
        <f t="shared" si="14"/>
        <v>20.95</v>
      </c>
      <c r="N55" s="6">
        <f t="shared" si="14"/>
        <v>16.3013375</v>
      </c>
    </row>
    <row r="56">
      <c r="A56" s="5"/>
      <c r="B56" s="6">
        <f t="shared" ref="B56:N56" si="15">MEDIAN(B16, $B$38, $B$39)</f>
        <v>6.91</v>
      </c>
      <c r="C56" s="6">
        <f t="shared" si="15"/>
        <v>7.04</v>
      </c>
      <c r="D56" s="6">
        <f t="shared" si="15"/>
        <v>6.88</v>
      </c>
      <c r="E56" s="6">
        <f t="shared" si="15"/>
        <v>6.57</v>
      </c>
      <c r="F56" s="6">
        <f t="shared" si="15"/>
        <v>9.49</v>
      </c>
      <c r="G56" s="6">
        <f t="shared" si="15"/>
        <v>7.44</v>
      </c>
      <c r="H56" s="6">
        <f t="shared" si="15"/>
        <v>7.57</v>
      </c>
      <c r="I56" s="6">
        <f t="shared" si="15"/>
        <v>7.05</v>
      </c>
      <c r="J56" s="6">
        <f t="shared" si="15"/>
        <v>6.29</v>
      </c>
      <c r="K56" s="6">
        <f t="shared" si="15"/>
        <v>5.47</v>
      </c>
      <c r="L56" s="6">
        <f t="shared" si="15"/>
        <v>5.36</v>
      </c>
      <c r="M56" s="6">
        <f t="shared" si="15"/>
        <v>5.7</v>
      </c>
      <c r="N56" s="6">
        <f t="shared" si="15"/>
        <v>16.3013375</v>
      </c>
    </row>
    <row r="57">
      <c r="A57" s="5"/>
      <c r="B57" s="6">
        <f t="shared" ref="B57:N57" si="16">MEDIAN(B17, $B$38, $B$39)</f>
        <v>7.89</v>
      </c>
      <c r="C57" s="6">
        <f t="shared" si="16"/>
        <v>8.06</v>
      </c>
      <c r="D57" s="6">
        <f t="shared" si="16"/>
        <v>8.13</v>
      </c>
      <c r="E57" s="6">
        <f t="shared" si="16"/>
        <v>5.98</v>
      </c>
      <c r="F57" s="6">
        <f t="shared" si="16"/>
        <v>0.67155</v>
      </c>
      <c r="G57" s="6">
        <f t="shared" si="16"/>
        <v>0.67155</v>
      </c>
      <c r="H57" s="6">
        <f t="shared" si="16"/>
        <v>4.44</v>
      </c>
      <c r="I57" s="6">
        <f t="shared" si="16"/>
        <v>7.43</v>
      </c>
      <c r="J57" s="6">
        <f t="shared" si="16"/>
        <v>3.76</v>
      </c>
      <c r="K57" s="6">
        <f t="shared" si="16"/>
        <v>3.57</v>
      </c>
      <c r="L57" s="6">
        <f t="shared" si="16"/>
        <v>3.6</v>
      </c>
      <c r="M57" s="6">
        <f t="shared" si="16"/>
        <v>5.84</v>
      </c>
      <c r="N57" s="6">
        <f t="shared" si="16"/>
        <v>16.3013375</v>
      </c>
    </row>
    <row r="58">
      <c r="A58" s="5"/>
      <c r="B58" s="6">
        <f t="shared" ref="B58:N58" si="17">MEDIAN(B18, $B$38, $B$39)</f>
        <v>9.32</v>
      </c>
      <c r="C58" s="6">
        <f t="shared" si="17"/>
        <v>9.32</v>
      </c>
      <c r="D58" s="6">
        <f t="shared" si="17"/>
        <v>6.83</v>
      </c>
      <c r="E58" s="6">
        <f t="shared" si="17"/>
        <v>4.2</v>
      </c>
      <c r="F58" s="6">
        <f t="shared" si="17"/>
        <v>5.99</v>
      </c>
      <c r="G58" s="6">
        <f t="shared" si="17"/>
        <v>7.34</v>
      </c>
      <c r="H58" s="6">
        <f t="shared" si="17"/>
        <v>8.7</v>
      </c>
      <c r="I58" s="6">
        <f t="shared" si="17"/>
        <v>9.66</v>
      </c>
      <c r="J58" s="6">
        <f t="shared" si="17"/>
        <v>10.77</v>
      </c>
      <c r="K58" s="6">
        <f t="shared" si="17"/>
        <v>9.33</v>
      </c>
      <c r="L58" s="6">
        <f t="shared" si="17"/>
        <v>7.46</v>
      </c>
      <c r="M58" s="6">
        <f t="shared" si="17"/>
        <v>6.37</v>
      </c>
      <c r="N58" s="6">
        <f t="shared" si="17"/>
        <v>16.3013375</v>
      </c>
    </row>
    <row r="59">
      <c r="A59" s="5"/>
      <c r="B59" s="6">
        <f t="shared" ref="B59:N59" si="18">MEDIAN(B19, $B$38, $B$39)</f>
        <v>11.55</v>
      </c>
      <c r="C59" s="6">
        <f t="shared" si="18"/>
        <v>11.03</v>
      </c>
      <c r="D59" s="6">
        <f t="shared" si="18"/>
        <v>9.27</v>
      </c>
      <c r="E59" s="6">
        <f t="shared" si="18"/>
        <v>12.01</v>
      </c>
      <c r="F59" s="6">
        <f t="shared" si="18"/>
        <v>12.8</v>
      </c>
      <c r="G59" s="6">
        <f t="shared" si="18"/>
        <v>10.5</v>
      </c>
      <c r="H59" s="6">
        <f t="shared" si="18"/>
        <v>13.32</v>
      </c>
      <c r="I59" s="6">
        <f t="shared" si="18"/>
        <v>11.41</v>
      </c>
      <c r="J59" s="6">
        <f t="shared" si="18"/>
        <v>12.29</v>
      </c>
      <c r="K59" s="6">
        <f t="shared" si="18"/>
        <v>14.49</v>
      </c>
      <c r="L59" s="6">
        <f t="shared" si="18"/>
        <v>12.39</v>
      </c>
      <c r="M59" s="6">
        <f t="shared" si="18"/>
        <v>14.44</v>
      </c>
      <c r="N59" s="6">
        <f t="shared" si="18"/>
        <v>16.3013375</v>
      </c>
    </row>
    <row r="60">
      <c r="A60" s="5"/>
      <c r="B60" s="6">
        <f t="shared" ref="B60:N60" si="19">MEDIAN(B20, $B$38, $B$39)</f>
        <v>31.931125</v>
      </c>
      <c r="C60" s="6">
        <f t="shared" si="19"/>
        <v>31.931125</v>
      </c>
      <c r="D60" s="6">
        <f t="shared" si="19"/>
        <v>31.931125</v>
      </c>
      <c r="E60" s="6">
        <f t="shared" si="19"/>
        <v>31.931125</v>
      </c>
      <c r="F60" s="6">
        <f t="shared" si="19"/>
        <v>29.82</v>
      </c>
      <c r="G60" s="6">
        <f t="shared" si="19"/>
        <v>28.89</v>
      </c>
      <c r="H60" s="6">
        <f t="shared" si="19"/>
        <v>28.25</v>
      </c>
      <c r="I60" s="6">
        <f t="shared" si="19"/>
        <v>26.89</v>
      </c>
      <c r="J60" s="6">
        <f t="shared" si="19"/>
        <v>28.44</v>
      </c>
      <c r="K60" s="6">
        <f t="shared" si="19"/>
        <v>28.29</v>
      </c>
      <c r="L60" s="6">
        <f t="shared" si="19"/>
        <v>28.57</v>
      </c>
      <c r="M60" s="6">
        <f t="shared" si="19"/>
        <v>29.01</v>
      </c>
      <c r="N60" s="6">
        <f t="shared" si="19"/>
        <v>16.3013375</v>
      </c>
    </row>
    <row r="61">
      <c r="A61" s="5"/>
      <c r="B61" s="6">
        <f t="shared" ref="B61:N61" si="20">MEDIAN(B21, $B$38, $B$39)</f>
        <v>8.37</v>
      </c>
      <c r="C61" s="6">
        <f t="shared" si="20"/>
        <v>8.72</v>
      </c>
      <c r="D61" s="6">
        <f t="shared" si="20"/>
        <v>8.43</v>
      </c>
      <c r="E61" s="6">
        <f t="shared" si="20"/>
        <v>9.65</v>
      </c>
      <c r="F61" s="6">
        <f t="shared" si="20"/>
        <v>11.39</v>
      </c>
      <c r="G61" s="6">
        <f t="shared" si="20"/>
        <v>6.65</v>
      </c>
      <c r="H61" s="6">
        <f t="shared" si="20"/>
        <v>6.98</v>
      </c>
      <c r="I61" s="6">
        <f t="shared" si="20"/>
        <v>9.19</v>
      </c>
      <c r="J61" s="6">
        <f t="shared" si="20"/>
        <v>9.8</v>
      </c>
      <c r="K61" s="6">
        <f t="shared" si="20"/>
        <v>10.81</v>
      </c>
      <c r="L61" s="6">
        <f t="shared" si="20"/>
        <v>6.29</v>
      </c>
      <c r="M61" s="6">
        <f t="shared" si="20"/>
        <v>5.18</v>
      </c>
      <c r="N61" s="6">
        <f t="shared" si="20"/>
        <v>16.3013375</v>
      </c>
    </row>
    <row r="62">
      <c r="A62" s="5"/>
      <c r="B62" s="6">
        <f t="shared" ref="B62:N62" si="21">MEDIAN(B22, $B$38, $B$39)</f>
        <v>16.09</v>
      </c>
      <c r="C62" s="6">
        <f t="shared" si="21"/>
        <v>15.51</v>
      </c>
      <c r="D62" s="6">
        <f t="shared" si="21"/>
        <v>16.12</v>
      </c>
      <c r="E62" s="6">
        <f t="shared" si="21"/>
        <v>12.53</v>
      </c>
      <c r="F62" s="6">
        <f t="shared" si="21"/>
        <v>8.73</v>
      </c>
      <c r="G62" s="6">
        <f t="shared" si="21"/>
        <v>6.73</v>
      </c>
      <c r="H62" s="6">
        <f t="shared" si="21"/>
        <v>1.21</v>
      </c>
      <c r="I62" s="6">
        <f t="shared" si="21"/>
        <v>0.67155</v>
      </c>
      <c r="J62" s="6">
        <f t="shared" si="21"/>
        <v>0.67155</v>
      </c>
      <c r="K62" s="6">
        <f t="shared" si="21"/>
        <v>5.77</v>
      </c>
      <c r="L62" s="6">
        <f t="shared" si="21"/>
        <v>8.42</v>
      </c>
      <c r="M62" s="6">
        <f t="shared" si="21"/>
        <v>7.66</v>
      </c>
      <c r="N62" s="6">
        <f t="shared" si="21"/>
        <v>16.3013375</v>
      </c>
    </row>
    <row r="63">
      <c r="A63" s="5"/>
      <c r="B63" s="6">
        <f t="shared" ref="B63:N63" si="22">MEDIAN(B23, $B$38, $B$39)</f>
        <v>20.88</v>
      </c>
      <c r="C63" s="6">
        <f t="shared" si="22"/>
        <v>19.89</v>
      </c>
      <c r="D63" s="6">
        <f t="shared" si="22"/>
        <v>19.5</v>
      </c>
      <c r="E63" s="6">
        <f t="shared" si="22"/>
        <v>8.81</v>
      </c>
      <c r="F63" s="6">
        <f t="shared" si="22"/>
        <v>6.82</v>
      </c>
      <c r="G63" s="6">
        <f t="shared" si="22"/>
        <v>12.75</v>
      </c>
      <c r="H63" s="6">
        <f t="shared" si="22"/>
        <v>11.04</v>
      </c>
      <c r="I63" s="6">
        <f t="shared" si="22"/>
        <v>9.97</v>
      </c>
      <c r="J63" s="6">
        <f t="shared" si="22"/>
        <v>25.02</v>
      </c>
      <c r="K63" s="6">
        <f t="shared" si="22"/>
        <v>19.85</v>
      </c>
      <c r="L63" s="6">
        <f t="shared" si="22"/>
        <v>20</v>
      </c>
      <c r="M63" s="6">
        <f t="shared" si="22"/>
        <v>24.12</v>
      </c>
      <c r="N63" s="6">
        <f t="shared" si="22"/>
        <v>16.3013375</v>
      </c>
    </row>
    <row r="64">
      <c r="A64" s="5"/>
      <c r="B64" s="6">
        <f t="shared" ref="B64:N64" si="23">MEDIAN(B24, $B$38, $B$39)</f>
        <v>6.33</v>
      </c>
      <c r="C64" s="6">
        <f t="shared" si="23"/>
        <v>7.1</v>
      </c>
      <c r="D64" s="6">
        <f t="shared" si="23"/>
        <v>0.68</v>
      </c>
      <c r="E64" s="6">
        <f t="shared" si="23"/>
        <v>0.67155</v>
      </c>
      <c r="F64" s="6">
        <f t="shared" si="23"/>
        <v>0.67155</v>
      </c>
      <c r="G64" s="6">
        <f t="shared" si="23"/>
        <v>0.67155</v>
      </c>
      <c r="H64" s="6">
        <f t="shared" si="23"/>
        <v>0.67155</v>
      </c>
      <c r="I64" s="6">
        <f t="shared" si="23"/>
        <v>2.31</v>
      </c>
      <c r="J64" s="6">
        <f t="shared" si="23"/>
        <v>2.24</v>
      </c>
      <c r="K64" s="6">
        <f t="shared" si="23"/>
        <v>4.06</v>
      </c>
      <c r="L64" s="6">
        <f t="shared" si="23"/>
        <v>5.35</v>
      </c>
      <c r="M64" s="6">
        <f t="shared" si="23"/>
        <v>6.05</v>
      </c>
      <c r="N64" s="6">
        <f t="shared" si="23"/>
        <v>16.3013375</v>
      </c>
    </row>
    <row r="65">
      <c r="A65" s="5"/>
      <c r="B65" s="6">
        <f t="shared" ref="B65:N65" si="24">MEDIAN(B25, $B$38, $B$39)</f>
        <v>1.36</v>
      </c>
      <c r="C65" s="6">
        <f t="shared" si="24"/>
        <v>0.67155</v>
      </c>
      <c r="D65" s="6">
        <f t="shared" si="24"/>
        <v>3.14</v>
      </c>
      <c r="E65" s="6">
        <f t="shared" si="24"/>
        <v>16.84</v>
      </c>
      <c r="F65" s="6">
        <f t="shared" si="24"/>
        <v>5.02</v>
      </c>
      <c r="G65" s="6">
        <f t="shared" si="24"/>
        <v>0.67155</v>
      </c>
      <c r="H65" s="6">
        <f t="shared" si="24"/>
        <v>5.62</v>
      </c>
      <c r="I65" s="6">
        <f t="shared" si="24"/>
        <v>13.3</v>
      </c>
      <c r="J65" s="6">
        <f t="shared" si="24"/>
        <v>0.67155</v>
      </c>
      <c r="K65" s="6">
        <f t="shared" si="24"/>
        <v>0.67155</v>
      </c>
      <c r="L65" s="6">
        <f t="shared" si="24"/>
        <v>0.67155</v>
      </c>
      <c r="M65" s="6">
        <f t="shared" si="24"/>
        <v>2.46</v>
      </c>
      <c r="N65" s="6">
        <f t="shared" si="24"/>
        <v>16.3013375</v>
      </c>
    </row>
    <row r="66">
      <c r="A66" s="5"/>
      <c r="B66" s="6">
        <f t="shared" ref="B66:N66" si="25">MEDIAN(B26, $B$38, $B$39)</f>
        <v>19.11</v>
      </c>
      <c r="C66" s="6">
        <f t="shared" si="25"/>
        <v>19.13</v>
      </c>
      <c r="D66" s="6">
        <f t="shared" si="25"/>
        <v>18.76</v>
      </c>
      <c r="E66" s="6">
        <f t="shared" si="25"/>
        <v>20.05</v>
      </c>
      <c r="F66" s="6">
        <f t="shared" si="25"/>
        <v>19.83</v>
      </c>
      <c r="G66" s="6">
        <f t="shared" si="25"/>
        <v>20.67</v>
      </c>
      <c r="H66" s="6">
        <f t="shared" si="25"/>
        <v>21.54</v>
      </c>
      <c r="I66" s="6">
        <f t="shared" si="25"/>
        <v>21.02</v>
      </c>
      <c r="J66" s="6">
        <f t="shared" si="25"/>
        <v>22.34</v>
      </c>
      <c r="K66" s="6">
        <f t="shared" si="25"/>
        <v>22.4</v>
      </c>
      <c r="L66" s="6">
        <f t="shared" si="25"/>
        <v>21.19</v>
      </c>
      <c r="M66" s="6">
        <f t="shared" si="25"/>
        <v>23.63</v>
      </c>
      <c r="N66" s="6">
        <f t="shared" si="25"/>
        <v>16.3013375</v>
      </c>
    </row>
    <row r="67">
      <c r="A67" s="5"/>
      <c r="B67" s="6">
        <f t="shared" ref="B67:N67" si="26">MEDIAN(B27, $B$38, $B$39)</f>
        <v>8.01</v>
      </c>
      <c r="C67" s="6">
        <f t="shared" si="26"/>
        <v>4.58</v>
      </c>
      <c r="D67" s="6">
        <f t="shared" si="26"/>
        <v>9.16</v>
      </c>
      <c r="E67" s="6">
        <f t="shared" si="26"/>
        <v>12.6</v>
      </c>
      <c r="F67" s="6">
        <f t="shared" si="26"/>
        <v>11.49</v>
      </c>
      <c r="G67" s="6">
        <f t="shared" si="26"/>
        <v>10.58</v>
      </c>
      <c r="H67" s="6">
        <f t="shared" si="26"/>
        <v>12.53</v>
      </c>
      <c r="I67" s="6">
        <f t="shared" si="26"/>
        <v>12.3</v>
      </c>
      <c r="J67" s="6">
        <f t="shared" si="26"/>
        <v>9.79</v>
      </c>
      <c r="K67" s="6">
        <f t="shared" si="26"/>
        <v>11.41</v>
      </c>
      <c r="L67" s="6">
        <f t="shared" si="26"/>
        <v>11.75</v>
      </c>
      <c r="M67" s="6">
        <f t="shared" si="26"/>
        <v>16.26</v>
      </c>
      <c r="N67" s="6">
        <f t="shared" si="26"/>
        <v>16.3013375</v>
      </c>
    </row>
    <row r="68">
      <c r="A68" s="5"/>
      <c r="B68" s="6">
        <f t="shared" ref="B68:N68" si="27">MEDIAN(B28, $B$38, $B$39)</f>
        <v>5.51</v>
      </c>
      <c r="C68" s="6">
        <f t="shared" si="27"/>
        <v>6.84</v>
      </c>
      <c r="D68" s="6">
        <f t="shared" si="27"/>
        <v>8.06</v>
      </c>
      <c r="E68" s="6">
        <f t="shared" si="27"/>
        <v>7.63</v>
      </c>
      <c r="F68" s="6">
        <f t="shared" si="27"/>
        <v>4.52</v>
      </c>
      <c r="G68" s="6">
        <f t="shared" si="27"/>
        <v>7.1</v>
      </c>
      <c r="H68" s="6">
        <f t="shared" si="27"/>
        <v>7.03</v>
      </c>
      <c r="I68" s="6">
        <f t="shared" si="27"/>
        <v>6.85</v>
      </c>
      <c r="J68" s="6">
        <f t="shared" si="27"/>
        <v>5.27</v>
      </c>
      <c r="K68" s="6">
        <f t="shared" si="27"/>
        <v>5.99</v>
      </c>
      <c r="L68" s="6">
        <f t="shared" si="27"/>
        <v>6.85</v>
      </c>
      <c r="M68" s="6">
        <f t="shared" si="27"/>
        <v>6.72</v>
      </c>
      <c r="N68" s="6">
        <f t="shared" si="27"/>
        <v>16.3013375</v>
      </c>
    </row>
    <row r="69">
      <c r="A69" s="5"/>
      <c r="B69" s="6">
        <f t="shared" ref="B69:N69" si="28">MEDIAN(B29, $B$38, $B$39)</f>
        <v>8.45</v>
      </c>
      <c r="C69" s="6">
        <f t="shared" si="28"/>
        <v>10.94</v>
      </c>
      <c r="D69" s="6">
        <f t="shared" si="28"/>
        <v>3.76</v>
      </c>
      <c r="E69" s="6">
        <f t="shared" si="28"/>
        <v>0.67155</v>
      </c>
      <c r="F69" s="6">
        <f t="shared" si="28"/>
        <v>0.67155</v>
      </c>
      <c r="G69" s="6">
        <f t="shared" si="28"/>
        <v>3.91</v>
      </c>
      <c r="H69" s="6">
        <f t="shared" si="28"/>
        <v>4.04</v>
      </c>
      <c r="I69" s="6">
        <f t="shared" si="28"/>
        <v>5.08</v>
      </c>
      <c r="J69" s="6">
        <f t="shared" si="28"/>
        <v>5.18</v>
      </c>
      <c r="K69" s="6">
        <f t="shared" si="28"/>
        <v>2.95</v>
      </c>
      <c r="L69" s="6">
        <f t="shared" si="28"/>
        <v>5.66</v>
      </c>
      <c r="M69" s="6">
        <f t="shared" si="28"/>
        <v>0.67155</v>
      </c>
      <c r="N69" s="6">
        <f t="shared" si="28"/>
        <v>16.3013375</v>
      </c>
    </row>
    <row r="70">
      <c r="A70" s="5"/>
      <c r="B70" s="6">
        <f t="shared" ref="B70:N70" si="29">MEDIAN(B30, $B$38, $B$39)</f>
        <v>7.96</v>
      </c>
      <c r="C70" s="6">
        <f t="shared" si="29"/>
        <v>9.84</v>
      </c>
      <c r="D70" s="6">
        <f t="shared" si="29"/>
        <v>8.01</v>
      </c>
      <c r="E70" s="6">
        <f t="shared" si="29"/>
        <v>13.94</v>
      </c>
      <c r="F70" s="6">
        <f t="shared" si="29"/>
        <v>12.2</v>
      </c>
      <c r="G70" s="6">
        <f t="shared" si="29"/>
        <v>13.55</v>
      </c>
      <c r="H70" s="6">
        <f t="shared" si="29"/>
        <v>5.76</v>
      </c>
      <c r="I70" s="6">
        <f t="shared" si="29"/>
        <v>7.18</v>
      </c>
      <c r="J70" s="6">
        <f t="shared" si="29"/>
        <v>10.69</v>
      </c>
      <c r="K70" s="6">
        <f t="shared" si="29"/>
        <v>9.85</v>
      </c>
      <c r="L70" s="6">
        <f t="shared" si="29"/>
        <v>8.63</v>
      </c>
      <c r="M70" s="6">
        <f t="shared" si="29"/>
        <v>10.21</v>
      </c>
      <c r="N70" s="6">
        <f t="shared" si="29"/>
        <v>16.3013375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P1" s="8" t="s">
        <v>45</v>
      </c>
    </row>
    <row r="2">
      <c r="A2" s="1" t="s">
        <v>12</v>
      </c>
      <c r="B2" s="3">
        <f>(Sheet1!B2 - Sheet1!$B$34) / (Sheet1!$B$35 - Sheet1!$B$34)</f>
        <v>1</v>
      </c>
      <c r="C2" s="3">
        <f>(Sheet1!C2 - Sheet1!$B$34) / (Sheet1!$B$35 - Sheet1!$B$34)</f>
        <v>0.9679461559</v>
      </c>
      <c r="D2" s="3">
        <f>(Sheet1!D2 - Sheet1!$B$34) / (Sheet1!$B$35 - Sheet1!$B$34)</f>
        <v>0.7981646976</v>
      </c>
      <c r="E2" s="3">
        <f>(Sheet1!E2 - Sheet1!$B$34) / (Sheet1!$B$35 - Sheet1!$B$34)</f>
        <v>0.9020799028</v>
      </c>
      <c r="F2" s="3">
        <f>(Sheet1!F2 - Sheet1!$B$34) / (Sheet1!$B$35 - Sheet1!$B$34)</f>
        <v>1</v>
      </c>
      <c r="G2" s="3">
        <f>(Sheet1!G2 - Sheet1!$B$34) / (Sheet1!$B$35 - Sheet1!$B$34)</f>
        <v>0.9989608479</v>
      </c>
      <c r="H2" s="3">
        <f>(Sheet1!H2 - Sheet1!$B$34) / (Sheet1!$B$35 - Sheet1!$B$34)</f>
        <v>1</v>
      </c>
      <c r="I2" s="3">
        <f>(Sheet1!I2 - Sheet1!$B$34) / (Sheet1!$B$35 - Sheet1!$B$34)</f>
        <v>1</v>
      </c>
      <c r="J2" s="3">
        <f>(Sheet1!J2 - Sheet1!$B$34) / (Sheet1!$B$35 - Sheet1!$B$34)</f>
        <v>1</v>
      </c>
      <c r="K2" s="3">
        <f>(Sheet1!K2 - Sheet1!$B$34) / (Sheet1!$B$35 - Sheet1!$B$34)</f>
        <v>1</v>
      </c>
      <c r="L2" s="3">
        <f>(Sheet1!L2 - Sheet1!$B$34) / (Sheet1!$B$35 - Sheet1!$B$34)</f>
        <v>1</v>
      </c>
      <c r="M2" s="3">
        <f>(Sheet1!M2 - Sheet1!$B$34) / (Sheet1!$B$35 - Sheet1!$B$34)</f>
        <v>1</v>
      </c>
      <c r="P2" s="9">
        <f>IFERROR(__xludf.DUMMYFUNCTION("FLATTEN(B2:M30)"),1.0)</f>
        <v>1</v>
      </c>
    </row>
    <row r="3">
      <c r="A3" s="1" t="s">
        <v>13</v>
      </c>
      <c r="B3" s="3">
        <f>(Sheet1!B3 - Sheet1!$B$34) / (Sheet1!$B$35 - Sheet1!$B$34)</f>
        <v>0.3150389282</v>
      </c>
      <c r="C3" s="3">
        <f>(Sheet1!C3 - Sheet1!$B$34) / (Sheet1!$B$35 - Sheet1!$B$34)</f>
        <v>0.4672347365</v>
      </c>
      <c r="D3" s="3">
        <f>(Sheet1!D3 - Sheet1!$B$34) / (Sheet1!$B$35 - Sheet1!$B$34)</f>
        <v>0.358843184</v>
      </c>
      <c r="E3" s="3">
        <f>(Sheet1!E3 - Sheet1!$B$34) / (Sheet1!$B$35 - Sheet1!$B$34)</f>
        <v>0.314079711</v>
      </c>
      <c r="F3" s="3">
        <f>(Sheet1!F3 - Sheet1!$B$34) / (Sheet1!$B$35 - Sheet1!$B$34)</f>
        <v>0.4464516954</v>
      </c>
      <c r="G3" s="3">
        <f>(Sheet1!G3 - Sheet1!$B$34) / (Sheet1!$B$35 - Sheet1!$B$34)</f>
        <v>0.4093619606</v>
      </c>
      <c r="H3" s="3">
        <f>(Sheet1!H3 - Sheet1!$B$34) / (Sheet1!$B$35 - Sheet1!$B$34)</f>
        <v>0.3386996211</v>
      </c>
      <c r="I3" s="3">
        <f>(Sheet1!I3 - Sheet1!$B$34) / (Sheet1!$B$35 - Sheet1!$B$34)</f>
        <v>0.3684353567</v>
      </c>
      <c r="J3" s="3">
        <f>(Sheet1!J3 - Sheet1!$B$34) / (Sheet1!$B$35 - Sheet1!$B$34)</f>
        <v>0.3959329187</v>
      </c>
      <c r="K3" s="3">
        <f>(Sheet1!K3 - Sheet1!$B$34) / (Sheet1!$B$35 - Sheet1!$B$34)</f>
        <v>0.3748301386</v>
      </c>
      <c r="L3" s="3">
        <f>(Sheet1!L3 - Sheet1!$B$34) / (Sheet1!$B$35 - Sheet1!$B$34)</f>
        <v>0.30033093</v>
      </c>
      <c r="M3" s="3">
        <f>(Sheet1!M3 - Sheet1!$B$34) / (Sheet1!$B$35 - Sheet1!$B$34)</f>
        <v>0.2961743218</v>
      </c>
      <c r="P3" s="3">
        <f>IFERROR(__xludf.DUMMYFUNCTION("""COMPUTED_VALUE"""),0.9679461559367557)</f>
        <v>0.9679461559</v>
      </c>
    </row>
    <row r="4">
      <c r="A4" s="1" t="s">
        <v>14</v>
      </c>
      <c r="B4" s="3">
        <f>(Sheet1!B4 - Sheet1!$B$34) / (Sheet1!$B$35 - Sheet1!$B$34)</f>
        <v>0.6843375805</v>
      </c>
      <c r="C4" s="3">
        <f>(Sheet1!C4 - Sheet1!$B$34) / (Sheet1!$B$35 - Sheet1!$B$34)</f>
        <v>0.7278220972</v>
      </c>
      <c r="D4" s="3">
        <f>(Sheet1!D4 - Sheet1!$B$34) / (Sheet1!$B$35 - Sheet1!$B$34)</f>
        <v>0.3754696168</v>
      </c>
      <c r="E4" s="3">
        <f>(Sheet1!E4 - Sheet1!$B$34) / (Sheet1!$B$35 - Sheet1!$B$34)</f>
        <v>0.6363767166</v>
      </c>
      <c r="F4" s="3">
        <f>(Sheet1!F4 - Sheet1!$B$34) / (Sheet1!$B$35 - Sheet1!$B$34)</f>
        <v>0.3367811866</v>
      </c>
      <c r="G4" s="3">
        <f>(Sheet1!G4 - Sheet1!$B$34) / (Sheet1!$B$35 - Sheet1!$B$34)</f>
        <v>0.07267669582</v>
      </c>
      <c r="H4" s="3">
        <f>(Sheet1!H4 - Sheet1!$B$34) / (Sheet1!$B$35 - Sheet1!$B$34)</f>
        <v>0.2664385861</v>
      </c>
      <c r="I4" s="3">
        <f>(Sheet1!I4 - Sheet1!$B$34) / (Sheet1!$B$35 - Sheet1!$B$34)</f>
        <v>0.0103275727</v>
      </c>
      <c r="J4" s="3">
        <f>(Sheet1!J4 - Sheet1!$B$34) / (Sheet1!$B$35 - Sheet1!$B$34)</f>
        <v>0.2594043261</v>
      </c>
      <c r="K4" s="3">
        <f>(Sheet1!K4 - Sheet1!$B$34) / (Sheet1!$B$35 - Sheet1!$B$34)</f>
        <v>0.623906892</v>
      </c>
      <c r="L4" s="3">
        <f>(Sheet1!L4 - Sheet1!$B$34) / (Sheet1!$B$35 - Sheet1!$B$34)</f>
        <v>0.6450096721</v>
      </c>
      <c r="M4" s="3">
        <f>(Sheet1!M4 - Sheet1!$B$34) / (Sheet1!$B$35 - Sheet1!$B$34)</f>
        <v>0.6347780211</v>
      </c>
      <c r="P4" s="3">
        <f>IFERROR(__xludf.DUMMYFUNCTION("""COMPUTED_VALUE"""),0.7981646976067529)</f>
        <v>0.7981646976</v>
      </c>
    </row>
    <row r="5">
      <c r="A5" s="1" t="s">
        <v>15</v>
      </c>
      <c r="B5" s="3">
        <f>(Sheet1!B5 - Sheet1!$B$34) / (Sheet1!$B$35 - Sheet1!$B$34)</f>
        <v>0.3975316142</v>
      </c>
      <c r="C5" s="3">
        <f>(Sheet1!C5 - Sheet1!$B$34) / (Sheet1!$B$35 - Sheet1!$B$34)</f>
        <v>0.4301450017</v>
      </c>
      <c r="D5" s="3">
        <f>(Sheet1!D5 - Sheet1!$B$34) / (Sheet1!$B$35 - Sheet1!$B$34)</f>
        <v>0.4541254336</v>
      </c>
      <c r="E5" s="3">
        <f>(Sheet1!E5 - Sheet1!$B$34) / (Sheet1!$B$35 - Sheet1!$B$34)</f>
        <v>0.3671564004</v>
      </c>
      <c r="F5" s="3">
        <f>(Sheet1!F5 - Sheet1!$B$34) / (Sheet1!$B$35 - Sheet1!$B$34)</f>
        <v>0.3671564004</v>
      </c>
      <c r="G5" s="3">
        <f>(Sheet1!G5 - Sheet1!$B$34) / (Sheet1!$B$35 - Sheet1!$B$34)</f>
        <v>0.3310258829</v>
      </c>
      <c r="H5" s="3">
        <f>(Sheet1!H5 - Sheet1!$B$34) / (Sheet1!$B$35 - Sheet1!$B$34)</f>
        <v>0.3818643987</v>
      </c>
      <c r="I5" s="3">
        <f>(Sheet1!I5 - Sheet1!$B$34) / (Sheet1!$B$35 - Sheet1!$B$34)</f>
        <v>0.3847420505</v>
      </c>
      <c r="J5" s="3">
        <f>(Sheet1!J5 - Sheet1!$B$34) / (Sheet1!$B$35 - Sheet1!$B$34)</f>
        <v>0.4285463062</v>
      </c>
      <c r="K5" s="3">
        <f>(Sheet1!K5 - Sheet1!$B$34) / (Sheet1!$B$35 - Sheet1!$B$34)</f>
        <v>0.9177471184</v>
      </c>
      <c r="L5" s="3">
        <f>(Sheet1!L5 - Sheet1!$B$34) / (Sheet1!$B$35 - Sheet1!$B$34)</f>
        <v>0.9938450225</v>
      </c>
      <c r="M5" s="3">
        <f>(Sheet1!M5 - Sheet1!$B$34) / (Sheet1!$B$35 - Sheet1!$B$34)</f>
        <v>1</v>
      </c>
      <c r="P5" s="3">
        <f>IFERROR(__xludf.DUMMYFUNCTION("""COMPUTED_VALUE"""),0.9020799027993157)</f>
        <v>0.9020799028</v>
      </c>
    </row>
    <row r="6">
      <c r="A6" s="1" t="s">
        <v>16</v>
      </c>
      <c r="B6" s="3">
        <f>(Sheet1!B6 - Sheet1!$B$34) / (Sheet1!$B$35 - Sheet1!$B$34)</f>
        <v>0.7476459209</v>
      </c>
      <c r="C6" s="3">
        <f>(Sheet1!C6 - Sheet1!$B$34) / (Sheet1!$B$35 - Sheet1!$B$34)</f>
        <v>0.8186279996</v>
      </c>
      <c r="D6" s="3">
        <f>(Sheet1!D6 - Sheet1!$B$34) / (Sheet1!$B$35 - Sheet1!$B$34)</f>
        <v>0.8672283417</v>
      </c>
      <c r="E6" s="3">
        <f>(Sheet1!E6 - Sheet1!$B$34) / (Sheet1!$B$35 - Sheet1!$B$34)</f>
        <v>0.6888139278</v>
      </c>
      <c r="F6" s="3">
        <f>(Sheet1!F6 - Sheet1!$B$34) / (Sheet1!$B$35 - Sheet1!$B$34)</f>
        <v>0.5084810794</v>
      </c>
      <c r="G6" s="3">
        <f>(Sheet1!G6 - Sheet1!$B$34) / (Sheet1!$B$35 - Sheet1!$B$34)</f>
        <v>0.6165528928</v>
      </c>
      <c r="H6" s="3">
        <f>(Sheet1!H6 - Sheet1!$B$34) / (Sheet1!$B$35 - Sheet1!$B$34)</f>
        <v>0.6693098432</v>
      </c>
      <c r="I6" s="3">
        <f>(Sheet1!I6 - Sheet1!$B$34) / (Sheet1!$B$35 - Sheet1!$B$34)</f>
        <v>0.6146344583</v>
      </c>
      <c r="J6" s="3">
        <f>(Sheet1!J6 - Sheet1!$B$34) / (Sheet1!$B$35 - Sheet1!$B$34)</f>
        <v>0.5676328116</v>
      </c>
      <c r="K6" s="3">
        <f>(Sheet1!K6 - Sheet1!$B$34) / (Sheet1!$B$35 - Sheet1!$B$34)</f>
        <v>0.5382168151</v>
      </c>
      <c r="L6" s="3">
        <f>(Sheet1!L6 - Sheet1!$B$34) / (Sheet1!$B$35 - Sheet1!$B$34)</f>
        <v>0.5119982095</v>
      </c>
      <c r="M6" s="3">
        <f>(Sheet1!M6 - Sheet1!$B$34) / (Sheet1!$B$35 - Sheet1!$B$34)</f>
        <v>0.5430129015</v>
      </c>
      <c r="P6" s="3">
        <f>IFERROR(__xludf.DUMMYFUNCTION("""COMPUTED_VALUE"""),1.0)</f>
        <v>1</v>
      </c>
    </row>
    <row r="7">
      <c r="A7" s="1" t="s">
        <v>17</v>
      </c>
      <c r="B7" s="3">
        <f>(Sheet1!B7 - Sheet1!$B$34) / (Sheet1!$B$35 - Sheet1!$B$34)</f>
        <v>0.6897731451</v>
      </c>
      <c r="C7" s="3">
        <f>(Sheet1!C7 - Sheet1!$B$34) / (Sheet1!$B$35 - Sheet1!$B$34)</f>
        <v>0.6005659382</v>
      </c>
      <c r="D7" s="3">
        <f>(Sheet1!D7 - Sheet1!$B$34) / (Sheet1!$B$35 - Sheet1!$B$34)</f>
        <v>0.5084810794</v>
      </c>
      <c r="E7" s="3">
        <f>(Sheet1!E7 - Sheet1!$B$34) / (Sheet1!$B$35 - Sheet1!$B$34)</f>
        <v>0.4685136928</v>
      </c>
      <c r="F7" s="3">
        <f>(Sheet1!F7 - Sheet1!$B$34) / (Sheet1!$B$35 - Sheet1!$B$34)</f>
        <v>0.4474109127</v>
      </c>
      <c r="G7" s="3">
        <f>(Sheet1!G7 - Sheet1!$B$34) / (Sheet1!$B$35 - Sheet1!$B$34)</f>
        <v>0.4205528289</v>
      </c>
      <c r="H7" s="3">
        <f>(Sheet1!H7 - Sheet1!$B$34) / (Sheet1!$B$35 - Sheet1!$B$34)</f>
        <v>0.4643570846</v>
      </c>
      <c r="I7" s="3">
        <f>(Sheet1!I7 - Sheet1!$B$34) / (Sheet1!$B$35 - Sheet1!$B$34)</f>
        <v>0.4112803952</v>
      </c>
      <c r="J7" s="3">
        <f>(Sheet1!J7 - Sheet1!$B$34) / (Sheet1!$B$35 - Sheet1!$B$34)</f>
        <v>0.5308628159</v>
      </c>
      <c r="K7" s="3">
        <f>(Sheet1!K7 - Sheet1!$B$34) / (Sheet1!$B$35 - Sheet1!$B$34)</f>
        <v>0.5452510751</v>
      </c>
      <c r="L7" s="3">
        <f>(Sheet1!L7 - Sheet1!$B$34) / (Sheet1!$B$35 - Sheet1!$B$34)</f>
        <v>0.5180732522</v>
      </c>
      <c r="M7" s="3">
        <f>(Sheet1!M7 - Sheet1!$B$34) / (Sheet1!$B$35 - Sheet1!$B$34)</f>
        <v>0.4454924781</v>
      </c>
      <c r="P7" s="3">
        <f>IFERROR(__xludf.DUMMYFUNCTION("""COMPUTED_VALUE"""),0.9989608479480744)</f>
        <v>0.9989608479</v>
      </c>
    </row>
    <row r="8">
      <c r="A8" s="1" t="s">
        <v>18</v>
      </c>
      <c r="B8" s="3">
        <f>(Sheet1!B8 - Sheet1!$B$34) / (Sheet1!$B$35 - Sheet1!$B$34)</f>
        <v>0.6028041118</v>
      </c>
      <c r="C8" s="3">
        <f>(Sheet1!C8 - Sheet1!$B$34) / (Sheet1!$B$35 - Sheet1!$B$34)</f>
        <v>0.1030519096</v>
      </c>
      <c r="D8" s="3">
        <f>(Sheet1!D8 - Sheet1!$B$34) / (Sheet1!$B$35 - Sheet1!$B$34)</f>
        <v>0.2437371105</v>
      </c>
      <c r="E8" s="3">
        <f>(Sheet1!E8 - Sheet1!$B$34) / (Sheet1!$B$35 - Sheet1!$B$34)</f>
        <v>0.1398219053</v>
      </c>
      <c r="F8" s="3">
        <f>(Sheet1!F8 - Sheet1!$B$34) / (Sheet1!$B$35 - Sheet1!$B$34)</f>
        <v>0</v>
      </c>
      <c r="G8" s="3">
        <f>(Sheet1!G8 - Sheet1!$B$34) / (Sheet1!$B$35 - Sheet1!$B$34)</f>
        <v>0</v>
      </c>
      <c r="H8" s="3">
        <f>(Sheet1!H8 - Sheet1!$B$34) / (Sheet1!$B$35 - Sheet1!$B$34)</f>
        <v>0.03111061374</v>
      </c>
      <c r="I8" s="3">
        <f>(Sheet1!I8 - Sheet1!$B$34) / (Sheet1!$B$35 - Sheet1!$B$34)</f>
        <v>0.02119870186</v>
      </c>
      <c r="J8" s="3">
        <f>(Sheet1!J8 - Sheet1!$B$34) / (Sheet1!$B$35 - Sheet1!$B$34)</f>
        <v>0.08546625953</v>
      </c>
      <c r="K8" s="3">
        <f>(Sheet1!K8 - Sheet1!$B$34) / (Sheet1!$B$35 - Sheet1!$B$34)</f>
        <v>0.1714760755</v>
      </c>
      <c r="L8" s="3">
        <f>(Sheet1!L8 - Sheet1!$B$34) / (Sheet1!$B$35 - Sheet1!$B$34)</f>
        <v>0.1465364263</v>
      </c>
      <c r="M8" s="3">
        <f>(Sheet1!M8 - Sheet1!$B$34) / (Sheet1!$B$35 - Sheet1!$B$34)</f>
        <v>0.09090182411</v>
      </c>
      <c r="P8" s="3">
        <f>IFERROR(__xludf.DUMMYFUNCTION("""COMPUTED_VALUE"""),1.0)</f>
        <v>1</v>
      </c>
    </row>
    <row r="9">
      <c r="A9" s="1" t="s">
        <v>19</v>
      </c>
      <c r="B9" s="3">
        <f>(Sheet1!B9 - Sheet1!$B$34) / (Sheet1!$B$35 - Sheet1!$B$34)</f>
        <v>0.4538056946</v>
      </c>
      <c r="C9" s="3">
        <f>(Sheet1!C9 - Sheet1!$B$34) / (Sheet1!$B$35 - Sheet1!$B$34)</f>
        <v>0.4355805663</v>
      </c>
      <c r="D9" s="3">
        <f>(Sheet1!D9 - Sheet1!$B$34) / (Sheet1!$B$35 - Sheet1!$B$34)</f>
        <v>0.4464516954</v>
      </c>
      <c r="E9" s="3">
        <f>(Sheet1!E9 - Sheet1!$B$34) / (Sheet1!$B$35 - Sheet1!$B$34)</f>
        <v>0.4832216911</v>
      </c>
      <c r="F9" s="3">
        <f>(Sheet1!F9 - Sheet1!$B$34) / (Sheet1!$B$35 - Sheet1!$B$34)</f>
        <v>0.4522069991</v>
      </c>
      <c r="G9" s="3">
        <f>(Sheet1!G9 - Sheet1!$B$34) / (Sheet1!$B$35 - Sheet1!$B$34)</f>
        <v>0.4787453438</v>
      </c>
      <c r="H9" s="3">
        <f>(Sheet1!H9 - Sheet1!$B$34) / (Sheet1!$B$35 - Sheet1!$B$34)</f>
        <v>0.513916644</v>
      </c>
      <c r="I9" s="3">
        <f>(Sheet1!I9 - Sheet1!$B$34) / (Sheet1!$B$35 - Sheet1!$B$34)</f>
        <v>0.5292641205</v>
      </c>
      <c r="J9" s="3">
        <f>(Sheet1!J9 - Sheet1!$B$34) / (Sheet1!$B$35 - Sheet1!$B$34)</f>
        <v>0.5567616825</v>
      </c>
      <c r="K9" s="3">
        <f>(Sheet1!K9 - Sheet1!$B$34) / (Sheet1!$B$35 - Sheet1!$B$34)</f>
        <v>0.5532445524</v>
      </c>
      <c r="L9" s="3">
        <f>(Sheet1!L9 - Sheet1!$B$34) / (Sheet1!$B$35 - Sheet1!$B$34)</f>
        <v>0.6146344583</v>
      </c>
      <c r="M9" s="3">
        <f>(Sheet1!M9 - Sheet1!$B$34) / (Sheet1!$B$35 - Sheet1!$B$34)</f>
        <v>0.6258253265</v>
      </c>
      <c r="P9" s="3">
        <f>IFERROR(__xludf.DUMMYFUNCTION("""COMPUTED_VALUE"""),1.0)</f>
        <v>1</v>
      </c>
    </row>
    <row r="10">
      <c r="A10" s="1" t="s">
        <v>20</v>
      </c>
      <c r="B10" s="3">
        <f>(Sheet1!B10 - Sheet1!$B$34) / (Sheet1!$B$35 - Sheet1!$B$34)</f>
        <v>0.6952087097</v>
      </c>
      <c r="C10" s="3">
        <f>(Sheet1!C10 - Sheet1!$B$34) / (Sheet1!$B$35 - Sheet1!$B$34)</f>
        <v>0.7310194881</v>
      </c>
      <c r="D10" s="3">
        <f>(Sheet1!D10 - Sheet1!$B$34) / (Sheet1!$B$35 - Sheet1!$B$34)</f>
        <v>0.851241387</v>
      </c>
      <c r="E10" s="3">
        <f>(Sheet1!E10 - Sheet1!$B$34) / (Sheet1!$B$35 - Sheet1!$B$34)</f>
        <v>0.9036785983</v>
      </c>
      <c r="F10" s="3">
        <f>(Sheet1!F10 - Sheet1!$B$34) / (Sheet1!$B$35 - Sheet1!$B$34)</f>
        <v>0.8016818276</v>
      </c>
      <c r="G10" s="3">
        <f>(Sheet1!G10 - Sheet1!$B$34) / (Sheet1!$B$35 - Sheet1!$B$34)</f>
        <v>0.7095969689</v>
      </c>
      <c r="H10" s="3">
        <f>(Sheet1!H10 - Sheet1!$B$34) / (Sheet1!$B$35 - Sheet1!$B$34)</f>
        <v>0.6593979313</v>
      </c>
      <c r="I10" s="3">
        <f>(Sheet1!I10 - Sheet1!$B$34) / (Sheet1!$B$35 - Sheet1!$B$34)</f>
        <v>0.6753848859</v>
      </c>
      <c r="J10" s="3">
        <f>(Sheet1!J10 - Sheet1!$B$34) / (Sheet1!$B$35 - Sheet1!$B$34)</f>
        <v>0.6498057585</v>
      </c>
      <c r="K10" s="3">
        <f>(Sheet1!K10 - Sheet1!$B$34) / (Sheet1!$B$35 - Sheet1!$B$34)</f>
        <v>0.6312608911</v>
      </c>
      <c r="L10" s="3">
        <f>(Sheet1!L10 - Sheet1!$B$34) / (Sheet1!$B$35 - Sheet1!$B$34)</f>
        <v>0.6523636712</v>
      </c>
      <c r="M10" s="3">
        <f>(Sheet1!M10 - Sheet1!$B$34) / (Sheet1!$B$35 - Sheet1!$B$34)</f>
        <v>0.637655673</v>
      </c>
      <c r="P10" s="3">
        <f>IFERROR(__xludf.DUMMYFUNCTION("""COMPUTED_VALUE"""),1.0)</f>
        <v>1</v>
      </c>
    </row>
    <row r="11">
      <c r="A11" s="1" t="s">
        <v>21</v>
      </c>
      <c r="B11" s="3">
        <f>(Sheet1!B11 - Sheet1!$B$34) / (Sheet1!$B$35 - Sheet1!$B$34)</f>
        <v>0.5193522086</v>
      </c>
      <c r="C11" s="3">
        <f>(Sheet1!C11 - Sheet1!$B$34) / (Sheet1!$B$35 - Sheet1!$B$34)</f>
        <v>0.5097600358</v>
      </c>
      <c r="D11" s="3">
        <f>(Sheet1!D11 - Sheet1!$B$34) / (Sheet1!$B$35 - Sheet1!$B$34)</f>
        <v>0.513916644</v>
      </c>
      <c r="E11" s="3">
        <f>(Sheet1!E11 - Sheet1!$B$34) / (Sheet1!$B$35 - Sheet1!$B$34)</f>
        <v>0.520631165</v>
      </c>
      <c r="F11" s="3">
        <f>(Sheet1!F11 - Sheet1!$B$34) / (Sheet1!$B$35 - Sheet1!$B$34)</f>
        <v>0.5222298604</v>
      </c>
      <c r="G11" s="3">
        <f>(Sheet1!G11 - Sheet1!$B$34) / (Sheet1!$B$35 - Sheet1!$B$34)</f>
        <v>0.5215903822</v>
      </c>
      <c r="H11" s="3">
        <f>(Sheet1!H11 - Sheet1!$B$34) / (Sheet1!$B$35 - Sheet1!$B$34)</f>
        <v>0.4713913447</v>
      </c>
      <c r="I11" s="3">
        <f>(Sheet1!I11 - Sheet1!$B$34) / (Sheet1!$B$35 - Sheet1!$B$34)</f>
        <v>0.4486898691</v>
      </c>
      <c r="J11" s="3">
        <f>(Sheet1!J11 - Sheet1!$B$34) / (Sheet1!$B$35 - Sheet1!$B$34)</f>
        <v>0.4112803952</v>
      </c>
      <c r="K11" s="3">
        <f>(Sheet1!K11 - Sheet1!$B$34) / (Sheet1!$B$35 - Sheet1!$B$34)</f>
        <v>0.3917763105</v>
      </c>
      <c r="L11" s="3">
        <f>(Sheet1!L11 - Sheet1!$B$34) / (Sheet1!$B$35 - Sheet1!$B$34)</f>
        <v>0.4160764816</v>
      </c>
      <c r="M11" s="3">
        <f>(Sheet1!M11 - Sheet1!$B$34) / (Sheet1!$B$35 - Sheet1!$B$34)</f>
        <v>0.4112803952</v>
      </c>
      <c r="P11" s="3">
        <f>IFERROR(__xludf.DUMMYFUNCTION("""COMPUTED_VALUE"""),1.0)</f>
        <v>1</v>
      </c>
    </row>
    <row r="12">
      <c r="A12" s="1" t="s">
        <v>22</v>
      </c>
      <c r="B12" s="3">
        <f>(Sheet1!B12 - Sheet1!$B$34) / (Sheet1!$B$35 - Sheet1!$B$34)</f>
        <v>0.9123115538</v>
      </c>
      <c r="C12" s="3">
        <f>(Sheet1!C12 - Sheet1!$B$34) / (Sheet1!$B$35 - Sheet1!$B$34)</f>
        <v>0.8806573836</v>
      </c>
      <c r="D12" s="3">
        <f>(Sheet1!D12 - Sheet1!$B$34) / (Sheet1!$B$35 - Sheet1!$B$34)</f>
        <v>0.8886508609</v>
      </c>
      <c r="E12" s="3">
        <f>(Sheet1!E12 - Sheet1!$B$34) / (Sheet1!$B$35 - Sheet1!$B$34)</f>
        <v>0.8426084315</v>
      </c>
      <c r="F12" s="3">
        <f>(Sheet1!F12 - Sheet1!$B$34) / (Sheet1!$B$35 - Sheet1!$B$34)</f>
        <v>0.7035219261</v>
      </c>
      <c r="G12" s="3">
        <f>(Sheet1!G12 - Sheet1!$B$34) / (Sheet1!$B$35 - Sheet1!$B$34)</f>
        <v>0.4016882224</v>
      </c>
      <c r="H12" s="3">
        <f>(Sheet1!H12 - Sheet1!$B$34) / (Sheet1!$B$35 - Sheet1!$B$34)</f>
        <v>0.2312672859</v>
      </c>
      <c r="I12" s="3">
        <f>(Sheet1!I12 - Sheet1!$B$34) / (Sheet1!$B$35 - Sheet1!$B$34)</f>
        <v>0.4464516954</v>
      </c>
      <c r="J12" s="3">
        <f>(Sheet1!J12 - Sheet1!$B$34) / (Sheet1!$B$35 - Sheet1!$B$34)</f>
        <v>0.5733881153</v>
      </c>
      <c r="K12" s="3">
        <f>(Sheet1!K12 - Sheet1!$B$34) / (Sheet1!$B$35 - Sheet1!$B$34)</f>
        <v>0.5676328116</v>
      </c>
      <c r="L12" s="3">
        <f>(Sheet1!L12 - Sheet1!$B$34) / (Sheet1!$B$35 - Sheet1!$B$34)</f>
        <v>0.7313392272</v>
      </c>
      <c r="M12" s="3">
        <f>(Sheet1!M12 - Sheet1!$B$34) / (Sheet1!$B$35 - Sheet1!$B$34)</f>
        <v>0.7332576617</v>
      </c>
      <c r="P12" s="3">
        <f>IFERROR(__xludf.DUMMYFUNCTION("""COMPUTED_VALUE"""),1.0)</f>
        <v>1</v>
      </c>
    </row>
    <row r="13">
      <c r="A13" s="1" t="s">
        <v>23</v>
      </c>
      <c r="B13" s="3">
        <f>(Sheet1!B13 - Sheet1!$B$34) / (Sheet1!$B$35 - Sheet1!$B$34)</f>
        <v>0.503365254</v>
      </c>
      <c r="C13" s="3">
        <f>(Sheet1!C13 - Sheet1!$B$34) / (Sheet1!$B$35 - Sheet1!$B$34)</f>
        <v>0.5247877732</v>
      </c>
      <c r="D13" s="3">
        <f>(Sheet1!D13 - Sheet1!$B$34) / (Sheet1!$B$35 - Sheet1!$B$34)</f>
        <v>0.503684993</v>
      </c>
      <c r="E13" s="3">
        <f>(Sheet1!E13 - Sheet1!$B$34) / (Sheet1!$B$35 - Sheet1!$B$34)</f>
        <v>0.5605985516</v>
      </c>
      <c r="F13" s="3">
        <f>(Sheet1!F13 - Sheet1!$B$34) / (Sheet1!$B$35 - Sheet1!$B$34)</f>
        <v>0.5967290691</v>
      </c>
      <c r="G13" s="3">
        <f>(Sheet1!G13 - Sheet1!$B$34) / (Sheet1!$B$35 - Sheet1!$B$34)</f>
        <v>0.5644354207</v>
      </c>
      <c r="H13" s="3">
        <f>(Sheet1!H13 - Sheet1!$B$34) / (Sheet1!$B$35 - Sheet1!$B$34)</f>
        <v>0.5743473326</v>
      </c>
      <c r="I13" s="3">
        <f>(Sheet1!I13 - Sheet1!$B$34) / (Sheet1!$B$35 - Sheet1!$B$34)</f>
        <v>0.7083180125</v>
      </c>
      <c r="J13" s="3">
        <f>(Sheet1!J13 - Sheet1!$B$34) / (Sheet1!$B$35 - Sheet1!$B$34)</f>
        <v>0.6501254976</v>
      </c>
      <c r="K13" s="3">
        <f>(Sheet1!K13 - Sheet1!$B$34) / (Sheet1!$B$35 - Sheet1!$B$34)</f>
        <v>0.6693098432</v>
      </c>
      <c r="L13" s="3">
        <f>(Sheet1!L13 - Sheet1!$B$34) / (Sheet1!$B$35 - Sheet1!$B$34)</f>
        <v>0.720468098</v>
      </c>
      <c r="M13" s="3">
        <f>(Sheet1!M13 - Sheet1!$B$34) / (Sheet1!$B$35 - Sheet1!$B$34)</f>
        <v>0.6581189749</v>
      </c>
      <c r="P13" s="3">
        <f>IFERROR(__xludf.DUMMYFUNCTION("""COMPUTED_VALUE"""),1.0)</f>
        <v>1</v>
      </c>
    </row>
    <row r="14">
      <c r="A14" s="1" t="s">
        <v>24</v>
      </c>
      <c r="B14" s="3">
        <f>(Sheet1!B14 - Sheet1!$B$34) / (Sheet1!$B$35 - Sheet1!$B$34)</f>
        <v>1</v>
      </c>
      <c r="C14" s="3">
        <f>(Sheet1!C14 - Sheet1!$B$34) / (Sheet1!$B$35 - Sheet1!$B$34)</f>
        <v>0.9132707711</v>
      </c>
      <c r="D14" s="3">
        <f>(Sheet1!D14 - Sheet1!$B$34) / (Sheet1!$B$35 - Sheet1!$B$34)</f>
        <v>0.8541190389</v>
      </c>
      <c r="E14" s="3">
        <f>(Sheet1!E14 - Sheet1!$B$34) / (Sheet1!$B$35 - Sheet1!$B$34)</f>
        <v>0.7946475676</v>
      </c>
      <c r="F14" s="3">
        <f>(Sheet1!F14 - Sheet1!$B$34) / (Sheet1!$B$35 - Sheet1!$B$34)</f>
        <v>0.8474045179</v>
      </c>
      <c r="G14" s="3">
        <f>(Sheet1!G14 - Sheet1!$B$34) / (Sheet1!$B$35 - Sheet1!$B$34)</f>
        <v>0.9871305015</v>
      </c>
      <c r="H14" s="3">
        <f>(Sheet1!H14 - Sheet1!$B$34) / (Sheet1!$B$35 - Sheet1!$B$34)</f>
        <v>0.8266214769</v>
      </c>
      <c r="I14" s="3">
        <f>(Sheet1!I14 - Sheet1!$B$34) / (Sheet1!$B$35 - Sheet1!$B$34)</f>
        <v>0.823743825</v>
      </c>
      <c r="J14" s="3">
        <f>(Sheet1!J14 - Sheet1!$B$34) / (Sheet1!$B$35 - Sheet1!$B$34)</f>
        <v>0.7610749628</v>
      </c>
      <c r="K14" s="3">
        <f>(Sheet1!K14 - Sheet1!$B$34) / (Sheet1!$B$35 - Sheet1!$B$34)</f>
        <v>0.7530814855</v>
      </c>
      <c r="L14" s="3">
        <f>(Sheet1!L14 - Sheet1!$B$34) / (Sheet1!$B$35 - Sheet1!$B$34)</f>
        <v>0.7824974821</v>
      </c>
      <c r="M14" s="3">
        <f>(Sheet1!M14 - Sheet1!$B$34) / (Sheet1!$B$35 - Sheet1!$B$34)</f>
        <v>0.7924093939</v>
      </c>
      <c r="P14" s="3">
        <f>IFERROR(__xludf.DUMMYFUNCTION("""COMPUTED_VALUE"""),0.31503892823456064)</f>
        <v>0.3150389282</v>
      </c>
    </row>
    <row r="15">
      <c r="A15" s="1" t="s">
        <v>25</v>
      </c>
      <c r="B15" s="3">
        <f>(Sheet1!B15 - Sheet1!$B$34) / (Sheet1!$B$35 - Sheet1!$B$34)</f>
        <v>1</v>
      </c>
      <c r="C15" s="3">
        <f>(Sheet1!C15 - Sheet1!$B$34) / (Sheet1!$B$35 - Sheet1!$B$34)</f>
        <v>1</v>
      </c>
      <c r="D15" s="3">
        <f>(Sheet1!D15 - Sheet1!$B$34) / (Sheet1!$B$35 - Sheet1!$B$34)</f>
        <v>1</v>
      </c>
      <c r="E15" s="3">
        <f>(Sheet1!E15 - Sheet1!$B$34) / (Sheet1!$B$35 - Sheet1!$B$34)</f>
        <v>1</v>
      </c>
      <c r="F15" s="3">
        <f>(Sheet1!F15 - Sheet1!$B$34) / (Sheet1!$B$35 - Sheet1!$B$34)</f>
        <v>0.9433262458</v>
      </c>
      <c r="G15" s="3">
        <f>(Sheet1!G15 - Sheet1!$B$34) / (Sheet1!$B$35 - Sheet1!$B$34)</f>
        <v>0.8007226103</v>
      </c>
      <c r="H15" s="3">
        <f>(Sheet1!H15 - Sheet1!$B$34) / (Sheet1!$B$35 - Sheet1!$B$34)</f>
        <v>0.7390129654</v>
      </c>
      <c r="I15" s="3">
        <f>(Sheet1!I15 - Sheet1!$B$34) / (Sheet1!$B$35 - Sheet1!$B$34)</f>
        <v>0.7607552237</v>
      </c>
      <c r="J15" s="3">
        <f>(Sheet1!J15 - Sheet1!$B$34) / (Sheet1!$B$35 - Sheet1!$B$34)</f>
        <v>0.6875349715</v>
      </c>
      <c r="K15" s="3">
        <f>(Sheet1!K15 - Sheet1!$B$34) / (Sheet1!$B$35 - Sheet1!$B$34)</f>
        <v>0.5161548177</v>
      </c>
      <c r="L15" s="3">
        <f>(Sheet1!L15 - Sheet1!$B$34) / (Sheet1!$B$35 - Sheet1!$B$34)</f>
        <v>0.7143930553</v>
      </c>
      <c r="M15" s="3">
        <f>(Sheet1!M15 - Sheet1!$B$34) / (Sheet1!$B$35 - Sheet1!$B$34)</f>
        <v>0.6485268021</v>
      </c>
      <c r="P15" s="3">
        <f>IFERROR(__xludf.DUMMYFUNCTION("""COMPUTED_VALUE"""),0.4672347364550527)</f>
        <v>0.4672347365</v>
      </c>
    </row>
    <row r="16">
      <c r="A16" s="1" t="s">
        <v>26</v>
      </c>
      <c r="B16" s="3">
        <f>(Sheet1!B16 - Sheet1!$B$34) / (Sheet1!$B$35 - Sheet1!$B$34)</f>
        <v>0.1996131157</v>
      </c>
      <c r="C16" s="3">
        <f>(Sheet1!C16 - Sheet1!$B$34) / (Sheet1!$B$35 - Sheet1!$B$34)</f>
        <v>0.2037697239</v>
      </c>
      <c r="D16" s="3">
        <f>(Sheet1!D16 - Sheet1!$B$34) / (Sheet1!$B$35 - Sheet1!$B$34)</f>
        <v>0.1986538984</v>
      </c>
      <c r="E16" s="3">
        <f>(Sheet1!E16 - Sheet1!$B$34) / (Sheet1!$B$35 - Sheet1!$B$34)</f>
        <v>0.1887419865</v>
      </c>
      <c r="F16" s="3">
        <f>(Sheet1!F16 - Sheet1!$B$34) / (Sheet1!$B$35 - Sheet1!$B$34)</f>
        <v>0.2821058017</v>
      </c>
      <c r="G16" s="3">
        <f>(Sheet1!G16 - Sheet1!$B$34) / (Sheet1!$B$35 - Sheet1!$B$34)</f>
        <v>0.2165592876</v>
      </c>
      <c r="H16" s="3">
        <f>(Sheet1!H16 - Sheet1!$B$34) / (Sheet1!$B$35 - Sheet1!$B$34)</f>
        <v>0.2207158958</v>
      </c>
      <c r="I16" s="3">
        <f>(Sheet1!I16 - Sheet1!$B$34) / (Sheet1!$B$35 - Sheet1!$B$34)</f>
        <v>0.204089463</v>
      </c>
      <c r="J16" s="3">
        <f>(Sheet1!J16 - Sheet1!$B$34) / (Sheet1!$B$35 - Sheet1!$B$34)</f>
        <v>0.1797892919</v>
      </c>
      <c r="K16" s="3">
        <f>(Sheet1!K16 - Sheet1!$B$34) / (Sheet1!$B$35 - Sheet1!$B$34)</f>
        <v>0.1535706863</v>
      </c>
      <c r="L16" s="3">
        <f>(Sheet1!L16 - Sheet1!$B$34) / (Sheet1!$B$35 - Sheet1!$B$34)</f>
        <v>0.1500535563</v>
      </c>
      <c r="M16" s="3">
        <f>(Sheet1!M16 - Sheet1!$B$34) / (Sheet1!$B$35 - Sheet1!$B$34)</f>
        <v>0.1609246855</v>
      </c>
      <c r="P16" s="3">
        <f>IFERROR(__xludf.DUMMYFUNCTION("""COMPUTED_VALUE"""),0.35884318396188714)</f>
        <v>0.358843184</v>
      </c>
    </row>
    <row r="17">
      <c r="A17" s="1" t="s">
        <v>27</v>
      </c>
      <c r="B17" s="3">
        <f>(Sheet1!B17 - Sheet1!$B$34) / (Sheet1!$B$35 - Sheet1!$B$34)</f>
        <v>0.2309475468</v>
      </c>
      <c r="C17" s="3">
        <f>(Sheet1!C17 - Sheet1!$B$34) / (Sheet1!$B$35 - Sheet1!$B$34)</f>
        <v>0.2363831114</v>
      </c>
      <c r="D17" s="3">
        <f>(Sheet1!D17 - Sheet1!$B$34) / (Sheet1!$B$35 - Sheet1!$B$34)</f>
        <v>0.238621285</v>
      </c>
      <c r="E17" s="3">
        <f>(Sheet1!E17 - Sheet1!$B$34) / (Sheet1!$B$35 - Sheet1!$B$34)</f>
        <v>0.1698773801</v>
      </c>
      <c r="F17" s="3">
        <f>(Sheet1!F17 - Sheet1!$B$34) / (Sheet1!$B$35 - Sheet1!$B$34)</f>
        <v>0</v>
      </c>
      <c r="G17" s="3">
        <f>(Sheet1!G17 - Sheet1!$B$34) / (Sheet1!$B$35 - Sheet1!$B$34)</f>
        <v>0</v>
      </c>
      <c r="H17" s="3">
        <f>(Sheet1!H17 - Sheet1!$B$34) / (Sheet1!$B$35 - Sheet1!$B$34)</f>
        <v>0.1206375598</v>
      </c>
      <c r="I17" s="3">
        <f>(Sheet1!I17 - Sheet1!$B$34) / (Sheet1!$B$35 - Sheet1!$B$34)</f>
        <v>0.2162395485</v>
      </c>
      <c r="J17" s="3">
        <f>(Sheet1!J17 - Sheet1!$B$34) / (Sheet1!$B$35 - Sheet1!$B$34)</f>
        <v>0.09889530143</v>
      </c>
      <c r="K17" s="3">
        <f>(Sheet1!K17 - Sheet1!$B$34) / (Sheet1!$B$35 - Sheet1!$B$34)</f>
        <v>0.09282025867</v>
      </c>
      <c r="L17" s="3">
        <f>(Sheet1!L17 - Sheet1!$B$34) / (Sheet1!$B$35 - Sheet1!$B$34)</f>
        <v>0.09377947595</v>
      </c>
      <c r="M17" s="3">
        <f>(Sheet1!M17 - Sheet1!$B$34) / (Sheet1!$B$35 - Sheet1!$B$34)</f>
        <v>0.1654010328</v>
      </c>
      <c r="P17" s="3">
        <f>IFERROR(__xludf.DUMMYFUNCTION("""COMPUTED_VALUE"""),0.31407971095586007)</f>
        <v>0.314079711</v>
      </c>
    </row>
    <row r="18">
      <c r="A18" s="1" t="s">
        <v>28</v>
      </c>
      <c r="B18" s="3">
        <f>(Sheet1!B18 - Sheet1!$B$34) / (Sheet1!$B$35 - Sheet1!$B$34)</f>
        <v>0.2766702371</v>
      </c>
      <c r="C18" s="3">
        <f>(Sheet1!C18 - Sheet1!$B$34) / (Sheet1!$B$35 - Sheet1!$B$34)</f>
        <v>0.2766702371</v>
      </c>
      <c r="D18" s="3">
        <f>(Sheet1!D18 - Sheet1!$B$34) / (Sheet1!$B$35 - Sheet1!$B$34)</f>
        <v>0.197055203</v>
      </c>
      <c r="E18" s="3">
        <f>(Sheet1!E18 - Sheet1!$B$34) / (Sheet1!$B$35 - Sheet1!$B$34)</f>
        <v>0.1129638215</v>
      </c>
      <c r="F18" s="3">
        <f>(Sheet1!F18 - Sheet1!$B$34) / (Sheet1!$B$35 - Sheet1!$B$34)</f>
        <v>0.1701971192</v>
      </c>
      <c r="G18" s="3">
        <f>(Sheet1!G18 - Sheet1!$B$34) / (Sheet1!$B$35 - Sheet1!$B$34)</f>
        <v>0.2133618967</v>
      </c>
      <c r="H18" s="3">
        <f>(Sheet1!H18 - Sheet1!$B$34) / (Sheet1!$B$35 - Sheet1!$B$34)</f>
        <v>0.2568464133</v>
      </c>
      <c r="I18" s="3">
        <f>(Sheet1!I18 - Sheet1!$B$34) / (Sheet1!$B$35 - Sheet1!$B$34)</f>
        <v>0.2875413662</v>
      </c>
      <c r="J18" s="3">
        <f>(Sheet1!J18 - Sheet1!$B$34) / (Sheet1!$B$35 - Sheet1!$B$34)</f>
        <v>0.3230324056</v>
      </c>
      <c r="K18" s="3">
        <f>(Sheet1!K18 - Sheet1!$B$34) / (Sheet1!$B$35 - Sheet1!$B$34)</f>
        <v>0.2769899762</v>
      </c>
      <c r="L18" s="3">
        <f>(Sheet1!L18 - Sheet1!$B$34) / (Sheet1!$B$35 - Sheet1!$B$34)</f>
        <v>0.2171987658</v>
      </c>
      <c r="M18" s="3">
        <f>(Sheet1!M18 - Sheet1!$B$34) / (Sheet1!$B$35 - Sheet1!$B$34)</f>
        <v>0.1823472047</v>
      </c>
      <c r="P18" s="3">
        <f>IFERROR(__xludf.DUMMYFUNCTION("""COMPUTED_VALUE"""),0.4464516954165402)</f>
        <v>0.4464516954</v>
      </c>
    </row>
    <row r="19">
      <c r="A19" s="1" t="s">
        <v>29</v>
      </c>
      <c r="B19" s="3">
        <f>(Sheet1!B19 - Sheet1!$B$34) / (Sheet1!$B$35 - Sheet1!$B$34)</f>
        <v>0.3479720548</v>
      </c>
      <c r="C19" s="3">
        <f>(Sheet1!C19 - Sheet1!$B$34) / (Sheet1!$B$35 - Sheet1!$B$34)</f>
        <v>0.331345622</v>
      </c>
      <c r="D19" s="3">
        <f>(Sheet1!D19 - Sheet1!$B$34) / (Sheet1!$B$35 - Sheet1!$B$34)</f>
        <v>0.2750715416</v>
      </c>
      <c r="E19" s="3">
        <f>(Sheet1!E19 - Sheet1!$B$34) / (Sheet1!$B$35 - Sheet1!$B$34)</f>
        <v>0.3626800531</v>
      </c>
      <c r="F19" s="3">
        <f>(Sheet1!F19 - Sheet1!$B$34) / (Sheet1!$B$35 - Sheet1!$B$34)</f>
        <v>0.3879394414</v>
      </c>
      <c r="G19" s="3">
        <f>(Sheet1!G19 - Sheet1!$B$34) / (Sheet1!$B$35 - Sheet1!$B$34)</f>
        <v>0.31439945</v>
      </c>
      <c r="H19" s="3">
        <f>(Sheet1!H19 - Sheet1!$B$34) / (Sheet1!$B$35 - Sheet1!$B$34)</f>
        <v>0.4045658742</v>
      </c>
      <c r="I19" s="3">
        <f>(Sheet1!I19 - Sheet1!$B$34) / (Sheet1!$B$35 - Sheet1!$B$34)</f>
        <v>0.3434957075</v>
      </c>
      <c r="J19" s="3">
        <f>(Sheet1!J19 - Sheet1!$B$34) / (Sheet1!$B$35 - Sheet1!$B$34)</f>
        <v>0.3716327477</v>
      </c>
      <c r="K19" s="3">
        <f>(Sheet1!K19 - Sheet1!$B$34) / (Sheet1!$B$35 - Sheet1!$B$34)</f>
        <v>0.4419753481</v>
      </c>
      <c r="L19" s="3">
        <f>(Sheet1!L19 - Sheet1!$B$34) / (Sheet1!$B$35 - Sheet1!$B$34)</f>
        <v>0.3748301386</v>
      </c>
      <c r="M19" s="3">
        <f>(Sheet1!M19 - Sheet1!$B$34) / (Sheet1!$B$35 - Sheet1!$B$34)</f>
        <v>0.4403766527</v>
      </c>
      <c r="P19" s="3">
        <f>IFERROR(__xludf.DUMMYFUNCTION("""COMPUTED_VALUE"""),0.4093619606401177)</f>
        <v>0.4093619606</v>
      </c>
    </row>
    <row r="20">
      <c r="A20" s="1" t="s">
        <v>30</v>
      </c>
      <c r="B20" s="3">
        <f>(Sheet1!B20 - Sheet1!$B$34) / (Sheet1!$B$35 - Sheet1!$B$34)</f>
        <v>1</v>
      </c>
      <c r="C20" s="3">
        <f>(Sheet1!C20 - Sheet1!$B$34) / (Sheet1!$B$35 - Sheet1!$B$34)</f>
        <v>1</v>
      </c>
      <c r="D20" s="3">
        <f>(Sheet1!D20 - Sheet1!$B$34) / (Sheet1!$B$35 - Sheet1!$B$34)</f>
        <v>1</v>
      </c>
      <c r="E20" s="3">
        <f>(Sheet1!E20 - Sheet1!$B$34) / (Sheet1!$B$35 - Sheet1!$B$34)</f>
        <v>1</v>
      </c>
      <c r="F20" s="3">
        <f>(Sheet1!F20 - Sheet1!$B$34) / (Sheet1!$B$35 - Sheet1!$B$34)</f>
        <v>0.9321353775</v>
      </c>
      <c r="G20" s="3">
        <f>(Sheet1!G20 - Sheet1!$B$34) / (Sheet1!$B$35 - Sheet1!$B$34)</f>
        <v>0.9023996419</v>
      </c>
      <c r="H20" s="3">
        <f>(Sheet1!H20 - Sheet1!$B$34) / (Sheet1!$B$35 - Sheet1!$B$34)</f>
        <v>0.8819363399</v>
      </c>
      <c r="I20" s="3">
        <f>(Sheet1!I20 - Sheet1!$B$34) / (Sheet1!$B$35 - Sheet1!$B$34)</f>
        <v>0.8384518233</v>
      </c>
      <c r="J20" s="3">
        <f>(Sheet1!J20 - Sheet1!$B$34) / (Sheet1!$B$35 - Sheet1!$B$34)</f>
        <v>0.8880113827</v>
      </c>
      <c r="K20" s="3">
        <f>(Sheet1!K20 - Sheet1!$B$34) / (Sheet1!$B$35 - Sheet1!$B$34)</f>
        <v>0.8832152963</v>
      </c>
      <c r="L20" s="3">
        <f>(Sheet1!L20 - Sheet1!$B$34) / (Sheet1!$B$35 - Sheet1!$B$34)</f>
        <v>0.8921679909</v>
      </c>
      <c r="M20" s="3">
        <f>(Sheet1!M20 - Sheet1!$B$34) / (Sheet1!$B$35 - Sheet1!$B$34)</f>
        <v>0.906236511</v>
      </c>
      <c r="P20" s="3">
        <f>IFERROR(__xludf.DUMMYFUNCTION("""COMPUTED_VALUE"""),0.33869962110917495)</f>
        <v>0.3386996211</v>
      </c>
    </row>
    <row r="21">
      <c r="A21" s="1" t="s">
        <v>31</v>
      </c>
      <c r="B21" s="3">
        <f>(Sheet1!B21 - Sheet1!$B$34) / (Sheet1!$B$35 - Sheet1!$B$34)</f>
        <v>0.2462950233</v>
      </c>
      <c r="C21" s="3">
        <f>(Sheet1!C21 - Sheet1!$B$34) / (Sheet1!$B$35 - Sheet1!$B$34)</f>
        <v>0.2574858915</v>
      </c>
      <c r="D21" s="3">
        <f>(Sheet1!D21 - Sheet1!$B$34) / (Sheet1!$B$35 - Sheet1!$B$34)</f>
        <v>0.2482134578</v>
      </c>
      <c r="E21" s="3">
        <f>(Sheet1!E21 - Sheet1!$B$34) / (Sheet1!$B$35 - Sheet1!$B$34)</f>
        <v>0.2872216272</v>
      </c>
      <c r="F21" s="3">
        <f>(Sheet1!F21 - Sheet1!$B$34) / (Sheet1!$B$35 - Sheet1!$B$34)</f>
        <v>0.3428562293</v>
      </c>
      <c r="G21" s="3">
        <f>(Sheet1!G21 - Sheet1!$B$34) / (Sheet1!$B$35 - Sheet1!$B$34)</f>
        <v>0.1912998993</v>
      </c>
      <c r="H21" s="3">
        <f>(Sheet1!H21 - Sheet1!$B$34) / (Sheet1!$B$35 - Sheet1!$B$34)</f>
        <v>0.2018512893</v>
      </c>
      <c r="I21" s="3">
        <f>(Sheet1!I21 - Sheet1!$B$34) / (Sheet1!$B$35 - Sheet1!$B$34)</f>
        <v>0.2725136289</v>
      </c>
      <c r="J21" s="3">
        <f>(Sheet1!J21 - Sheet1!$B$34) / (Sheet1!$B$35 - Sheet1!$B$34)</f>
        <v>0.2920177135</v>
      </c>
      <c r="K21" s="3">
        <f>(Sheet1!K21 - Sheet1!$B$34) / (Sheet1!$B$35 - Sheet1!$B$34)</f>
        <v>0.3243113619</v>
      </c>
      <c r="L21" s="3">
        <f>(Sheet1!L21 - Sheet1!$B$34) / (Sheet1!$B$35 - Sheet1!$B$34)</f>
        <v>0.1797892919</v>
      </c>
      <c r="M21" s="3">
        <f>(Sheet1!M21 - Sheet1!$B$34) / (Sheet1!$B$35 - Sheet1!$B$34)</f>
        <v>0.1442982526</v>
      </c>
      <c r="P21" s="3">
        <f>IFERROR(__xludf.DUMMYFUNCTION("""COMPUTED_VALUE"""),0.36843535674889294)</f>
        <v>0.3684353567</v>
      </c>
    </row>
    <row r="22">
      <c r="A22" s="1" t="s">
        <v>32</v>
      </c>
      <c r="B22" s="3">
        <f>(Sheet1!B22 - Sheet1!$B$34) / (Sheet1!$B$35 - Sheet1!$B$34)</f>
        <v>0.493133603</v>
      </c>
      <c r="C22" s="3">
        <f>(Sheet1!C22 - Sheet1!$B$34) / (Sheet1!$B$35 - Sheet1!$B$34)</f>
        <v>0.4745887356</v>
      </c>
      <c r="D22" s="3">
        <f>(Sheet1!D22 - Sheet1!$B$34) / (Sheet1!$B$35 - Sheet1!$B$34)</f>
        <v>0.4940928203</v>
      </c>
      <c r="E22" s="3">
        <f>(Sheet1!E22 - Sheet1!$B$34) / (Sheet1!$B$35 - Sheet1!$B$34)</f>
        <v>0.3793064859</v>
      </c>
      <c r="F22" s="3">
        <f>(Sheet1!F22 - Sheet1!$B$34) / (Sheet1!$B$35 - Sheet1!$B$34)</f>
        <v>0.2578056306</v>
      </c>
      <c r="G22" s="3">
        <f>(Sheet1!G22 - Sheet1!$B$34) / (Sheet1!$B$35 - Sheet1!$B$34)</f>
        <v>0.193857812</v>
      </c>
      <c r="H22" s="3">
        <f>(Sheet1!H22 - Sheet1!$B$34) / (Sheet1!$B$35 - Sheet1!$B$34)</f>
        <v>0.01736183274</v>
      </c>
      <c r="I22" s="3">
        <f>(Sheet1!I22 - Sheet1!$B$34) / (Sheet1!$B$35 - Sheet1!$B$34)</f>
        <v>0</v>
      </c>
      <c r="J22" s="3">
        <f>(Sheet1!J22 - Sheet1!$B$34) / (Sheet1!$B$35 - Sheet1!$B$34)</f>
        <v>0</v>
      </c>
      <c r="K22" s="3">
        <f>(Sheet1!K22 - Sheet1!$B$34) / (Sheet1!$B$35 - Sheet1!$B$34)</f>
        <v>0.1631628591</v>
      </c>
      <c r="L22" s="3">
        <f>(Sheet1!L22 - Sheet1!$B$34) / (Sheet1!$B$35 - Sheet1!$B$34)</f>
        <v>0.2478937187</v>
      </c>
      <c r="M22" s="3">
        <f>(Sheet1!M22 - Sheet1!$B$34) / (Sheet1!$B$35 - Sheet1!$B$34)</f>
        <v>0.2235935477</v>
      </c>
      <c r="P22" s="3">
        <f>IFERROR(__xludf.DUMMYFUNCTION("""COMPUTED_VALUE"""),0.3959329187383096)</f>
        <v>0.3959329187</v>
      </c>
    </row>
    <row r="23">
      <c r="A23" s="1" t="s">
        <v>33</v>
      </c>
      <c r="B23" s="3">
        <f>(Sheet1!B23 - Sheet1!$B$34) / (Sheet1!$B$35 - Sheet1!$B$34)</f>
        <v>0.6462886285</v>
      </c>
      <c r="C23" s="3">
        <f>(Sheet1!C23 - Sheet1!$B$34) / (Sheet1!$B$35 - Sheet1!$B$34)</f>
        <v>0.6146344583</v>
      </c>
      <c r="D23" s="3">
        <f>(Sheet1!D23 - Sheet1!$B$34) / (Sheet1!$B$35 - Sheet1!$B$34)</f>
        <v>0.6021646337</v>
      </c>
      <c r="E23" s="3">
        <f>(Sheet1!E23 - Sheet1!$B$34) / (Sheet1!$B$35 - Sheet1!$B$34)</f>
        <v>0.2603635433</v>
      </c>
      <c r="F23" s="3">
        <f>(Sheet1!F23 - Sheet1!$B$34) / (Sheet1!$B$35 - Sheet1!$B$34)</f>
        <v>0.1967354639</v>
      </c>
      <c r="G23" s="3">
        <f>(Sheet1!G23 - Sheet1!$B$34) / (Sheet1!$B$35 - Sheet1!$B$34)</f>
        <v>0.386340746</v>
      </c>
      <c r="H23" s="3">
        <f>(Sheet1!H23 - Sheet1!$B$34) / (Sheet1!$B$35 - Sheet1!$B$34)</f>
        <v>0.3316653611</v>
      </c>
      <c r="I23" s="3">
        <f>(Sheet1!I23 - Sheet1!$B$34) / (Sheet1!$B$35 - Sheet1!$B$34)</f>
        <v>0.2974532781</v>
      </c>
      <c r="J23" s="3">
        <f>(Sheet1!J23 - Sheet1!$B$34) / (Sheet1!$B$35 - Sheet1!$B$34)</f>
        <v>0.7786606129</v>
      </c>
      <c r="K23" s="3">
        <f>(Sheet1!K23 - Sheet1!$B$34) / (Sheet1!$B$35 - Sheet1!$B$34)</f>
        <v>0.6133555019</v>
      </c>
      <c r="L23" s="3">
        <f>(Sheet1!L23 - Sheet1!$B$34) / (Sheet1!$B$35 - Sheet1!$B$34)</f>
        <v>0.6181515883</v>
      </c>
      <c r="M23" s="3">
        <f>(Sheet1!M23 - Sheet1!$B$34) / (Sheet1!$B$35 - Sheet1!$B$34)</f>
        <v>0.7498840946</v>
      </c>
      <c r="P23" s="3">
        <f>IFERROR(__xludf.DUMMYFUNCTION("""COMPUTED_VALUE"""),0.37483013860689685)</f>
        <v>0.3748301386</v>
      </c>
    </row>
    <row r="24">
      <c r="A24" s="1" t="s">
        <v>34</v>
      </c>
      <c r="B24" s="3">
        <f>(Sheet1!B24 - Sheet1!$B$34) / (Sheet1!$B$35 - Sheet1!$B$34)</f>
        <v>0.1810682483</v>
      </c>
      <c r="C24" s="3">
        <f>(Sheet1!C24 - Sheet1!$B$34) / (Sheet1!$B$35 - Sheet1!$B$34)</f>
        <v>0.2056881585</v>
      </c>
      <c r="D24" s="3">
        <f>(Sheet1!D24 - Sheet1!$B$34) / (Sheet1!$B$35 - Sheet1!$B$34)</f>
        <v>0.0004156608208</v>
      </c>
      <c r="E24" s="3">
        <f>(Sheet1!E24 - Sheet1!$B$34) / (Sheet1!$B$35 - Sheet1!$B$34)</f>
        <v>0</v>
      </c>
      <c r="F24" s="3">
        <f>(Sheet1!F24 - Sheet1!$B$34) / (Sheet1!$B$35 - Sheet1!$B$34)</f>
        <v>0</v>
      </c>
      <c r="G24" s="3">
        <f>(Sheet1!G24 - Sheet1!$B$34) / (Sheet1!$B$35 - Sheet1!$B$34)</f>
        <v>0</v>
      </c>
      <c r="H24" s="3">
        <f>(Sheet1!H24 - Sheet1!$B$34) / (Sheet1!$B$35 - Sheet1!$B$34)</f>
        <v>0</v>
      </c>
      <c r="I24" s="3">
        <f>(Sheet1!I24 - Sheet1!$B$34) / (Sheet1!$B$35 - Sheet1!$B$34)</f>
        <v>0.05253313296</v>
      </c>
      <c r="J24" s="3">
        <f>(Sheet1!J24 - Sheet1!$B$34) / (Sheet1!$B$35 - Sheet1!$B$34)</f>
        <v>0.05029495931</v>
      </c>
      <c r="K24" s="3">
        <f>(Sheet1!K24 - Sheet1!$B$34) / (Sheet1!$B$35 - Sheet1!$B$34)</f>
        <v>0.1084874742</v>
      </c>
      <c r="L24" s="3">
        <f>(Sheet1!L24 - Sheet1!$B$34) / (Sheet1!$B$35 - Sheet1!$B$34)</f>
        <v>0.1497338172</v>
      </c>
      <c r="M24" s="3">
        <f>(Sheet1!M24 - Sheet1!$B$34) / (Sheet1!$B$35 - Sheet1!$B$34)</f>
        <v>0.1721155537</v>
      </c>
      <c r="P24" s="3">
        <f>IFERROR(__xludf.DUMMYFUNCTION("""COMPUTED_VALUE"""),0.30033092996115174)</f>
        <v>0.30033093</v>
      </c>
    </row>
    <row r="25">
      <c r="A25" s="1" t="s">
        <v>35</v>
      </c>
      <c r="B25" s="3">
        <f>(Sheet1!B25 - Sheet1!$B$34) / (Sheet1!$B$35 - Sheet1!$B$34)</f>
        <v>0.02215791914</v>
      </c>
      <c r="C25" s="3">
        <f>(Sheet1!C25 - Sheet1!$B$34) / (Sheet1!$B$35 - Sheet1!$B$34)</f>
        <v>0</v>
      </c>
      <c r="D25" s="3">
        <f>(Sheet1!D25 - Sheet1!$B$34) / (Sheet1!$B$35 - Sheet1!$B$34)</f>
        <v>0.07907147767</v>
      </c>
      <c r="E25" s="3">
        <f>(Sheet1!E25 - Sheet1!$B$34) / (Sheet1!$B$35 - Sheet1!$B$34)</f>
        <v>0.5171140349</v>
      </c>
      <c r="F25" s="3">
        <f>(Sheet1!F25 - Sheet1!$B$34) / (Sheet1!$B$35 - Sheet1!$B$34)</f>
        <v>0.1391824271</v>
      </c>
      <c r="G25" s="3">
        <f>(Sheet1!G25 - Sheet1!$B$34) / (Sheet1!$B$35 - Sheet1!$B$34)</f>
        <v>0</v>
      </c>
      <c r="H25" s="3">
        <f>(Sheet1!H25 - Sheet1!$B$34) / (Sheet1!$B$35 - Sheet1!$B$34)</f>
        <v>0.1583667727</v>
      </c>
      <c r="I25" s="3">
        <f>(Sheet1!I25 - Sheet1!$B$34) / (Sheet1!$B$35 - Sheet1!$B$34)</f>
        <v>0.4039263961</v>
      </c>
      <c r="J25" s="3">
        <f>(Sheet1!J25 - Sheet1!$B$34) / (Sheet1!$B$35 - Sheet1!$B$34)</f>
        <v>0</v>
      </c>
      <c r="K25" s="3">
        <f>(Sheet1!K25 - Sheet1!$B$34) / (Sheet1!$B$35 - Sheet1!$B$34)</f>
        <v>0</v>
      </c>
      <c r="L25" s="3">
        <f>(Sheet1!L25 - Sheet1!$B$34) / (Sheet1!$B$35 - Sheet1!$B$34)</f>
        <v>0</v>
      </c>
      <c r="M25" s="3">
        <f>(Sheet1!M25 - Sheet1!$B$34) / (Sheet1!$B$35 - Sheet1!$B$34)</f>
        <v>0.05732921936</v>
      </c>
      <c r="P25" s="3">
        <f>IFERROR(__xludf.DUMMYFUNCTION("""COMPUTED_VALUE"""),0.2961743217534492)</f>
        <v>0.2961743218</v>
      </c>
    </row>
    <row r="26">
      <c r="A26" s="1" t="s">
        <v>36</v>
      </c>
      <c r="B26" s="3">
        <f>(Sheet1!B26 - Sheet1!$B$34) / (Sheet1!$B$35 - Sheet1!$B$34)</f>
        <v>0.589694809</v>
      </c>
      <c r="C26" s="3">
        <f>(Sheet1!C26 - Sheet1!$B$34) / (Sheet1!$B$35 - Sheet1!$B$34)</f>
        <v>0.5903342872</v>
      </c>
      <c r="D26" s="3">
        <f>(Sheet1!D26 - Sheet1!$B$34) / (Sheet1!$B$35 - Sheet1!$B$34)</f>
        <v>0.5785039408</v>
      </c>
      <c r="E26" s="3">
        <f>(Sheet1!E26 - Sheet1!$B$34) / (Sheet1!$B$35 - Sheet1!$B$34)</f>
        <v>0.6197502838</v>
      </c>
      <c r="F26" s="3">
        <f>(Sheet1!F26 - Sheet1!$B$34) / (Sheet1!$B$35 - Sheet1!$B$34)</f>
        <v>0.6127160237</v>
      </c>
      <c r="G26" s="3">
        <f>(Sheet1!G26 - Sheet1!$B$34) / (Sheet1!$B$35 - Sheet1!$B$34)</f>
        <v>0.6395741075</v>
      </c>
      <c r="H26" s="3">
        <f>(Sheet1!H26 - Sheet1!$B$34) / (Sheet1!$B$35 - Sheet1!$B$34)</f>
        <v>0.6673914086</v>
      </c>
      <c r="I26" s="3">
        <f>(Sheet1!I26 - Sheet1!$B$34) / (Sheet1!$B$35 - Sheet1!$B$34)</f>
        <v>0.6507649758</v>
      </c>
      <c r="J26" s="3">
        <f>(Sheet1!J26 - Sheet1!$B$34) / (Sheet1!$B$35 - Sheet1!$B$34)</f>
        <v>0.692970536</v>
      </c>
      <c r="K26" s="3">
        <f>(Sheet1!K26 - Sheet1!$B$34) / (Sheet1!$B$35 - Sheet1!$B$34)</f>
        <v>0.6948889706</v>
      </c>
      <c r="L26" s="3">
        <f>(Sheet1!L26 - Sheet1!$B$34) / (Sheet1!$B$35 - Sheet1!$B$34)</f>
        <v>0.6562005404</v>
      </c>
      <c r="M26" s="3">
        <f>(Sheet1!M26 - Sheet1!$B$34) / (Sheet1!$B$35 - Sheet1!$B$34)</f>
        <v>0.734216879</v>
      </c>
      <c r="P26" s="3">
        <f>IFERROR(__xludf.DUMMYFUNCTION("""COMPUTED_VALUE"""),0.6843375805342841)</f>
        <v>0.6843375805</v>
      </c>
    </row>
    <row r="27">
      <c r="A27" s="1" t="s">
        <v>37</v>
      </c>
      <c r="B27" s="3">
        <f>(Sheet1!B27 - Sheet1!$B$34) / (Sheet1!$B$35 - Sheet1!$B$34)</f>
        <v>0.2347844159</v>
      </c>
      <c r="C27" s="3">
        <f>(Sheet1!C27 - Sheet1!$B$34) / (Sheet1!$B$35 - Sheet1!$B$34)</f>
        <v>0.1251139071</v>
      </c>
      <c r="D27" s="3">
        <f>(Sheet1!D27 - Sheet1!$B$34) / (Sheet1!$B$35 - Sheet1!$B$34)</f>
        <v>0.2715544116</v>
      </c>
      <c r="E27" s="3">
        <f>(Sheet1!E27 - Sheet1!$B$34) / (Sheet1!$B$35 - Sheet1!$B$34)</f>
        <v>0.3815446596</v>
      </c>
      <c r="F27" s="3">
        <f>(Sheet1!F27 - Sheet1!$B$34) / (Sheet1!$B$35 - Sheet1!$B$34)</f>
        <v>0.3460536202</v>
      </c>
      <c r="G27" s="3">
        <f>(Sheet1!G27 - Sheet1!$B$34) / (Sheet1!$B$35 - Sheet1!$B$34)</f>
        <v>0.3169573628</v>
      </c>
      <c r="H27" s="3">
        <f>(Sheet1!H27 - Sheet1!$B$34) / (Sheet1!$B$35 - Sheet1!$B$34)</f>
        <v>0.3793064859</v>
      </c>
      <c r="I27" s="3">
        <f>(Sheet1!I27 - Sheet1!$B$34) / (Sheet1!$B$35 - Sheet1!$B$34)</f>
        <v>0.3719524868</v>
      </c>
      <c r="J27" s="3">
        <f>(Sheet1!J27 - Sheet1!$B$34) / (Sheet1!$B$35 - Sheet1!$B$34)</f>
        <v>0.2916979745</v>
      </c>
      <c r="K27" s="3">
        <f>(Sheet1!K27 - Sheet1!$B$34) / (Sheet1!$B$35 - Sheet1!$B$34)</f>
        <v>0.3434957075</v>
      </c>
      <c r="L27" s="3">
        <f>(Sheet1!L27 - Sheet1!$B$34) / (Sheet1!$B$35 - Sheet1!$B$34)</f>
        <v>0.3543668367</v>
      </c>
      <c r="M27" s="3">
        <f>(Sheet1!M27 - Sheet1!$B$34) / (Sheet1!$B$35 - Sheet1!$B$34)</f>
        <v>0.4985691676</v>
      </c>
      <c r="P27" s="3">
        <f>IFERROR(__xludf.DUMMYFUNCTION("""COMPUTED_VALUE"""),0.7278220971687104)</f>
        <v>0.7278220972</v>
      </c>
    </row>
    <row r="28">
      <c r="A28" s="1" t="s">
        <v>38</v>
      </c>
      <c r="B28" s="3">
        <f>(Sheet1!B28 - Sheet1!$B$34) / (Sheet1!$B$35 - Sheet1!$B$34)</f>
        <v>0.1548496427</v>
      </c>
      <c r="C28" s="3">
        <f>(Sheet1!C28 - Sheet1!$B$34) / (Sheet1!$B$35 - Sheet1!$B$34)</f>
        <v>0.197374942</v>
      </c>
      <c r="D28" s="3">
        <f>(Sheet1!D28 - Sheet1!$B$34) / (Sheet1!$B$35 - Sheet1!$B$34)</f>
        <v>0.2363831114</v>
      </c>
      <c r="E28" s="3">
        <f>(Sheet1!E28 - Sheet1!$B$34) / (Sheet1!$B$35 - Sheet1!$B$34)</f>
        <v>0.2226343304</v>
      </c>
      <c r="F28" s="3">
        <f>(Sheet1!F28 - Sheet1!$B$34) / (Sheet1!$B$35 - Sheet1!$B$34)</f>
        <v>0.1231954725</v>
      </c>
      <c r="G28" s="3">
        <f>(Sheet1!G28 - Sheet1!$B$34) / (Sheet1!$B$35 - Sheet1!$B$34)</f>
        <v>0.2056881585</v>
      </c>
      <c r="H28" s="3">
        <f>(Sheet1!H28 - Sheet1!$B$34) / (Sheet1!$B$35 - Sheet1!$B$34)</f>
        <v>0.2034499848</v>
      </c>
      <c r="I28" s="3">
        <f>(Sheet1!I28 - Sheet1!$B$34) / (Sheet1!$B$35 - Sheet1!$B$34)</f>
        <v>0.1976946811</v>
      </c>
      <c r="J28" s="3">
        <f>(Sheet1!J28 - Sheet1!$B$34) / (Sheet1!$B$35 - Sheet1!$B$34)</f>
        <v>0.1471759045</v>
      </c>
      <c r="K28" s="3">
        <f>(Sheet1!K28 - Sheet1!$B$34) / (Sheet1!$B$35 - Sheet1!$B$34)</f>
        <v>0.1701971192</v>
      </c>
      <c r="L28" s="3">
        <f>(Sheet1!L28 - Sheet1!$B$34) / (Sheet1!$B$35 - Sheet1!$B$34)</f>
        <v>0.1976946811</v>
      </c>
      <c r="M28" s="3">
        <f>(Sheet1!M28 - Sheet1!$B$34) / (Sheet1!$B$35 - Sheet1!$B$34)</f>
        <v>0.1935380729</v>
      </c>
      <c r="P28" s="3">
        <f>IFERROR(__xludf.DUMMYFUNCTION("""COMPUTED_VALUE"""),0.3754696167926972)</f>
        <v>0.3754696168</v>
      </c>
    </row>
    <row r="29">
      <c r="A29" s="1" t="s">
        <v>39</v>
      </c>
      <c r="B29" s="3">
        <f>(Sheet1!B29 - Sheet1!$B$34) / (Sheet1!$B$35 - Sheet1!$B$34)</f>
        <v>0.248852936</v>
      </c>
      <c r="C29" s="3">
        <f>(Sheet1!C29 - Sheet1!$B$34) / (Sheet1!$B$35 - Sheet1!$B$34)</f>
        <v>0.3284679701</v>
      </c>
      <c r="D29" s="3">
        <f>(Sheet1!D29 - Sheet1!$B$34) / (Sheet1!$B$35 - Sheet1!$B$34)</f>
        <v>0.09889530143</v>
      </c>
      <c r="E29" s="3">
        <f>(Sheet1!E29 - Sheet1!$B$34) / (Sheet1!$B$35 - Sheet1!$B$34)</f>
        <v>0</v>
      </c>
      <c r="F29" s="3">
        <f>(Sheet1!F29 - Sheet1!$B$34) / (Sheet1!$B$35 - Sheet1!$B$34)</f>
        <v>0</v>
      </c>
      <c r="G29" s="3">
        <f>(Sheet1!G29 - Sheet1!$B$34) / (Sheet1!$B$35 - Sheet1!$B$34)</f>
        <v>0.1036913878</v>
      </c>
      <c r="H29" s="3">
        <f>(Sheet1!H29 - Sheet1!$B$34) / (Sheet1!$B$35 - Sheet1!$B$34)</f>
        <v>0.107847996</v>
      </c>
      <c r="I29" s="3">
        <f>(Sheet1!I29 - Sheet1!$B$34) / (Sheet1!$B$35 - Sheet1!$B$34)</f>
        <v>0.1411008617</v>
      </c>
      <c r="J29" s="3">
        <f>(Sheet1!J29 - Sheet1!$B$34) / (Sheet1!$B$35 - Sheet1!$B$34)</f>
        <v>0.1442982526</v>
      </c>
      <c r="K29" s="3">
        <f>(Sheet1!K29 - Sheet1!$B$34) / (Sheet1!$B$35 - Sheet1!$B$34)</f>
        <v>0.07299643491</v>
      </c>
      <c r="L29" s="3">
        <f>(Sheet1!L29 - Sheet1!$B$34) / (Sheet1!$B$35 - Sheet1!$B$34)</f>
        <v>0.1596457291</v>
      </c>
      <c r="M29" s="3">
        <f>(Sheet1!M29 - Sheet1!$B$34) / (Sheet1!$B$35 - Sheet1!$B$34)</f>
        <v>0</v>
      </c>
      <c r="P29" s="3">
        <f>IFERROR(__xludf.DUMMYFUNCTION("""COMPUTED_VALUE"""),0.636376716599255)</f>
        <v>0.6363767166</v>
      </c>
    </row>
    <row r="30">
      <c r="A30" s="1" t="s">
        <v>40</v>
      </c>
      <c r="B30" s="3">
        <f>(Sheet1!B30 - Sheet1!$B$34) / (Sheet1!$B$35 - Sheet1!$B$34)</f>
        <v>0.2331857205</v>
      </c>
      <c r="C30" s="3">
        <f>(Sheet1!C30 - Sheet1!$B$34) / (Sheet1!$B$35 - Sheet1!$B$34)</f>
        <v>0.2932966699</v>
      </c>
      <c r="D30" s="3">
        <f>(Sheet1!D30 - Sheet1!$B$34) / (Sheet1!$B$35 - Sheet1!$B$34)</f>
        <v>0.2347844159</v>
      </c>
      <c r="E30" s="3">
        <f>(Sheet1!E30 - Sheet1!$B$34) / (Sheet1!$B$35 - Sheet1!$B$34)</f>
        <v>0.424389698</v>
      </c>
      <c r="F30" s="3">
        <f>(Sheet1!F30 - Sheet1!$B$34) / (Sheet1!$B$35 - Sheet1!$B$34)</f>
        <v>0.3687550958</v>
      </c>
      <c r="G30" s="3">
        <f>(Sheet1!G30 - Sheet1!$B$34) / (Sheet1!$B$35 - Sheet1!$B$34)</f>
        <v>0.4119198734</v>
      </c>
      <c r="H30" s="3">
        <f>(Sheet1!H30 - Sheet1!$B$34) / (Sheet1!$B$35 - Sheet1!$B$34)</f>
        <v>0.16284312</v>
      </c>
      <c r="I30" s="3">
        <f>(Sheet1!I30 - Sheet1!$B$34) / (Sheet1!$B$35 - Sheet1!$B$34)</f>
        <v>0.2082460712</v>
      </c>
      <c r="J30" s="3">
        <f>(Sheet1!J30 - Sheet1!$B$34) / (Sheet1!$B$35 - Sheet1!$B$34)</f>
        <v>0.3204744928</v>
      </c>
      <c r="K30" s="3">
        <f>(Sheet1!K30 - Sheet1!$B$34) / (Sheet1!$B$35 - Sheet1!$B$34)</f>
        <v>0.293616409</v>
      </c>
      <c r="L30" s="3">
        <f>(Sheet1!L30 - Sheet1!$B$34) / (Sheet1!$B$35 - Sheet1!$B$34)</f>
        <v>0.2546082397</v>
      </c>
      <c r="M30" s="3">
        <f>(Sheet1!M30 - Sheet1!$B$34) / (Sheet1!$B$35 - Sheet1!$B$34)</f>
        <v>0.3051270164</v>
      </c>
      <c r="P30" s="3">
        <f>IFERROR(__xludf.DUMMYFUNCTION("""COMPUTED_VALUE"""),0.33678118655177375)</f>
        <v>0.3367811866</v>
      </c>
    </row>
    <row r="31">
      <c r="P31" s="3">
        <f>IFERROR(__xludf.DUMMYFUNCTION("""COMPUTED_VALUE"""),0.07267669581621397)</f>
        <v>0.07267669582</v>
      </c>
    </row>
    <row r="32">
      <c r="P32" s="3">
        <f>IFERROR(__xludf.DUMMYFUNCTION("""COMPUTED_VALUE"""),0.2664385861137312)</f>
        <v>0.2664385861</v>
      </c>
    </row>
    <row r="33">
      <c r="P33" s="3">
        <f>IFERROR(__xludf.DUMMYFUNCTION("""COMPUTED_VALUE"""),0.010327572700676248)</f>
        <v>0.0103275727</v>
      </c>
    </row>
    <row r="34">
      <c r="A34" s="5" t="s">
        <v>41</v>
      </c>
      <c r="B34" s="3">
        <f>MIN(B2:N30)</f>
        <v>0</v>
      </c>
      <c r="P34" s="3">
        <f>IFERROR(__xludf.DUMMYFUNCTION("""COMPUTED_VALUE"""),0.25940432606992697)</f>
        <v>0.2594043261</v>
      </c>
    </row>
    <row r="35">
      <c r="A35" s="5" t="s">
        <v>42</v>
      </c>
      <c r="B35" s="3">
        <f>MAX(B2:N30)</f>
        <v>1</v>
      </c>
      <c r="P35" s="3">
        <f>IFERROR(__xludf.DUMMYFUNCTION("""COMPUTED_VALUE"""),0.6239068919761475)</f>
        <v>0.623906892</v>
      </c>
    </row>
    <row r="36">
      <c r="P36" s="3">
        <f>IFERROR(__xludf.DUMMYFUNCTION("""COMPUTED_VALUE"""),0.6450096721075602)</f>
        <v>0.6450096721</v>
      </c>
    </row>
    <row r="37">
      <c r="P37" s="3">
        <f>IFERROR(__xludf.DUMMYFUNCTION("""COMPUTED_VALUE"""),0.634778021134754)</f>
        <v>0.6347780211</v>
      </c>
    </row>
    <row r="38">
      <c r="P38" s="3">
        <f>IFERROR(__xludf.DUMMYFUNCTION("""COMPUTED_VALUE"""),0.3975316142028105)</f>
        <v>0.3975316142</v>
      </c>
    </row>
    <row r="39">
      <c r="P39" s="3">
        <f>IFERROR(__xludf.DUMMYFUNCTION("""COMPUTED_VALUE"""),0.43014500167863023)</f>
        <v>0.4301450017</v>
      </c>
    </row>
    <row r="40">
      <c r="P40" s="3">
        <f>IFERROR(__xludf.DUMMYFUNCTION("""COMPUTED_VALUE"""),0.45412543364614477)</f>
        <v>0.4541254336</v>
      </c>
    </row>
    <row r="41">
      <c r="P41" s="3">
        <f>IFERROR(__xludf.DUMMYFUNCTION("""COMPUTED_VALUE"""),0.3671564003772922)</f>
        <v>0.3671564004</v>
      </c>
    </row>
    <row r="42">
      <c r="P42" s="3">
        <f>IFERROR(__xludf.DUMMYFUNCTION("""COMPUTED_VALUE"""),0.3671564003772922)</f>
        <v>0.3671564004</v>
      </c>
    </row>
    <row r="43">
      <c r="P43" s="3">
        <f>IFERROR(__xludf.DUMMYFUNCTION("""COMPUTED_VALUE"""),0.3310258828795703)</f>
        <v>0.3310258829</v>
      </c>
    </row>
    <row r="44">
      <c r="P44" s="3">
        <f>IFERROR(__xludf.DUMMYFUNCTION("""COMPUTED_VALUE"""),0.38186439865070104)</f>
        <v>0.3818643987</v>
      </c>
    </row>
    <row r="45">
      <c r="P45" s="3">
        <f>IFERROR(__xludf.DUMMYFUNCTION("""COMPUTED_VALUE"""),0.38474205048680277)</f>
        <v>0.3847420505</v>
      </c>
    </row>
    <row r="46">
      <c r="P46" s="3">
        <f>IFERROR(__xludf.DUMMYFUNCTION("""COMPUTED_VALUE"""),0.4285463062141293)</f>
        <v>0.4285463062</v>
      </c>
    </row>
    <row r="47">
      <c r="P47" s="3">
        <f>IFERROR(__xludf.DUMMYFUNCTION("""COMPUTED_VALUE"""),0.9177471183514253)</f>
        <v>0.9177471184</v>
      </c>
    </row>
    <row r="48">
      <c r="P48" s="3">
        <f>IFERROR(__xludf.DUMMYFUNCTION("""COMPUTED_VALUE"""),0.9938450224616713)</f>
        <v>0.9938450225</v>
      </c>
    </row>
    <row r="49">
      <c r="P49" s="3">
        <f>IFERROR(__xludf.DUMMYFUNCTION("""COMPUTED_VALUE"""),1.0)</f>
        <v>1</v>
      </c>
    </row>
    <row r="50">
      <c r="P50" s="3">
        <f>IFERROR(__xludf.DUMMYFUNCTION("""COMPUTED_VALUE"""),0.7476459209285223)</f>
        <v>0.7476459209</v>
      </c>
    </row>
    <row r="51">
      <c r="P51" s="3">
        <f>IFERROR(__xludf.DUMMYFUNCTION("""COMPUTED_VALUE"""),0.8186279995523653)</f>
        <v>0.8186279996</v>
      </c>
    </row>
    <row r="52">
      <c r="P52" s="3">
        <f>IFERROR(__xludf.DUMMYFUNCTION("""COMPUTED_VALUE"""),0.8672283416731946)</f>
        <v>0.8672283417</v>
      </c>
    </row>
    <row r="53">
      <c r="P53" s="3">
        <f>IFERROR(__xludf.DUMMYFUNCTION("""COMPUTED_VALUE"""),0.6888139278348868)</f>
        <v>0.6888139278</v>
      </c>
    </row>
    <row r="54">
      <c r="P54" s="3">
        <f>IFERROR(__xludf.DUMMYFUNCTION("""COMPUTED_VALUE"""),0.5084810794391776)</f>
        <v>0.5084810794</v>
      </c>
    </row>
    <row r="55">
      <c r="P55" s="3">
        <f>IFERROR(__xludf.DUMMYFUNCTION("""COMPUTED_VALUE"""),0.616552892839443)</f>
        <v>0.6165528928</v>
      </c>
    </row>
    <row r="56">
      <c r="P56" s="3">
        <f>IFERROR(__xludf.DUMMYFUNCTION("""COMPUTED_VALUE"""),0.6693098431679749)</f>
        <v>0.6693098432</v>
      </c>
    </row>
    <row r="57">
      <c r="P57" s="3">
        <f>IFERROR(__xludf.DUMMYFUNCTION("""COMPUTED_VALUE"""),0.6146344582820419)</f>
        <v>0.6146344583</v>
      </c>
    </row>
    <row r="58">
      <c r="P58" s="3">
        <f>IFERROR(__xludf.DUMMYFUNCTION("""COMPUTED_VALUE"""),0.5676328116257134)</f>
        <v>0.5676328116</v>
      </c>
    </row>
    <row r="59">
      <c r="P59" s="3">
        <f>IFERROR(__xludf.DUMMYFUNCTION("""COMPUTED_VALUE"""),0.5382168150788956)</f>
        <v>0.5382168151</v>
      </c>
    </row>
    <row r="60">
      <c r="P60" s="3">
        <f>IFERROR(__xludf.DUMMYFUNCTION("""COMPUTED_VALUE"""),0.5119982094610798)</f>
        <v>0.5119982095</v>
      </c>
    </row>
    <row r="61">
      <c r="P61" s="3">
        <f>IFERROR(__xludf.DUMMYFUNCTION("""COMPUTED_VALUE"""),0.5430129014723984)</f>
        <v>0.5430129015</v>
      </c>
    </row>
    <row r="62">
      <c r="P62" s="3">
        <f>IFERROR(__xludf.DUMMYFUNCTION("""COMPUTED_VALUE"""),0.6897731451135872)</f>
        <v>0.6897731451</v>
      </c>
    </row>
    <row r="63">
      <c r="P63" s="3">
        <f>IFERROR(__xludf.DUMMYFUNCTION("""COMPUTED_VALUE"""),0.6005659381944333)</f>
        <v>0.6005659382</v>
      </c>
    </row>
    <row r="64">
      <c r="P64" s="3">
        <f>IFERROR(__xludf.DUMMYFUNCTION("""COMPUTED_VALUE"""),0.5084810794391776)</f>
        <v>0.5084810794</v>
      </c>
    </row>
    <row r="65">
      <c r="P65" s="3">
        <f>IFERROR(__xludf.DUMMYFUNCTION("""COMPUTED_VALUE"""),0.4685136928266535)</f>
        <v>0.4685136928</v>
      </c>
    </row>
    <row r="66">
      <c r="P66" s="3">
        <f>IFERROR(__xludf.DUMMYFUNCTION("""COMPUTED_VALUE"""),0.44741091269524075)</f>
        <v>0.4474109127</v>
      </c>
    </row>
    <row r="67">
      <c r="P67" s="3">
        <f>IFERROR(__xludf.DUMMYFUNCTION("""COMPUTED_VALUE"""),0.4205528288916245)</f>
        <v>0.4205528289</v>
      </c>
    </row>
    <row r="68">
      <c r="P68" s="3">
        <f>IFERROR(__xludf.DUMMYFUNCTION("""COMPUTED_VALUE"""),0.464357084618951)</f>
        <v>0.4643570846</v>
      </c>
    </row>
    <row r="69">
      <c r="P69" s="3">
        <f>IFERROR(__xludf.DUMMYFUNCTION("""COMPUTED_VALUE"""),0.41128039519751886)</f>
        <v>0.4112803952</v>
      </c>
    </row>
    <row r="70">
      <c r="P70" s="3">
        <f>IFERROR(__xludf.DUMMYFUNCTION("""COMPUTED_VALUE"""),0.5308628159421912)</f>
        <v>0.5308628159</v>
      </c>
    </row>
    <row r="71">
      <c r="P71" s="3">
        <f>IFERROR(__xludf.DUMMYFUNCTION("""COMPUTED_VALUE"""),0.5452510751226999)</f>
        <v>0.5452510751</v>
      </c>
    </row>
    <row r="72">
      <c r="P72" s="3">
        <f>IFERROR(__xludf.DUMMYFUNCTION("""COMPUTED_VALUE"""),0.5180732522261835)</f>
        <v>0.5180732522</v>
      </c>
    </row>
    <row r="73">
      <c r="P73" s="3">
        <f>IFERROR(__xludf.DUMMYFUNCTION("""COMPUTED_VALUE"""),0.44549247813783954)</f>
        <v>0.4454924781</v>
      </c>
    </row>
    <row r="74">
      <c r="P74" s="3">
        <f>IFERROR(__xludf.DUMMYFUNCTION("""COMPUTED_VALUE"""),0.6028041118447347)</f>
        <v>0.6028041118</v>
      </c>
    </row>
    <row r="75">
      <c r="P75" s="3">
        <f>IFERROR(__xludf.DUMMYFUNCTION("""COMPUTED_VALUE"""),0.10305190964173234)</f>
        <v>0.1030519096</v>
      </c>
    </row>
    <row r="76">
      <c r="P76" s="3">
        <f>IFERROR(__xludf.DUMMYFUNCTION("""COMPUTED_VALUE"""),0.24373711051781746)</f>
        <v>0.2437371105</v>
      </c>
    </row>
    <row r="77">
      <c r="P77" s="3">
        <f>IFERROR(__xludf.DUMMYFUNCTION("""COMPUTED_VALUE"""),0.1398219053252546)</f>
        <v>0.1398219053</v>
      </c>
    </row>
    <row r="78">
      <c r="P78" s="3">
        <f>IFERROR(__xludf.DUMMYFUNCTION("""COMPUTED_VALUE"""),0.0)</f>
        <v>0</v>
      </c>
    </row>
    <row r="79">
      <c r="P79" s="3">
        <f>IFERROR(__xludf.DUMMYFUNCTION("""COMPUTED_VALUE"""),0.0)</f>
        <v>0</v>
      </c>
    </row>
    <row r="80">
      <c r="P80" s="3">
        <f>IFERROR(__xludf.DUMMYFUNCTION("""COMPUTED_VALUE"""),0.03111061373918882)</f>
        <v>0.03111061374</v>
      </c>
    </row>
    <row r="81">
      <c r="P81" s="3">
        <f>IFERROR(__xludf.DUMMYFUNCTION("""COMPUTED_VALUE"""),0.02119870185928283)</f>
        <v>0.02119870186</v>
      </c>
    </row>
    <row r="82">
      <c r="P82" s="3">
        <f>IFERROR(__xludf.DUMMYFUNCTION("""COMPUTED_VALUE"""),0.08546625953222171)</f>
        <v>0.08546625953</v>
      </c>
    </row>
    <row r="83">
      <c r="P83" s="3">
        <f>IFERROR(__xludf.DUMMYFUNCTION("""COMPUTED_VALUE"""),0.17147607552237376)</f>
        <v>0.1714760755</v>
      </c>
    </row>
    <row r="84">
      <c r="P84" s="3">
        <f>IFERROR(__xludf.DUMMYFUNCTION("""COMPUTED_VALUE"""),0.14653642627615868)</f>
        <v>0.1465364263</v>
      </c>
    </row>
    <row r="85">
      <c r="P85" s="3">
        <f>IFERROR(__xludf.DUMMYFUNCTION("""COMPUTED_VALUE"""),0.090901824111525)</f>
        <v>0.09090182411</v>
      </c>
    </row>
    <row r="86">
      <c r="P86" s="3">
        <f>IFERROR(__xludf.DUMMYFUNCTION("""COMPUTED_VALUE"""),0.4538056945532446)</f>
        <v>0.4538056946</v>
      </c>
    </row>
    <row r="87">
      <c r="P87" s="3">
        <f>IFERROR(__xludf.DUMMYFUNCTION("""COMPUTED_VALUE"""),0.43558056625793357)</f>
        <v>0.4355805663</v>
      </c>
    </row>
    <row r="88">
      <c r="P88" s="3">
        <f>IFERROR(__xludf.DUMMYFUNCTION("""COMPUTED_VALUE"""),0.4464516954165402)</f>
        <v>0.4464516954</v>
      </c>
    </row>
    <row r="89">
      <c r="P89" s="3">
        <f>IFERROR(__xludf.DUMMYFUNCTION("""COMPUTED_VALUE"""),0.48322169110006236)</f>
        <v>0.4832216911</v>
      </c>
    </row>
    <row r="90">
      <c r="P90" s="3">
        <f>IFERROR(__xludf.DUMMYFUNCTION("""COMPUTED_VALUE"""),0.4522069990887436)</f>
        <v>0.4522069991</v>
      </c>
    </row>
    <row r="91">
      <c r="P91" s="3">
        <f>IFERROR(__xludf.DUMMYFUNCTION("""COMPUTED_VALUE"""),0.4787453437994597)</f>
        <v>0.4787453438</v>
      </c>
    </row>
    <row r="92">
      <c r="P92" s="3">
        <f>IFERROR(__xludf.DUMMYFUNCTION("""COMPUTED_VALUE"""),0.5139166440184808)</f>
        <v>0.513916644</v>
      </c>
    </row>
    <row r="93">
      <c r="P93" s="3">
        <f>IFERROR(__xludf.DUMMYFUNCTION("""COMPUTED_VALUE"""),0.5292641204776901)</f>
        <v>0.5292641205</v>
      </c>
    </row>
    <row r="94">
      <c r="P94" s="3">
        <f>IFERROR(__xludf.DUMMYFUNCTION("""COMPUTED_VALUE"""),0.5567616824671068)</f>
        <v>0.5567616825</v>
      </c>
    </row>
    <row r="95">
      <c r="P95" s="3">
        <f>IFERROR(__xludf.DUMMYFUNCTION("""COMPUTED_VALUE"""),0.5532445524452047)</f>
        <v>0.5532445524</v>
      </c>
    </row>
    <row r="96">
      <c r="P96" s="3">
        <f>IFERROR(__xludf.DUMMYFUNCTION("""COMPUTED_VALUE"""),0.6146344582820419)</f>
        <v>0.6146344583</v>
      </c>
    </row>
    <row r="97">
      <c r="P97" s="3">
        <f>IFERROR(__xludf.DUMMYFUNCTION("""COMPUTED_VALUE"""),0.6258253265335486)</f>
        <v>0.6258253265</v>
      </c>
    </row>
    <row r="98">
      <c r="P98" s="3">
        <f>IFERROR(__xludf.DUMMYFUNCTION("""COMPUTED_VALUE"""),0.6952087096928906)</f>
        <v>0.6952087097</v>
      </c>
    </row>
    <row r="99">
      <c r="P99" s="3">
        <f>IFERROR(__xludf.DUMMYFUNCTION("""COMPUTED_VALUE"""),0.7310194880977123)</f>
        <v>0.7310194881</v>
      </c>
    </row>
    <row r="100">
      <c r="P100" s="3">
        <f>IFERROR(__xludf.DUMMYFUNCTION("""COMPUTED_VALUE"""),0.851241387028185)</f>
        <v>0.851241387</v>
      </c>
    </row>
    <row r="101">
      <c r="P101" s="3">
        <f>IFERROR(__xludf.DUMMYFUNCTION("""COMPUTED_VALUE"""),0.9036785982638167)</f>
        <v>0.9036785983</v>
      </c>
    </row>
    <row r="102">
      <c r="P102" s="3">
        <f>IFERROR(__xludf.DUMMYFUNCTION("""COMPUTED_VALUE"""),0.801681827628655)</f>
        <v>0.8016818276</v>
      </c>
    </row>
    <row r="103">
      <c r="P103" s="3">
        <f>IFERROR(__xludf.DUMMYFUNCTION("""COMPUTED_VALUE"""),0.7095969688733993)</f>
        <v>0.7095969689</v>
      </c>
    </row>
    <row r="104">
      <c r="P104" s="3">
        <f>IFERROR(__xludf.DUMMYFUNCTION("""COMPUTED_VALUE"""),0.6593979312880689)</f>
        <v>0.6593979313</v>
      </c>
    </row>
    <row r="105">
      <c r="P105" s="3">
        <f>IFERROR(__xludf.DUMMYFUNCTION("""COMPUTED_VALUE"""),0.6753848859330785)</f>
        <v>0.6753848859</v>
      </c>
    </row>
    <row r="106">
      <c r="P106" s="3">
        <f>IFERROR(__xludf.DUMMYFUNCTION("""COMPUTED_VALUE"""),0.649805758501063)</f>
        <v>0.6498057585</v>
      </c>
    </row>
    <row r="107">
      <c r="P107" s="3">
        <f>IFERROR(__xludf.DUMMYFUNCTION("""COMPUTED_VALUE"""),0.6312608911128519)</f>
        <v>0.6312608911</v>
      </c>
    </row>
    <row r="108">
      <c r="P108" s="3">
        <f>IFERROR(__xludf.DUMMYFUNCTION("""COMPUTED_VALUE"""),0.6523636712442646)</f>
        <v>0.6523636712</v>
      </c>
    </row>
    <row r="109">
      <c r="P109" s="3">
        <f>IFERROR(__xludf.DUMMYFUNCTION("""COMPUTED_VALUE"""),0.6376556729708558)</f>
        <v>0.637655673</v>
      </c>
    </row>
    <row r="110">
      <c r="P110" s="3">
        <f>IFERROR(__xludf.DUMMYFUNCTION("""COMPUTED_VALUE"""),0.5193522085977842)</f>
        <v>0.5193522086</v>
      </c>
    </row>
    <row r="111">
      <c r="P111" s="3">
        <f>IFERROR(__xludf.DUMMYFUNCTION("""COMPUTED_VALUE"""),0.5097600358107784)</f>
        <v>0.5097600358</v>
      </c>
    </row>
    <row r="112">
      <c r="P112" s="3">
        <f>IFERROR(__xludf.DUMMYFUNCTION("""COMPUTED_VALUE"""),0.5139166440184808)</f>
        <v>0.513916644</v>
      </c>
    </row>
    <row r="113">
      <c r="P113" s="3">
        <f>IFERROR(__xludf.DUMMYFUNCTION("""COMPUTED_VALUE"""),0.520631164969385)</f>
        <v>0.520631165</v>
      </c>
    </row>
    <row r="114">
      <c r="P114" s="3">
        <f>IFERROR(__xludf.DUMMYFUNCTION("""COMPUTED_VALUE"""),0.522229860433886)</f>
        <v>0.5222298604</v>
      </c>
    </row>
    <row r="115">
      <c r="P115" s="3">
        <f>IFERROR(__xludf.DUMMYFUNCTION("""COMPUTED_VALUE"""),0.5215903822480855)</f>
        <v>0.5215903822</v>
      </c>
    </row>
    <row r="116">
      <c r="P116" s="3">
        <f>IFERROR(__xludf.DUMMYFUNCTION("""COMPUTED_VALUE"""),0.47139134466275523)</f>
        <v>0.4713913447</v>
      </c>
    </row>
    <row r="117">
      <c r="P117" s="3">
        <f>IFERROR(__xludf.DUMMYFUNCTION("""COMPUTED_VALUE"""),0.4486898690668415)</f>
        <v>0.4486898691</v>
      </c>
    </row>
    <row r="118">
      <c r="P118" s="3">
        <f>IFERROR(__xludf.DUMMYFUNCTION("""COMPUTED_VALUE"""),0.41128039519751886)</f>
        <v>0.4112803952</v>
      </c>
    </row>
    <row r="119">
      <c r="P119" s="3">
        <f>IFERROR(__xludf.DUMMYFUNCTION("""COMPUTED_VALUE"""),0.3917763105306071)</f>
        <v>0.3917763105</v>
      </c>
    </row>
    <row r="120">
      <c r="P120" s="3">
        <f>IFERROR(__xludf.DUMMYFUNCTION("""COMPUTED_VALUE"""),0.4160764815910218)</f>
        <v>0.4160764816</v>
      </c>
    </row>
    <row r="121">
      <c r="P121" s="3">
        <f>IFERROR(__xludf.DUMMYFUNCTION("""COMPUTED_VALUE"""),0.41128039519751886)</f>
        <v>0.4112803952</v>
      </c>
    </row>
    <row r="122">
      <c r="P122" s="3">
        <f>IFERROR(__xludf.DUMMYFUNCTION("""COMPUTED_VALUE"""),0.9123115537721219)</f>
        <v>0.9123115538</v>
      </c>
    </row>
    <row r="123">
      <c r="P123" s="3">
        <f>IFERROR(__xludf.DUMMYFUNCTION("""COMPUTED_VALUE"""),0.8806573835750029)</f>
        <v>0.8806573836</v>
      </c>
    </row>
    <row r="124">
      <c r="P124" s="3">
        <f>IFERROR(__xludf.DUMMYFUNCTION("""COMPUTED_VALUE"""),0.8886508608975077)</f>
        <v>0.8886508609</v>
      </c>
    </row>
    <row r="125">
      <c r="P125" s="3">
        <f>IFERROR(__xludf.DUMMYFUNCTION("""COMPUTED_VALUE"""),0.8426084315198797)</f>
        <v>0.8426084315</v>
      </c>
    </row>
    <row r="126">
      <c r="P126" s="3">
        <f>IFERROR(__xludf.DUMMYFUNCTION("""COMPUTED_VALUE"""),0.7035219261082957)</f>
        <v>0.7035219261</v>
      </c>
    </row>
    <row r="127">
      <c r="P127" s="3">
        <f>IFERROR(__xludf.DUMMYFUNCTION("""COMPUTED_VALUE"""),0.40168822241051305)</f>
        <v>0.4016882224</v>
      </c>
    </row>
    <row r="128">
      <c r="P128" s="3">
        <f>IFERROR(__xludf.DUMMYFUNCTION("""COMPUTED_VALUE"""),0.23126728589470996)</f>
        <v>0.2312672859</v>
      </c>
    </row>
    <row r="129">
      <c r="P129" s="3">
        <f>IFERROR(__xludf.DUMMYFUNCTION("""COMPUTED_VALUE"""),0.4464516954165402)</f>
        <v>0.4464516954</v>
      </c>
    </row>
    <row r="130">
      <c r="P130" s="3">
        <f>IFERROR(__xludf.DUMMYFUNCTION("""COMPUTED_VALUE"""),0.5733881152979169)</f>
        <v>0.5733881153</v>
      </c>
    </row>
    <row r="131">
      <c r="P131" s="3">
        <f>IFERROR(__xludf.DUMMYFUNCTION("""COMPUTED_VALUE"""),0.5676328116257134)</f>
        <v>0.5676328116</v>
      </c>
    </row>
    <row r="132">
      <c r="P132" s="3">
        <f>IFERROR(__xludf.DUMMYFUNCTION("""COMPUTED_VALUE"""),0.7313392271906124)</f>
        <v>0.7313392272</v>
      </c>
    </row>
    <row r="133">
      <c r="P133" s="3">
        <f>IFERROR(__xludf.DUMMYFUNCTION("""COMPUTED_VALUE"""),0.7332576617480137)</f>
        <v>0.7332576617</v>
      </c>
    </row>
    <row r="134">
      <c r="P134" s="3">
        <f>IFERROR(__xludf.DUMMYFUNCTION("""COMPUTED_VALUE"""),0.5033652539527745)</f>
        <v>0.503365254</v>
      </c>
    </row>
    <row r="135">
      <c r="P135" s="3">
        <f>IFERROR(__xludf.DUMMYFUNCTION("""COMPUTED_VALUE"""),0.5247877731770875)</f>
        <v>0.5247877732</v>
      </c>
    </row>
    <row r="136">
      <c r="P136" s="3">
        <f>IFERROR(__xludf.DUMMYFUNCTION("""COMPUTED_VALUE"""),0.5036849930456748)</f>
        <v>0.503684993</v>
      </c>
    </row>
    <row r="137">
      <c r="P137" s="3">
        <f>IFERROR(__xludf.DUMMYFUNCTION("""COMPUTED_VALUE"""),0.5605985515819092)</f>
        <v>0.5605985516</v>
      </c>
    </row>
    <row r="138">
      <c r="P138" s="3">
        <f>IFERROR(__xludf.DUMMYFUNCTION("""COMPUTED_VALUE"""),0.596729069079631)</f>
        <v>0.5967290691</v>
      </c>
    </row>
    <row r="139">
      <c r="P139" s="3">
        <f>IFERROR(__xludf.DUMMYFUNCTION("""COMPUTED_VALUE"""),0.5644354206967115)</f>
        <v>0.5644354207</v>
      </c>
    </row>
    <row r="140">
      <c r="P140" s="3">
        <f>IFERROR(__xludf.DUMMYFUNCTION("""COMPUTED_VALUE"""),0.5743473325766174)</f>
        <v>0.5743473326</v>
      </c>
    </row>
    <row r="141">
      <c r="P141" s="3">
        <f>IFERROR(__xludf.DUMMYFUNCTION("""COMPUTED_VALUE"""),0.7083180125017986)</f>
        <v>0.7083180125</v>
      </c>
    </row>
    <row r="142">
      <c r="P142" s="3">
        <f>IFERROR(__xludf.DUMMYFUNCTION("""COMPUTED_VALUE"""),0.6501254975939633)</f>
        <v>0.6501254976</v>
      </c>
    </row>
    <row r="143">
      <c r="P143" s="3">
        <f>IFERROR(__xludf.DUMMYFUNCTION("""COMPUTED_VALUE"""),0.6693098431679749)</f>
        <v>0.6693098432</v>
      </c>
    </row>
    <row r="144">
      <c r="P144" s="3">
        <f>IFERROR(__xludf.DUMMYFUNCTION("""COMPUTED_VALUE"""),0.7204680980320058)</f>
        <v>0.720468098</v>
      </c>
    </row>
    <row r="145">
      <c r="P145" s="3">
        <f>IFERROR(__xludf.DUMMYFUNCTION("""COMPUTED_VALUE"""),0.6581189749164682)</f>
        <v>0.6581189749</v>
      </c>
    </row>
    <row r="146">
      <c r="P146" s="3">
        <f>IFERROR(__xludf.DUMMYFUNCTION("""COMPUTED_VALUE"""),1.0)</f>
        <v>1</v>
      </c>
    </row>
    <row r="147">
      <c r="P147" s="3">
        <f>IFERROR(__xludf.DUMMYFUNCTION("""COMPUTED_VALUE"""),0.9132707710508225)</f>
        <v>0.9132707711</v>
      </c>
    </row>
    <row r="148">
      <c r="P148" s="3">
        <f>IFERROR(__xludf.DUMMYFUNCTION("""COMPUTED_VALUE"""),0.8541190388642868)</f>
        <v>0.8541190389</v>
      </c>
    </row>
    <row r="149">
      <c r="P149" s="3">
        <f>IFERROR(__xludf.DUMMYFUNCTION("""COMPUTED_VALUE"""),0.7946475675848508)</f>
        <v>0.7946475676</v>
      </c>
    </row>
    <row r="150">
      <c r="P150" s="3">
        <f>IFERROR(__xludf.DUMMYFUNCTION("""COMPUTED_VALUE"""),0.8474045179133828)</f>
        <v>0.8474045179</v>
      </c>
    </row>
    <row r="151">
      <c r="P151" s="3">
        <f>IFERROR(__xludf.DUMMYFUNCTION("""COMPUTED_VALUE"""),0.9871305015107672)</f>
        <v>0.9871305015</v>
      </c>
    </row>
    <row r="152">
      <c r="P152" s="3">
        <f>IFERROR(__xludf.DUMMYFUNCTION("""COMPUTED_VALUE"""),0.8266214768748701)</f>
        <v>0.8266214769</v>
      </c>
    </row>
    <row r="153">
      <c r="P153" s="3">
        <f>IFERROR(__xludf.DUMMYFUNCTION("""COMPUTED_VALUE"""),0.8237438250387684)</f>
        <v>0.823743825</v>
      </c>
    </row>
    <row r="154">
      <c r="P154" s="3">
        <f>IFERROR(__xludf.DUMMYFUNCTION("""COMPUTED_VALUE"""),0.7610749628303304)</f>
        <v>0.7610749628</v>
      </c>
    </row>
    <row r="155">
      <c r="P155" s="3">
        <f>IFERROR(__xludf.DUMMYFUNCTION("""COMPUTED_VALUE"""),0.7530814855078256)</f>
        <v>0.7530814855</v>
      </c>
    </row>
    <row r="156">
      <c r="P156" s="3">
        <f>IFERROR(__xludf.DUMMYFUNCTION("""COMPUTED_VALUE"""),0.7824974820546434)</f>
        <v>0.7824974821</v>
      </c>
    </row>
    <row r="157">
      <c r="P157" s="3">
        <f>IFERROR(__xludf.DUMMYFUNCTION("""COMPUTED_VALUE"""),0.7924093939345493)</f>
        <v>0.7924093939</v>
      </c>
    </row>
    <row r="158">
      <c r="P158" s="3">
        <f>IFERROR(__xludf.DUMMYFUNCTION("""COMPUTED_VALUE"""),1.0)</f>
        <v>1</v>
      </c>
    </row>
    <row r="159">
      <c r="P159" s="3">
        <f>IFERROR(__xludf.DUMMYFUNCTION("""COMPUTED_VALUE"""),1.0)</f>
        <v>1</v>
      </c>
    </row>
    <row r="160">
      <c r="P160" s="3">
        <f>IFERROR(__xludf.DUMMYFUNCTION("""COMPUTED_VALUE"""),1.0)</f>
        <v>1</v>
      </c>
    </row>
    <row r="161">
      <c r="P161" s="3">
        <f>IFERROR(__xludf.DUMMYFUNCTION("""COMPUTED_VALUE"""),1.0)</f>
        <v>1</v>
      </c>
    </row>
    <row r="162">
      <c r="P162" s="3">
        <f>IFERROR(__xludf.DUMMYFUNCTION("""COMPUTED_VALUE"""),0.9433262457834408)</f>
        <v>0.9433262458</v>
      </c>
    </row>
    <row r="163">
      <c r="P163" s="3">
        <f>IFERROR(__xludf.DUMMYFUNCTION("""COMPUTED_VALUE"""),0.8007226103499545)</f>
        <v>0.8007226103</v>
      </c>
    </row>
    <row r="164">
      <c r="P164" s="3">
        <f>IFERROR(__xludf.DUMMYFUNCTION("""COMPUTED_VALUE"""),0.7390129654202171)</f>
        <v>0.7390129654</v>
      </c>
    </row>
    <row r="165">
      <c r="P165" s="3">
        <f>IFERROR(__xludf.DUMMYFUNCTION("""COMPUTED_VALUE"""),0.7607552237374303)</f>
        <v>0.7607552237</v>
      </c>
    </row>
    <row r="166">
      <c r="P166" s="3">
        <f>IFERROR(__xludf.DUMMYFUNCTION("""COMPUTED_VALUE"""),0.687534971463286)</f>
        <v>0.6875349715</v>
      </c>
    </row>
    <row r="167">
      <c r="P167" s="3">
        <f>IFERROR(__xludf.DUMMYFUNCTION("""COMPUTED_VALUE"""),0.5161548176687822)</f>
        <v>0.5161548177</v>
      </c>
    </row>
    <row r="168">
      <c r="P168" s="3">
        <f>IFERROR(__xludf.DUMMYFUNCTION("""COMPUTED_VALUE"""),0.7143930552669022)</f>
        <v>0.7143930553</v>
      </c>
    </row>
    <row r="169">
      <c r="P169" s="3">
        <f>IFERROR(__xludf.DUMMYFUNCTION("""COMPUTED_VALUE"""),0.6485268021294623)</f>
        <v>0.6485268021</v>
      </c>
    </row>
    <row r="170">
      <c r="P170" s="3">
        <f>IFERROR(__xludf.DUMMYFUNCTION("""COMPUTED_VALUE"""),0.1996131156975908)</f>
        <v>0.1996131157</v>
      </c>
    </row>
    <row r="171">
      <c r="P171" s="3">
        <f>IFERROR(__xludf.DUMMYFUNCTION("""COMPUTED_VALUE"""),0.2037697239052933)</f>
        <v>0.2037697239</v>
      </c>
    </row>
    <row r="172">
      <c r="P172" s="3">
        <f>IFERROR(__xludf.DUMMYFUNCTION("""COMPUTED_VALUE"""),0.1986538984188902)</f>
        <v>0.1986538984</v>
      </c>
    </row>
    <row r="173">
      <c r="P173" s="3">
        <f>IFERROR(__xludf.DUMMYFUNCTION("""COMPUTED_VALUE"""),0.18874198653898422)</f>
        <v>0.1887419865</v>
      </c>
    </row>
    <row r="174">
      <c r="P174" s="3">
        <f>IFERROR(__xludf.DUMMYFUNCTION("""COMPUTED_VALUE"""),0.2821058016658407)</f>
        <v>0.2821058017</v>
      </c>
    </row>
    <row r="175">
      <c r="P175" s="3">
        <f>IFERROR(__xludf.DUMMYFUNCTION("""COMPUTED_VALUE"""),0.21655928762130106)</f>
        <v>0.2165592876</v>
      </c>
    </row>
    <row r="176">
      <c r="P176" s="3">
        <f>IFERROR(__xludf.DUMMYFUNCTION("""COMPUTED_VALUE"""),0.22071589582900356)</f>
        <v>0.2207158958</v>
      </c>
    </row>
    <row r="177">
      <c r="P177" s="3">
        <f>IFERROR(__xludf.DUMMYFUNCTION("""COMPUTED_VALUE"""),0.2040894629981935)</f>
        <v>0.204089463</v>
      </c>
    </row>
    <row r="178">
      <c r="P178" s="3">
        <f>IFERROR(__xludf.DUMMYFUNCTION("""COMPUTED_VALUE"""),0.1797892919377788)</f>
        <v>0.1797892919</v>
      </c>
    </row>
    <row r="179">
      <c r="P179" s="3">
        <f>IFERROR(__xludf.DUMMYFUNCTION("""COMPUTED_VALUE"""),0.15357068631996293)</f>
        <v>0.1535706863</v>
      </c>
    </row>
    <row r="180">
      <c r="P180" s="3">
        <f>IFERROR(__xludf.DUMMYFUNCTION("""COMPUTED_VALUE"""),0.1500535562980608)</f>
        <v>0.1500535563</v>
      </c>
    </row>
    <row r="181">
      <c r="P181" s="3">
        <f>IFERROR(__xludf.DUMMYFUNCTION("""COMPUTED_VALUE"""),0.16092468545666738)</f>
        <v>0.1609246855</v>
      </c>
    </row>
    <row r="182">
      <c r="P182" s="3">
        <f>IFERROR(__xludf.DUMMYFUNCTION("""COMPUTED_VALUE"""),0.23094754680180973)</f>
        <v>0.2309475468</v>
      </c>
    </row>
    <row r="183">
      <c r="P183" s="3">
        <f>IFERROR(__xludf.DUMMYFUNCTION("""COMPUTED_VALUE"""),0.23638311138111306)</f>
        <v>0.2363831114</v>
      </c>
    </row>
    <row r="184">
      <c r="P184" s="3">
        <f>IFERROR(__xludf.DUMMYFUNCTION("""COMPUTED_VALUE"""),0.23862128503141442)</f>
        <v>0.238621285</v>
      </c>
    </row>
    <row r="185">
      <c r="P185" s="3">
        <f>IFERROR(__xludf.DUMMYFUNCTION("""COMPUTED_VALUE"""),0.1698773800578728)</f>
        <v>0.1698773801</v>
      </c>
    </row>
    <row r="186">
      <c r="P186" s="3">
        <f>IFERROR(__xludf.DUMMYFUNCTION("""COMPUTED_VALUE"""),0.0)</f>
        <v>0</v>
      </c>
    </row>
    <row r="187">
      <c r="P187" s="3">
        <f>IFERROR(__xludf.DUMMYFUNCTION("""COMPUTED_VALUE"""),0.0)</f>
        <v>0</v>
      </c>
    </row>
    <row r="188">
      <c r="P188" s="3">
        <f>IFERROR(__xludf.DUMMYFUNCTION("""COMPUTED_VALUE"""),0.12063755975124302)</f>
        <v>0.1206375598</v>
      </c>
    </row>
    <row r="189">
      <c r="P189" s="3">
        <f>IFERROR(__xludf.DUMMYFUNCTION("""COMPUTED_VALUE"""),0.21623954852840083)</f>
        <v>0.2162395485</v>
      </c>
    </row>
    <row r="190">
      <c r="P190" s="3">
        <f>IFERROR(__xludf.DUMMYFUNCTION("""COMPUTED_VALUE"""),0.09889530143402984)</f>
        <v>0.09889530143</v>
      </c>
    </row>
    <row r="191">
      <c r="P191" s="3">
        <f>IFERROR(__xludf.DUMMYFUNCTION("""COMPUTED_VALUE"""),0.09282025866892615)</f>
        <v>0.09282025867</v>
      </c>
    </row>
    <row r="192">
      <c r="P192" s="3">
        <f>IFERROR(__xludf.DUMMYFUNCTION("""COMPUTED_VALUE"""),0.09377947594762674)</f>
        <v>0.09377947595</v>
      </c>
    </row>
    <row r="193">
      <c r="P193" s="3">
        <f>IFERROR(__xludf.DUMMYFUNCTION("""COMPUTED_VALUE"""),0.16540103275727008)</f>
        <v>0.1654010328</v>
      </c>
    </row>
    <row r="194">
      <c r="P194" s="3">
        <f>IFERROR(__xludf.DUMMYFUNCTION("""COMPUTED_VALUE"""),0.27667023708653743)</f>
        <v>0.2766702371</v>
      </c>
    </row>
    <row r="195">
      <c r="P195" s="3">
        <f>IFERROR(__xludf.DUMMYFUNCTION("""COMPUTED_VALUE"""),0.27667023708653743)</f>
        <v>0.2766702371</v>
      </c>
    </row>
    <row r="196">
      <c r="P196" s="3">
        <f>IFERROR(__xludf.DUMMYFUNCTION("""COMPUTED_VALUE"""),0.19705520295438925)</f>
        <v>0.197055203</v>
      </c>
    </row>
    <row r="197">
      <c r="P197" s="3">
        <f>IFERROR(__xludf.DUMMYFUNCTION("""COMPUTED_VALUE"""),0.11296382152163836)</f>
        <v>0.1129638215</v>
      </c>
    </row>
    <row r="198">
      <c r="P198" s="3">
        <f>IFERROR(__xludf.DUMMYFUNCTION("""COMPUTED_VALUE"""),0.17019711915077299)</f>
        <v>0.1701971192</v>
      </c>
    </row>
    <row r="199">
      <c r="P199" s="3">
        <f>IFERROR(__xludf.DUMMYFUNCTION("""COMPUTED_VALUE"""),0.2133618966922991)</f>
        <v>0.2133618967</v>
      </c>
    </row>
    <row r="200">
      <c r="P200" s="3">
        <f>IFERROR(__xludf.DUMMYFUNCTION("""COMPUTED_VALUE"""),0.2568464133267254)</f>
        <v>0.2568464133</v>
      </c>
    </row>
    <row r="201">
      <c r="P201" s="3">
        <f>IFERROR(__xludf.DUMMYFUNCTION("""COMPUTED_VALUE"""),0.287541366245144)</f>
        <v>0.2875413662</v>
      </c>
    </row>
    <row r="202">
      <c r="P202" s="3">
        <f>IFERROR(__xludf.DUMMYFUNCTION("""COMPUTED_VALUE"""),0.32303240555706547)</f>
        <v>0.3230324056</v>
      </c>
    </row>
    <row r="203">
      <c r="P203" s="3">
        <f>IFERROR(__xludf.DUMMYFUNCTION("""COMPUTED_VALUE"""),0.2769899761794376)</f>
        <v>0.2769899762</v>
      </c>
    </row>
    <row r="204">
      <c r="P204" s="3">
        <f>IFERROR(__xludf.DUMMYFUNCTION("""COMPUTED_VALUE"""),0.21719876580710143)</f>
        <v>0.2171987658</v>
      </c>
    </row>
    <row r="205">
      <c r="P205" s="3">
        <f>IFERROR(__xludf.DUMMYFUNCTION("""COMPUTED_VALUE"""),0.18234720468098034)</f>
        <v>0.1823472047</v>
      </c>
    </row>
    <row r="206">
      <c r="P206" s="3">
        <f>IFERROR(__xludf.DUMMYFUNCTION("""COMPUTED_VALUE"""),0.3479720548032806)</f>
        <v>0.3479720548</v>
      </c>
    </row>
    <row r="207">
      <c r="P207" s="3">
        <f>IFERROR(__xludf.DUMMYFUNCTION("""COMPUTED_VALUE"""),0.33134562197247047)</f>
        <v>0.331345622</v>
      </c>
    </row>
    <row r="208">
      <c r="P208" s="3">
        <f>IFERROR(__xludf.DUMMYFUNCTION("""COMPUTED_VALUE"""),0.27507154162203645)</f>
        <v>0.2750715416</v>
      </c>
    </row>
    <row r="209">
      <c r="P209" s="3">
        <f>IFERROR(__xludf.DUMMYFUNCTION("""COMPUTED_VALUE"""),0.36268005307668943)</f>
        <v>0.3626800531</v>
      </c>
    </row>
    <row r="210">
      <c r="P210" s="3">
        <f>IFERROR(__xludf.DUMMYFUNCTION("""COMPUTED_VALUE"""),0.3879394414158048)</f>
        <v>0.3879394414</v>
      </c>
    </row>
    <row r="211">
      <c r="P211" s="3">
        <f>IFERROR(__xludf.DUMMYFUNCTION("""COMPUTED_VALUE"""),0.31439945004876024)</f>
        <v>0.31439945</v>
      </c>
    </row>
    <row r="212">
      <c r="P212" s="3">
        <f>IFERROR(__xludf.DUMMYFUNCTION("""COMPUTED_VALUE"""),0.40456587424661483)</f>
        <v>0.4045658742</v>
      </c>
    </row>
    <row r="213">
      <c r="P213" s="3">
        <f>IFERROR(__xludf.DUMMYFUNCTION("""COMPUTED_VALUE"""),0.3434957075026778)</f>
        <v>0.3434957075</v>
      </c>
    </row>
    <row r="214">
      <c r="P214" s="3">
        <f>IFERROR(__xludf.DUMMYFUNCTION("""COMPUTED_VALUE"""),0.37163274767789484)</f>
        <v>0.3716327477</v>
      </c>
    </row>
    <row r="215">
      <c r="P215" s="3">
        <f>IFERROR(__xludf.DUMMYFUNCTION("""COMPUTED_VALUE"""),0.44197534811593747)</f>
        <v>0.4419753481</v>
      </c>
    </row>
    <row r="216">
      <c r="P216" s="3">
        <f>IFERROR(__xludf.DUMMYFUNCTION("""COMPUTED_VALUE"""),0.37483013860689685)</f>
        <v>0.3748301386</v>
      </c>
    </row>
    <row r="217">
      <c r="P217" s="3">
        <f>IFERROR(__xludf.DUMMYFUNCTION("""COMPUTED_VALUE"""),0.44037665265143644)</f>
        <v>0.4403766527</v>
      </c>
    </row>
    <row r="218">
      <c r="P218" s="3">
        <f>IFERROR(__xludf.DUMMYFUNCTION("""COMPUTED_VALUE"""),1.0)</f>
        <v>1</v>
      </c>
    </row>
    <row r="219">
      <c r="P219" s="3">
        <f>IFERROR(__xludf.DUMMYFUNCTION("""COMPUTED_VALUE"""),1.0)</f>
        <v>1</v>
      </c>
    </row>
    <row r="220">
      <c r="P220" s="3">
        <f>IFERROR(__xludf.DUMMYFUNCTION("""COMPUTED_VALUE"""),1.0)</f>
        <v>1</v>
      </c>
    </row>
    <row r="221">
      <c r="P221" s="3">
        <f>IFERROR(__xludf.DUMMYFUNCTION("""COMPUTED_VALUE"""),1.0)</f>
        <v>1</v>
      </c>
    </row>
    <row r="222">
      <c r="P222" s="3">
        <f>IFERROR(__xludf.DUMMYFUNCTION("""COMPUTED_VALUE"""),0.932135377531934)</f>
        <v>0.9321353775</v>
      </c>
    </row>
    <row r="223">
      <c r="P223" s="3">
        <f>IFERROR(__xludf.DUMMYFUNCTION("""COMPUTED_VALUE"""),0.902399641892216)</f>
        <v>0.9023996419</v>
      </c>
    </row>
    <row r="224">
      <c r="P224" s="3">
        <f>IFERROR(__xludf.DUMMYFUNCTION("""COMPUTED_VALUE"""),0.8819363399466036)</f>
        <v>0.8819363399</v>
      </c>
    </row>
    <row r="225">
      <c r="P225" s="3">
        <f>IFERROR(__xludf.DUMMYFUNCTION("""COMPUTED_VALUE"""),0.8384518233121773)</f>
        <v>0.8384518233</v>
      </c>
    </row>
    <row r="226">
      <c r="P226" s="3">
        <f>IFERROR(__xludf.DUMMYFUNCTION("""COMPUTED_VALUE"""),0.8880113827117073)</f>
        <v>0.8880113827</v>
      </c>
    </row>
    <row r="227">
      <c r="P227" s="3">
        <f>IFERROR(__xludf.DUMMYFUNCTION("""COMPUTED_VALUE"""),0.8832152963182044)</f>
        <v>0.8832152963</v>
      </c>
    </row>
    <row r="228">
      <c r="P228" s="3">
        <f>IFERROR(__xludf.DUMMYFUNCTION("""COMPUTED_VALUE"""),0.8921679909194098)</f>
        <v>0.8921679909</v>
      </c>
    </row>
    <row r="229">
      <c r="P229" s="3">
        <f>IFERROR(__xludf.DUMMYFUNCTION("""COMPUTED_VALUE"""),0.9062365110070183)</f>
        <v>0.906236511</v>
      </c>
    </row>
    <row r="230">
      <c r="P230" s="3">
        <f>IFERROR(__xludf.DUMMYFUNCTION("""COMPUTED_VALUE"""),0.246295023261019)</f>
        <v>0.2462950233</v>
      </c>
    </row>
    <row r="231">
      <c r="P231" s="3">
        <f>IFERROR(__xludf.DUMMYFUNCTION("""COMPUTED_VALUE"""),0.2574858915125258)</f>
        <v>0.2574858915</v>
      </c>
    </row>
    <row r="232">
      <c r="P232" s="3">
        <f>IFERROR(__xludf.DUMMYFUNCTION("""COMPUTED_VALUE"""),0.2482134578184202)</f>
        <v>0.2482134578</v>
      </c>
    </row>
    <row r="233">
      <c r="P233" s="3">
        <f>IFERROR(__xludf.DUMMYFUNCTION("""COMPUTED_VALUE"""),0.2872216271522438)</f>
        <v>0.2872216272</v>
      </c>
    </row>
    <row r="234">
      <c r="P234" s="3">
        <f>IFERROR(__xludf.DUMMYFUNCTION("""COMPUTED_VALUE"""),0.3428562293168775)</f>
        <v>0.3428562293</v>
      </c>
    </row>
    <row r="235">
      <c r="P235" s="3">
        <f>IFERROR(__xludf.DUMMYFUNCTION("""COMPUTED_VALUE"""),0.19129989928218577)</f>
        <v>0.1912998993</v>
      </c>
    </row>
    <row r="236">
      <c r="P236" s="3">
        <f>IFERROR(__xludf.DUMMYFUNCTION("""COMPUTED_VALUE"""),0.20185128934789215)</f>
        <v>0.2018512893</v>
      </c>
    </row>
    <row r="237">
      <c r="P237" s="3">
        <f>IFERROR(__xludf.DUMMYFUNCTION("""COMPUTED_VALUE"""),0.2725136288788349)</f>
        <v>0.2725136289</v>
      </c>
    </row>
    <row r="238">
      <c r="P238" s="3">
        <f>IFERROR(__xludf.DUMMYFUNCTION("""COMPUTED_VALUE"""),0.29201771354574674)</f>
        <v>0.2920177135</v>
      </c>
    </row>
    <row r="239">
      <c r="P239" s="3">
        <f>IFERROR(__xludf.DUMMYFUNCTION("""COMPUTED_VALUE"""),0.3243113619286663)</f>
        <v>0.3243113619</v>
      </c>
    </row>
    <row r="240">
      <c r="P240" s="3">
        <f>IFERROR(__xludf.DUMMYFUNCTION("""COMPUTED_VALUE"""),0.1797892919377788)</f>
        <v>0.1797892919</v>
      </c>
    </row>
    <row r="241">
      <c r="P241" s="3">
        <f>IFERROR(__xludf.DUMMYFUNCTION("""COMPUTED_VALUE"""),0.1442982526258573)</f>
        <v>0.1442982526</v>
      </c>
    </row>
    <row r="242">
      <c r="P242" s="3">
        <f>IFERROR(__xludf.DUMMYFUNCTION("""COMPUTED_VALUE"""),0.4931336029799684)</f>
        <v>0.493133603</v>
      </c>
    </row>
    <row r="243">
      <c r="P243" s="3">
        <f>IFERROR(__xludf.DUMMYFUNCTION("""COMPUTED_VALUE"""),0.4745887355917572)</f>
        <v>0.4745887356</v>
      </c>
    </row>
    <row r="244">
      <c r="P244" s="3">
        <f>IFERROR(__xludf.DUMMYFUNCTION("""COMPUTED_VALUE"""),0.494092820258669)</f>
        <v>0.4940928203</v>
      </c>
    </row>
    <row r="245">
      <c r="P245" s="3">
        <f>IFERROR(__xludf.DUMMYFUNCTION("""COMPUTED_VALUE"""),0.3793064859074995)</f>
        <v>0.3793064859</v>
      </c>
    </row>
    <row r="246">
      <c r="P246" s="3">
        <f>IFERROR(__xludf.DUMMYFUNCTION("""COMPUTED_VALUE"""),0.257805630605426)</f>
        <v>0.2578056306</v>
      </c>
    </row>
    <row r="247">
      <c r="P247" s="3">
        <f>IFERROR(__xludf.DUMMYFUNCTION("""COMPUTED_VALUE"""),0.19385781202538732)</f>
        <v>0.193857812</v>
      </c>
    </row>
    <row r="248">
      <c r="P248" s="3">
        <f>IFERROR(__xludf.DUMMYFUNCTION("""COMPUTED_VALUE"""),0.017361832744480502)</f>
        <v>0.01736183274</v>
      </c>
    </row>
    <row r="249">
      <c r="P249" s="3">
        <f>IFERROR(__xludf.DUMMYFUNCTION("""COMPUTED_VALUE"""),0.0)</f>
        <v>0</v>
      </c>
    </row>
    <row r="250">
      <c r="P250" s="3">
        <f>IFERROR(__xludf.DUMMYFUNCTION("""COMPUTED_VALUE"""),0.0)</f>
        <v>0</v>
      </c>
    </row>
    <row r="251">
      <c r="P251" s="3">
        <f>IFERROR(__xludf.DUMMYFUNCTION("""COMPUTED_VALUE"""),0.16316285910696873)</f>
        <v>0.1631628591</v>
      </c>
    </row>
    <row r="252">
      <c r="P252" s="3">
        <f>IFERROR(__xludf.DUMMYFUNCTION("""COMPUTED_VALUE"""),0.24789371872552)</f>
        <v>0.2478937187</v>
      </c>
    </row>
    <row r="253">
      <c r="P253" s="3">
        <f>IFERROR(__xludf.DUMMYFUNCTION("""COMPUTED_VALUE"""),0.2235935476651053)</f>
        <v>0.2235935477</v>
      </c>
    </row>
    <row r="254">
      <c r="P254" s="3">
        <f>IFERROR(__xludf.DUMMYFUNCTION("""COMPUTED_VALUE"""),0.646288628479161)</f>
        <v>0.6462886285</v>
      </c>
    </row>
    <row r="255">
      <c r="P255" s="3">
        <f>IFERROR(__xludf.DUMMYFUNCTION("""COMPUTED_VALUE"""),0.6146344582820419)</f>
        <v>0.6146344583</v>
      </c>
    </row>
    <row r="256">
      <c r="P256" s="3">
        <f>IFERROR(__xludf.DUMMYFUNCTION("""COMPUTED_VALUE"""),0.6021646336589344)</f>
        <v>0.6021646337</v>
      </c>
    </row>
    <row r="257">
      <c r="P257" s="3">
        <f>IFERROR(__xludf.DUMMYFUNCTION("""COMPUTED_VALUE"""),0.26036354334862755)</f>
        <v>0.2603635433</v>
      </c>
    </row>
    <row r="258">
      <c r="P258" s="3">
        <f>IFERROR(__xludf.DUMMYFUNCTION("""COMPUTED_VALUE"""),0.19673546386148905)</f>
        <v>0.1967354639</v>
      </c>
    </row>
    <row r="259">
      <c r="P259" s="3">
        <f>IFERROR(__xludf.DUMMYFUNCTION("""COMPUTED_VALUE"""),0.3863407459513038)</f>
        <v>0.386340746</v>
      </c>
    </row>
    <row r="260">
      <c r="P260" s="3">
        <f>IFERROR(__xludf.DUMMYFUNCTION("""COMPUTED_VALUE"""),0.33166536106537065)</f>
        <v>0.3316653611</v>
      </c>
    </row>
    <row r="261">
      <c r="P261" s="3">
        <f>IFERROR(__xludf.DUMMYFUNCTION("""COMPUTED_VALUE"""),0.29745327812505)</f>
        <v>0.2974532781</v>
      </c>
    </row>
    <row r="262">
      <c r="P262" s="3">
        <f>IFERROR(__xludf.DUMMYFUNCTION("""COMPUTED_VALUE"""),0.7786606129398411)</f>
        <v>0.7786606129</v>
      </c>
    </row>
    <row r="263">
      <c r="P263" s="3">
        <f>IFERROR(__xludf.DUMMYFUNCTION("""COMPUTED_VALUE"""),0.6133555019104411)</f>
        <v>0.6133555019</v>
      </c>
    </row>
    <row r="264">
      <c r="P264" s="3">
        <f>IFERROR(__xludf.DUMMYFUNCTION("""COMPUTED_VALUE"""),0.618151588303944)</f>
        <v>0.6181515883</v>
      </c>
    </row>
    <row r="265">
      <c r="P265" s="3">
        <f>IFERROR(__xludf.DUMMYFUNCTION("""COMPUTED_VALUE"""),0.7498840945788238)</f>
        <v>0.7498840946</v>
      </c>
    </row>
    <row r="266">
      <c r="P266" s="3">
        <f>IFERROR(__xludf.DUMMYFUNCTION("""COMPUTED_VALUE"""),0.18106824830937956)</f>
        <v>0.1810682483</v>
      </c>
    </row>
    <row r="267">
      <c r="P267" s="3">
        <f>IFERROR(__xludf.DUMMYFUNCTION("""COMPUTED_VALUE"""),0.20568815846269445)</f>
        <v>0.2056881585</v>
      </c>
    </row>
    <row r="268">
      <c r="P268" s="3">
        <f>IFERROR(__xludf.DUMMYFUNCTION("""COMPUTED_VALUE"""),4.156608207702519E-4)</f>
        <v>0.0004156608208</v>
      </c>
    </row>
    <row r="269">
      <c r="P269" s="3">
        <f>IFERROR(__xludf.DUMMYFUNCTION("""COMPUTED_VALUE"""),0.0)</f>
        <v>0</v>
      </c>
    </row>
    <row r="270">
      <c r="P270" s="3">
        <f>IFERROR(__xludf.DUMMYFUNCTION("""COMPUTED_VALUE"""),0.0)</f>
        <v>0</v>
      </c>
    </row>
    <row r="271">
      <c r="P271" s="3">
        <f>IFERROR(__xludf.DUMMYFUNCTION("""COMPUTED_VALUE"""),0.0)</f>
        <v>0</v>
      </c>
    </row>
    <row r="272">
      <c r="P272" s="3">
        <f>IFERROR(__xludf.DUMMYFUNCTION("""COMPUTED_VALUE"""),0.0)</f>
        <v>0</v>
      </c>
    </row>
    <row r="273">
      <c r="P273" s="3">
        <f>IFERROR(__xludf.DUMMYFUNCTION("""COMPUTED_VALUE"""),0.05253313296350179)</f>
        <v>0.05253313296</v>
      </c>
    </row>
    <row r="274">
      <c r="P274" s="3">
        <f>IFERROR(__xludf.DUMMYFUNCTION("""COMPUTED_VALUE"""),0.05029495931320044)</f>
        <v>0.05029495931</v>
      </c>
    </row>
    <row r="275">
      <c r="P275" s="3">
        <f>IFERROR(__xludf.DUMMYFUNCTION("""COMPUTED_VALUE"""),0.10848747422103563)</f>
        <v>0.1084874742</v>
      </c>
    </row>
    <row r="276">
      <c r="P276" s="3">
        <f>IFERROR(__xludf.DUMMYFUNCTION("""COMPUTED_VALUE"""),0.1497338172051606)</f>
        <v>0.1497338172</v>
      </c>
    </row>
    <row r="277">
      <c r="P277" s="3">
        <f>IFERROR(__xludf.DUMMYFUNCTION("""COMPUTED_VALUE"""),0.17211555370817413)</f>
        <v>0.1721155537</v>
      </c>
    </row>
    <row r="278">
      <c r="P278" s="3">
        <f>IFERROR(__xludf.DUMMYFUNCTION("""COMPUTED_VALUE"""),0.02215791913798341)</f>
        <v>0.02215791914</v>
      </c>
    </row>
    <row r="279">
      <c r="P279" s="3">
        <f>IFERROR(__xludf.DUMMYFUNCTION("""COMPUTED_VALUE"""),0.0)</f>
        <v>0</v>
      </c>
    </row>
    <row r="280">
      <c r="P280" s="3">
        <f>IFERROR(__xludf.DUMMYFUNCTION("""COMPUTED_VALUE"""),0.07907147767421784)</f>
        <v>0.07907147767</v>
      </c>
    </row>
    <row r="281">
      <c r="P281" s="3">
        <f>IFERROR(__xludf.DUMMYFUNCTION("""COMPUTED_VALUE"""),0.5171140349474829)</f>
        <v>0.5171140349</v>
      </c>
    </row>
    <row r="282">
      <c r="P282" s="3">
        <f>IFERROR(__xludf.DUMMYFUNCTION("""COMPUTED_VALUE"""),0.1391824271394542)</f>
        <v>0.1391824271</v>
      </c>
    </row>
    <row r="283">
      <c r="P283" s="3">
        <f>IFERROR(__xludf.DUMMYFUNCTION("""COMPUTED_VALUE"""),0.0)</f>
        <v>0</v>
      </c>
    </row>
    <row r="284">
      <c r="P284" s="3">
        <f>IFERROR(__xludf.DUMMYFUNCTION("""COMPUTED_VALUE"""),0.15836677271346583)</f>
        <v>0.1583667727</v>
      </c>
    </row>
    <row r="285">
      <c r="P285" s="3">
        <f>IFERROR(__xludf.DUMMYFUNCTION("""COMPUTED_VALUE"""),0.40392639606081443)</f>
        <v>0.4039263961</v>
      </c>
    </row>
    <row r="286">
      <c r="P286" s="3">
        <f>IFERROR(__xludf.DUMMYFUNCTION("""COMPUTED_VALUE"""),0.0)</f>
        <v>0</v>
      </c>
    </row>
    <row r="287">
      <c r="P287" s="3">
        <f>IFERROR(__xludf.DUMMYFUNCTION("""COMPUTED_VALUE"""),0.0)</f>
        <v>0</v>
      </c>
    </row>
    <row r="288">
      <c r="P288" s="3">
        <f>IFERROR(__xludf.DUMMYFUNCTION("""COMPUTED_VALUE"""),0.0)</f>
        <v>0</v>
      </c>
    </row>
    <row r="289">
      <c r="P289" s="3">
        <f>IFERROR(__xludf.DUMMYFUNCTION("""COMPUTED_VALUE"""),0.05732921935700468)</f>
        <v>0.05732921936</v>
      </c>
    </row>
    <row r="290">
      <c r="P290" s="3">
        <f>IFERROR(__xludf.DUMMYFUNCTION("""COMPUTED_VALUE"""),0.5896948090358267)</f>
        <v>0.589694809</v>
      </c>
    </row>
    <row r="291">
      <c r="P291" s="3">
        <f>IFERROR(__xludf.DUMMYFUNCTION("""COMPUTED_VALUE"""),0.5903342872216271)</f>
        <v>0.5903342872</v>
      </c>
    </row>
    <row r="292">
      <c r="P292" s="3">
        <f>IFERROR(__xludf.DUMMYFUNCTION("""COMPUTED_VALUE"""),0.57850394078432)</f>
        <v>0.5785039408</v>
      </c>
    </row>
    <row r="293">
      <c r="P293" s="3">
        <f>IFERROR(__xludf.DUMMYFUNCTION("""COMPUTED_VALUE"""),0.619750283768445)</f>
        <v>0.6197502838</v>
      </c>
    </row>
    <row r="294">
      <c r="P294" s="3">
        <f>IFERROR(__xludf.DUMMYFUNCTION("""COMPUTED_VALUE"""),0.6127160237246406)</f>
        <v>0.6127160237</v>
      </c>
    </row>
    <row r="295">
      <c r="P295" s="3">
        <f>IFERROR(__xludf.DUMMYFUNCTION("""COMPUTED_VALUE"""),0.639574107528257)</f>
        <v>0.6395741075</v>
      </c>
    </row>
    <row r="296">
      <c r="P296" s="3">
        <f>IFERROR(__xludf.DUMMYFUNCTION("""COMPUTED_VALUE"""),0.6673914086105738)</f>
        <v>0.6673914086</v>
      </c>
    </row>
    <row r="297">
      <c r="P297" s="3">
        <f>IFERROR(__xludf.DUMMYFUNCTION("""COMPUTED_VALUE"""),0.6507649757797637)</f>
        <v>0.6507649758</v>
      </c>
    </row>
    <row r="298">
      <c r="P298" s="3">
        <f>IFERROR(__xludf.DUMMYFUNCTION("""COMPUTED_VALUE"""),0.6929705360425893)</f>
        <v>0.692970536</v>
      </c>
    </row>
    <row r="299">
      <c r="P299" s="3">
        <f>IFERROR(__xludf.DUMMYFUNCTION("""COMPUTED_VALUE"""),0.6948889705999903)</f>
        <v>0.6948889706</v>
      </c>
    </row>
    <row r="300">
      <c r="P300" s="3">
        <f>IFERROR(__xludf.DUMMYFUNCTION("""COMPUTED_VALUE"""),0.656200540359067)</f>
        <v>0.6562005404</v>
      </c>
    </row>
    <row r="301">
      <c r="P301" s="3">
        <f>IFERROR(__xludf.DUMMYFUNCTION("""COMPUTED_VALUE"""),0.7342168790267142)</f>
        <v>0.734216879</v>
      </c>
    </row>
    <row r="302">
      <c r="P302" s="3">
        <f>IFERROR(__xludf.DUMMYFUNCTION("""COMPUTED_VALUE"""),0.23478441591661206)</f>
        <v>0.2347844159</v>
      </c>
    </row>
    <row r="303">
      <c r="P303" s="3">
        <f>IFERROR(__xludf.DUMMYFUNCTION("""COMPUTED_VALUE"""),0.12511390705184572)</f>
        <v>0.1251139071</v>
      </c>
    </row>
    <row r="304">
      <c r="P304" s="3">
        <f>IFERROR(__xludf.DUMMYFUNCTION("""COMPUTED_VALUE"""),0.2715544116001343)</f>
        <v>0.2715544116</v>
      </c>
    </row>
    <row r="305">
      <c r="P305" s="3">
        <f>IFERROR(__xludf.DUMMYFUNCTION("""COMPUTED_VALUE"""),0.38154465955780087)</f>
        <v>0.3815446596</v>
      </c>
    </row>
    <row r="306">
      <c r="P306" s="3">
        <f>IFERROR(__xludf.DUMMYFUNCTION("""COMPUTED_VALUE"""),0.3460536202458794)</f>
        <v>0.3460536202</v>
      </c>
    </row>
    <row r="307">
      <c r="P307" s="3">
        <f>IFERROR(__xludf.DUMMYFUNCTION("""COMPUTED_VALUE"""),0.3169573627919618)</f>
        <v>0.3169573628</v>
      </c>
    </row>
    <row r="308">
      <c r="P308" s="3">
        <f>IFERROR(__xludf.DUMMYFUNCTION("""COMPUTED_VALUE"""),0.3793064859074995)</f>
        <v>0.3793064859</v>
      </c>
    </row>
    <row r="309">
      <c r="P309" s="3">
        <f>IFERROR(__xludf.DUMMYFUNCTION("""COMPUTED_VALUE"""),0.37195248677079507)</f>
        <v>0.3719524868</v>
      </c>
    </row>
    <row r="310">
      <c r="P310" s="3">
        <f>IFERROR(__xludf.DUMMYFUNCTION("""COMPUTED_VALUE"""),0.29169797445284645)</f>
        <v>0.2916979745</v>
      </c>
    </row>
    <row r="311">
      <c r="P311" s="3">
        <f>IFERROR(__xludf.DUMMYFUNCTION("""COMPUTED_VALUE"""),0.3434957075026778)</f>
        <v>0.3434957075</v>
      </c>
    </row>
    <row r="312">
      <c r="P312" s="3">
        <f>IFERROR(__xludf.DUMMYFUNCTION("""COMPUTED_VALUE"""),0.35436683666128443)</f>
        <v>0.3543668367</v>
      </c>
    </row>
    <row r="313">
      <c r="P313" s="3">
        <f>IFERROR(__xludf.DUMMYFUNCTION("""COMPUTED_VALUE"""),0.4985691675592717)</f>
        <v>0.4985691676</v>
      </c>
    </row>
    <row r="314">
      <c r="P314" s="3">
        <f>IFERROR(__xludf.DUMMYFUNCTION("""COMPUTED_VALUE"""),0.1548496426915637)</f>
        <v>0.1548496427</v>
      </c>
    </row>
    <row r="315">
      <c r="P315" s="3">
        <f>IFERROR(__xludf.DUMMYFUNCTION("""COMPUTED_VALUE"""),0.19737494204728942)</f>
        <v>0.197374942</v>
      </c>
    </row>
    <row r="316">
      <c r="P316" s="3">
        <f>IFERROR(__xludf.DUMMYFUNCTION("""COMPUTED_VALUE"""),0.23638311138111306)</f>
        <v>0.2363831114</v>
      </c>
    </row>
    <row r="317">
      <c r="P317" s="3">
        <f>IFERROR(__xludf.DUMMYFUNCTION("""COMPUTED_VALUE"""),0.2226343303864047)</f>
        <v>0.2226343304</v>
      </c>
    </row>
    <row r="318">
      <c r="P318" s="3">
        <f>IFERROR(__xludf.DUMMYFUNCTION("""COMPUTED_VALUE"""),0.12319547249444454)</f>
        <v>0.1231954725</v>
      </c>
    </row>
    <row r="319">
      <c r="P319" s="3">
        <f>IFERROR(__xludf.DUMMYFUNCTION("""COMPUTED_VALUE"""),0.20568815846269445)</f>
        <v>0.2056881585</v>
      </c>
    </row>
    <row r="320">
      <c r="P320" s="3">
        <f>IFERROR(__xludf.DUMMYFUNCTION("""COMPUTED_VALUE"""),0.20344998481239313)</f>
        <v>0.2034499848</v>
      </c>
    </row>
    <row r="321">
      <c r="P321" s="3">
        <f>IFERROR(__xludf.DUMMYFUNCTION("""COMPUTED_VALUE"""),0.19769468114018962)</f>
        <v>0.1976946811</v>
      </c>
    </row>
    <row r="322">
      <c r="P322" s="3">
        <f>IFERROR(__xludf.DUMMYFUNCTION("""COMPUTED_VALUE"""),0.14717590446195905)</f>
        <v>0.1471759045</v>
      </c>
    </row>
    <row r="323">
      <c r="P323" s="3">
        <f>IFERROR(__xludf.DUMMYFUNCTION("""COMPUTED_VALUE"""),0.17019711915077299)</f>
        <v>0.1701971192</v>
      </c>
    </row>
    <row r="324">
      <c r="P324" s="3">
        <f>IFERROR(__xludf.DUMMYFUNCTION("""COMPUTED_VALUE"""),0.19769468114018962)</f>
        <v>0.1976946811</v>
      </c>
    </row>
    <row r="325">
      <c r="P325" s="3">
        <f>IFERROR(__xludf.DUMMYFUNCTION("""COMPUTED_VALUE"""),0.1935380729324871)</f>
        <v>0.1935380729</v>
      </c>
    </row>
    <row r="326">
      <c r="P326" s="3">
        <f>IFERROR(__xludf.DUMMYFUNCTION("""COMPUTED_VALUE"""),0.24885293600422057)</f>
        <v>0.248852936</v>
      </c>
    </row>
    <row r="327">
      <c r="P327" s="3">
        <f>IFERROR(__xludf.DUMMYFUNCTION("""COMPUTED_VALUE"""),0.32846797013636875)</f>
        <v>0.3284679701</v>
      </c>
    </row>
    <row r="328">
      <c r="P328" s="3">
        <f>IFERROR(__xludf.DUMMYFUNCTION("""COMPUTED_VALUE"""),0.09889530143402984)</f>
        <v>0.09889530143</v>
      </c>
    </row>
    <row r="329">
      <c r="P329" s="3">
        <f>IFERROR(__xludf.DUMMYFUNCTION("""COMPUTED_VALUE"""),0.0)</f>
        <v>0</v>
      </c>
    </row>
    <row r="330">
      <c r="P330" s="3">
        <f>IFERROR(__xludf.DUMMYFUNCTION("""COMPUTED_VALUE"""),0.0)</f>
        <v>0</v>
      </c>
    </row>
    <row r="331">
      <c r="P331" s="3">
        <f>IFERROR(__xludf.DUMMYFUNCTION("""COMPUTED_VALUE"""),0.10369138782753275)</f>
        <v>0.1036913878</v>
      </c>
    </row>
    <row r="332">
      <c r="P332" s="3">
        <f>IFERROR(__xludf.DUMMYFUNCTION("""COMPUTED_VALUE"""),0.10784799603523526)</f>
        <v>0.107847996</v>
      </c>
    </row>
    <row r="333">
      <c r="P333" s="3">
        <f>IFERROR(__xludf.DUMMYFUNCTION("""COMPUTED_VALUE"""),0.14110086169685537)</f>
        <v>0.1411008617</v>
      </c>
    </row>
    <row r="334">
      <c r="P334" s="3">
        <f>IFERROR(__xludf.DUMMYFUNCTION("""COMPUTED_VALUE"""),0.1442982526258573)</f>
        <v>0.1442982526</v>
      </c>
    </row>
    <row r="335">
      <c r="P335" s="3">
        <f>IFERROR(__xludf.DUMMYFUNCTION("""COMPUTED_VALUE"""),0.07299643490911419)</f>
        <v>0.07299643491</v>
      </c>
    </row>
    <row r="336">
      <c r="P336" s="3">
        <f>IFERROR(__xludf.DUMMYFUNCTION("""COMPUTED_VALUE"""),0.1596457290850666)</f>
        <v>0.1596457291</v>
      </c>
    </row>
    <row r="337">
      <c r="P337" s="3">
        <f>IFERROR(__xludf.DUMMYFUNCTION("""COMPUTED_VALUE"""),0.0)</f>
        <v>0</v>
      </c>
    </row>
    <row r="338">
      <c r="P338" s="3">
        <f>IFERROR(__xludf.DUMMYFUNCTION("""COMPUTED_VALUE"""),0.2331857204521111)</f>
        <v>0.2331857205</v>
      </c>
    </row>
    <row r="339">
      <c r="P339" s="3">
        <f>IFERROR(__xludf.DUMMYFUNCTION("""COMPUTED_VALUE"""),0.2932966699173475)</f>
        <v>0.2932966699</v>
      </c>
    </row>
    <row r="340">
      <c r="P340" s="3">
        <f>IFERROR(__xludf.DUMMYFUNCTION("""COMPUTED_VALUE"""),0.23478441591661206)</f>
        <v>0.2347844159</v>
      </c>
    </row>
    <row r="341">
      <c r="P341" s="3">
        <f>IFERROR(__xludf.DUMMYFUNCTION("""COMPUTED_VALUE"""),0.4243896980064268)</f>
        <v>0.424389698</v>
      </c>
    </row>
    <row r="342">
      <c r="P342" s="3">
        <f>IFERROR(__xludf.DUMMYFUNCTION("""COMPUTED_VALUE"""),0.3687550958417931)</f>
        <v>0.3687550958</v>
      </c>
    </row>
    <row r="343">
      <c r="P343" s="3">
        <f>IFERROR(__xludf.DUMMYFUNCTION("""COMPUTED_VALUE"""),0.41191987338331926)</f>
        <v>0.4119198734</v>
      </c>
    </row>
    <row r="344">
      <c r="P344" s="3">
        <f>IFERROR(__xludf.DUMMYFUNCTION("""COMPUTED_VALUE"""),0.16284312001406853)</f>
        <v>0.16284312</v>
      </c>
    </row>
    <row r="345">
      <c r="P345" s="3">
        <f>IFERROR(__xludf.DUMMYFUNCTION("""COMPUTED_VALUE"""),0.208246071205896)</f>
        <v>0.2082460712</v>
      </c>
    </row>
    <row r="346">
      <c r="P346" s="3">
        <f>IFERROR(__xludf.DUMMYFUNCTION("""COMPUTED_VALUE"""),0.3204744928138639)</f>
        <v>0.3204744928</v>
      </c>
    </row>
    <row r="347">
      <c r="P347" s="3">
        <f>IFERROR(__xludf.DUMMYFUNCTION("""COMPUTED_VALUE"""),0.29361640901024766)</f>
        <v>0.293616409</v>
      </c>
    </row>
    <row r="348">
      <c r="P348" s="3">
        <f>IFERROR(__xludf.DUMMYFUNCTION("""COMPUTED_VALUE"""),0.2546082396764241)</f>
        <v>0.2546082397</v>
      </c>
    </row>
    <row r="349">
      <c r="P349" s="3">
        <f>IFERROR(__xludf.DUMMYFUNCTION("""COMPUTED_VALUE"""),0.30512701635465467)</f>
        <v>0.3051270164</v>
      </c>
    </row>
  </sheetData>
  <drawing r:id="rId1"/>
</worksheet>
</file>