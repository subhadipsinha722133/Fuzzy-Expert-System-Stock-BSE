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<sst xmlns="http://schemas.openxmlformats.org/spreadsheetml/2006/main" count="87" uniqueCount="46">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</sst>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  <xf borderId="0" fillId="0" fontId="1" numFmtId="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34</xdr:row>
      <xdr:rowOff>180975</xdr:rowOff>
    </xdr:from>
    <xdr:ext cx="10839450" cy="6677025"/>
    <xdr:pic>
      <xdr:nvPicPr>
        <xdr:cNvPr id="10240440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1" t="s">
        <v>12</v>
      </c>
      <c r="B2" s="3">
        <v>11.68</v>
      </c>
      <c r="C2" s="3">
        <v>13.31</v>
      </c>
      <c r="D2" s="3">
        <v>19.88</v>
      </c>
      <c r="E2" s="3">
        <v>21.59</v>
      </c>
      <c r="F2" s="3">
        <v>0.0</v>
      </c>
      <c r="G2" s="3">
        <v>18.37</v>
      </c>
      <c r="H2" s="3">
        <v>10.38</v>
      </c>
      <c r="I2" s="3">
        <v>7.32</v>
      </c>
      <c r="J2" s="3">
        <v>0.0</v>
      </c>
      <c r="K2" s="3">
        <v>15.72</v>
      </c>
      <c r="L2" s="3">
        <v>9.83</v>
      </c>
      <c r="M2" s="3">
        <v>12.28</v>
      </c>
    </row>
    <row r="3">
      <c r="A3" s="1" t="s">
        <v>13</v>
      </c>
      <c r="B3" s="3">
        <v>84.74</v>
      </c>
      <c r="C3" s="3">
        <v>46.37</v>
      </c>
      <c r="D3" s="3">
        <v>46.48</v>
      </c>
      <c r="E3" s="3">
        <v>57.44</v>
      </c>
      <c r="F3" s="3">
        <v>10.23</v>
      </c>
      <c r="G3" s="3">
        <v>64.35</v>
      </c>
      <c r="H3" s="3">
        <v>39.59</v>
      </c>
      <c r="I3" s="3">
        <v>48.45</v>
      </c>
      <c r="J3" s="3">
        <v>39.31</v>
      </c>
      <c r="K3" s="3">
        <v>35.72</v>
      </c>
      <c r="L3" s="3">
        <v>41.93</v>
      </c>
      <c r="M3" s="3">
        <v>41.71</v>
      </c>
    </row>
    <row r="4">
      <c r="A4" s="1" t="s">
        <v>14</v>
      </c>
      <c r="B4" s="3">
        <v>1.19</v>
      </c>
      <c r="C4" s="3">
        <v>1.25</v>
      </c>
      <c r="D4" s="3">
        <v>3.25</v>
      </c>
      <c r="E4" s="3">
        <v>1.24</v>
      </c>
      <c r="F4" s="3">
        <v>1.52</v>
      </c>
      <c r="G4" s="3">
        <v>1.25</v>
      </c>
      <c r="H4" s="3">
        <v>2.33</v>
      </c>
      <c r="I4" s="3">
        <v>1.39</v>
      </c>
      <c r="J4" s="3">
        <v>1.53</v>
      </c>
      <c r="K4" s="3">
        <v>1.09</v>
      </c>
      <c r="L4" s="3">
        <v>1.005</v>
      </c>
      <c r="M4" s="3">
        <v>1.32</v>
      </c>
    </row>
    <row r="5">
      <c r="A5" s="1" t="s">
        <v>15</v>
      </c>
      <c r="B5" s="3">
        <v>1.79</v>
      </c>
      <c r="C5" s="3">
        <v>1.56</v>
      </c>
      <c r="D5" s="3">
        <v>0.99</v>
      </c>
      <c r="E5" s="3">
        <v>1.04</v>
      </c>
      <c r="F5" s="3">
        <v>0.0</v>
      </c>
      <c r="G5" s="3">
        <v>3.54</v>
      </c>
      <c r="H5" s="3">
        <v>0.86</v>
      </c>
      <c r="I5" s="3">
        <v>1.05</v>
      </c>
      <c r="J5" s="3">
        <v>0.0</v>
      </c>
      <c r="K5" s="3">
        <v>1.49</v>
      </c>
      <c r="L5" s="3">
        <v>1.64</v>
      </c>
      <c r="M5" s="3">
        <v>1.8</v>
      </c>
    </row>
    <row r="6">
      <c r="A6" s="1" t="s">
        <v>16</v>
      </c>
      <c r="B6" s="3">
        <v>13.38</v>
      </c>
      <c r="C6" s="3">
        <v>12.56</v>
      </c>
      <c r="D6" s="3">
        <v>10.49</v>
      </c>
      <c r="E6" s="3">
        <v>8.57</v>
      </c>
      <c r="F6" s="3">
        <v>0.0</v>
      </c>
      <c r="G6" s="3">
        <v>18.04</v>
      </c>
      <c r="H6" s="3">
        <v>5.78</v>
      </c>
      <c r="I6" s="3">
        <v>7.4</v>
      </c>
      <c r="J6" s="3">
        <v>0.0</v>
      </c>
      <c r="K6" s="3">
        <v>10.99</v>
      </c>
      <c r="L6" s="3">
        <v>10.05</v>
      </c>
      <c r="M6" s="3">
        <v>11.15</v>
      </c>
    </row>
    <row r="7">
      <c r="A7" s="1" t="s">
        <v>17</v>
      </c>
      <c r="B7" s="3">
        <v>31.59</v>
      </c>
      <c r="C7" s="3">
        <v>36.69</v>
      </c>
      <c r="D7" s="3">
        <v>41.63</v>
      </c>
      <c r="E7" s="3">
        <v>42.65</v>
      </c>
      <c r="F7" s="3">
        <v>48.75</v>
      </c>
      <c r="G7" s="3">
        <v>41.41</v>
      </c>
      <c r="H7" s="3">
        <v>27.12</v>
      </c>
      <c r="I7" s="3">
        <v>43.83</v>
      </c>
      <c r="J7" s="3">
        <v>40.43</v>
      </c>
      <c r="K7" s="3">
        <v>18.36</v>
      </c>
      <c r="L7" s="3">
        <v>19.51</v>
      </c>
      <c r="M7" s="3">
        <v>19.59</v>
      </c>
    </row>
    <row r="8">
      <c r="A8" s="1" t="s">
        <v>18</v>
      </c>
      <c r="B8" s="3">
        <v>13.79</v>
      </c>
      <c r="C8" s="3">
        <v>30.47</v>
      </c>
      <c r="D8" s="4">
        <v>20.34</v>
      </c>
      <c r="E8" s="3">
        <v>0.0</v>
      </c>
      <c r="F8" s="3">
        <v>0.0</v>
      </c>
      <c r="G8" s="3">
        <v>0.0</v>
      </c>
      <c r="H8" s="3">
        <v>87.98099999999998</v>
      </c>
      <c r="I8" s="4">
        <v>87.98099999999998</v>
      </c>
      <c r="J8" s="3">
        <v>17.21</v>
      </c>
      <c r="K8" s="3">
        <v>17.57</v>
      </c>
      <c r="L8" s="3">
        <v>33.3</v>
      </c>
      <c r="M8" s="3">
        <v>0.0</v>
      </c>
    </row>
    <row r="9">
      <c r="A9" s="1" t="s">
        <v>19</v>
      </c>
      <c r="B9" s="3">
        <v>87.98099999999998</v>
      </c>
      <c r="C9" s="3">
        <v>87.98099999999998</v>
      </c>
      <c r="D9" s="3">
        <v>87.5</v>
      </c>
      <c r="E9" s="3">
        <v>84.38</v>
      </c>
      <c r="F9" s="3">
        <v>29.22</v>
      </c>
      <c r="G9" s="3">
        <v>12.27</v>
      </c>
      <c r="H9" s="3">
        <v>10.85</v>
      </c>
      <c r="I9" s="3">
        <v>19.4</v>
      </c>
      <c r="J9" s="3">
        <v>39.34</v>
      </c>
      <c r="K9" s="3">
        <v>48.15</v>
      </c>
      <c r="L9" s="3">
        <v>32.6</v>
      </c>
      <c r="M9" s="3">
        <v>10.75</v>
      </c>
    </row>
    <row r="10">
      <c r="A10" s="1" t="s">
        <v>20</v>
      </c>
      <c r="B10" s="3">
        <v>25.05</v>
      </c>
      <c r="C10" s="3">
        <v>24.38</v>
      </c>
      <c r="D10" s="3">
        <v>24.07</v>
      </c>
      <c r="E10" s="3">
        <v>23.28</v>
      </c>
      <c r="F10" s="3">
        <v>11.54</v>
      </c>
      <c r="G10" s="3">
        <v>0.0</v>
      </c>
      <c r="H10" s="3">
        <v>18.63</v>
      </c>
      <c r="I10" s="3">
        <v>19.32</v>
      </c>
      <c r="J10" s="3">
        <v>20.84</v>
      </c>
      <c r="K10" s="3">
        <v>20.67</v>
      </c>
      <c r="L10" s="3">
        <v>0.0</v>
      </c>
      <c r="M10" s="3">
        <v>0.0</v>
      </c>
    </row>
    <row r="11">
      <c r="A11" s="1" t="s">
        <v>21</v>
      </c>
      <c r="B11" s="3">
        <v>87.98099999999998</v>
      </c>
      <c r="C11" s="3">
        <v>87.98099999999998</v>
      </c>
      <c r="D11" s="3">
        <v>83.58</v>
      </c>
      <c r="E11" s="3">
        <v>84.68</v>
      </c>
      <c r="F11" s="3">
        <v>87.98099999999998</v>
      </c>
      <c r="G11" s="3">
        <v>77.0</v>
      </c>
      <c r="H11" s="3">
        <v>75.09</v>
      </c>
      <c r="I11" s="3">
        <v>74.72</v>
      </c>
      <c r="J11" s="3">
        <v>79.78</v>
      </c>
      <c r="K11" s="3">
        <v>81.03</v>
      </c>
      <c r="L11" s="3">
        <v>74.38</v>
      </c>
      <c r="M11" s="3">
        <v>71.25</v>
      </c>
    </row>
    <row r="12">
      <c r="A12" s="1" t="s">
        <v>22</v>
      </c>
      <c r="B12" s="3">
        <v>15.4</v>
      </c>
      <c r="C12" s="3">
        <v>15.9</v>
      </c>
      <c r="D12" s="3">
        <v>16.4</v>
      </c>
      <c r="E12" s="3">
        <v>13.8</v>
      </c>
      <c r="F12" s="3">
        <v>7.5</v>
      </c>
      <c r="G12" s="3">
        <v>0.0</v>
      </c>
      <c r="H12" s="3">
        <v>15.0</v>
      </c>
      <c r="I12" s="3">
        <v>12.0</v>
      </c>
      <c r="J12" s="3">
        <v>14.0</v>
      </c>
      <c r="K12" s="3">
        <v>29.0</v>
      </c>
      <c r="L12" s="3">
        <v>24.0</v>
      </c>
      <c r="M12" s="3">
        <v>24.0</v>
      </c>
    </row>
    <row r="13">
      <c r="A13" s="1" t="s">
        <v>23</v>
      </c>
      <c r="B13" s="3">
        <v>75.97</v>
      </c>
      <c r="C13" s="3">
        <v>56.0</v>
      </c>
      <c r="D13" s="3">
        <v>56.57</v>
      </c>
      <c r="E13" s="3">
        <v>57.23</v>
      </c>
      <c r="F13" s="3">
        <v>47.12</v>
      </c>
      <c r="G13" s="3">
        <v>57.35</v>
      </c>
      <c r="H13" s="3">
        <v>87.98099999999998</v>
      </c>
      <c r="I13" s="3">
        <v>46.59</v>
      </c>
      <c r="J13" s="3">
        <v>48.43</v>
      </c>
      <c r="K13" s="3">
        <v>50.51</v>
      </c>
      <c r="L13" s="3">
        <v>41.14</v>
      </c>
      <c r="M13" s="3">
        <v>33.83</v>
      </c>
    </row>
    <row r="14">
      <c r="A14" s="1" t="s">
        <v>24</v>
      </c>
      <c r="B14" s="3">
        <v>23.4</v>
      </c>
      <c r="C14" s="3">
        <v>41.0</v>
      </c>
      <c r="D14" s="3">
        <v>38.81</v>
      </c>
      <c r="E14" s="3">
        <v>42.44</v>
      </c>
      <c r="F14" s="3">
        <v>46.74</v>
      </c>
      <c r="G14" s="3">
        <v>46.05</v>
      </c>
      <c r="H14" s="3">
        <v>49.91</v>
      </c>
      <c r="I14" s="3">
        <v>51.19</v>
      </c>
      <c r="J14" s="3">
        <v>66.47</v>
      </c>
      <c r="K14" s="3">
        <v>53.61</v>
      </c>
      <c r="L14" s="3">
        <v>51.84</v>
      </c>
      <c r="M14" s="3">
        <v>53.66</v>
      </c>
    </row>
    <row r="15">
      <c r="A15" s="1" t="s">
        <v>25</v>
      </c>
      <c r="B15" s="3">
        <v>15.64</v>
      </c>
      <c r="C15" s="3">
        <v>16.87</v>
      </c>
      <c r="D15" s="3">
        <v>14.32</v>
      </c>
      <c r="E15" s="3">
        <v>15.68</v>
      </c>
      <c r="F15" s="3">
        <v>15.32</v>
      </c>
      <c r="G15" s="3">
        <v>14.22</v>
      </c>
      <c r="H15" s="3">
        <v>16.84</v>
      </c>
      <c r="I15" s="3">
        <v>14.21</v>
      </c>
      <c r="J15" s="3">
        <v>14.7</v>
      </c>
      <c r="K15" s="3">
        <v>14.56</v>
      </c>
      <c r="L15" s="3">
        <v>15.35</v>
      </c>
      <c r="M15" s="3">
        <v>14.98</v>
      </c>
    </row>
    <row r="16">
      <c r="A16" s="1" t="s">
        <v>26</v>
      </c>
      <c r="B16" s="3">
        <v>25.6</v>
      </c>
      <c r="C16" s="3">
        <v>32.29</v>
      </c>
      <c r="D16" s="3">
        <v>29.52</v>
      </c>
      <c r="E16" s="3">
        <v>29.16</v>
      </c>
      <c r="F16" s="3">
        <v>31.51</v>
      </c>
      <c r="G16" s="3">
        <v>41.15</v>
      </c>
      <c r="H16" s="3">
        <v>0.0</v>
      </c>
      <c r="I16" s="3">
        <v>0.0</v>
      </c>
      <c r="J16" s="3">
        <v>0.0</v>
      </c>
      <c r="K16" s="3">
        <v>0.0</v>
      </c>
      <c r="L16" s="3">
        <v>31.7</v>
      </c>
      <c r="M16" s="3">
        <v>26.94</v>
      </c>
    </row>
    <row r="17">
      <c r="A17" s="1" t="s">
        <v>27</v>
      </c>
      <c r="B17" s="3">
        <v>18.19</v>
      </c>
      <c r="C17" s="3">
        <v>16.06</v>
      </c>
      <c r="D17" s="3">
        <v>12.49</v>
      </c>
      <c r="E17" s="3">
        <v>14.88</v>
      </c>
      <c r="F17" s="3">
        <v>14.46</v>
      </c>
      <c r="G17" s="3">
        <v>87.98099999999998</v>
      </c>
      <c r="H17" s="3">
        <v>17.63</v>
      </c>
      <c r="I17" s="3">
        <v>11.29</v>
      </c>
      <c r="J17" s="3">
        <v>20.92</v>
      </c>
      <c r="K17" s="3">
        <v>24.6</v>
      </c>
      <c r="L17" s="3">
        <v>23.75</v>
      </c>
      <c r="M17" s="3">
        <v>18.47</v>
      </c>
    </row>
    <row r="18">
      <c r="A18" s="1" t="s">
        <v>28</v>
      </c>
      <c r="B18" s="3">
        <v>27.1</v>
      </c>
      <c r="C18" s="3">
        <v>20.15</v>
      </c>
      <c r="D18" s="3">
        <v>22.07</v>
      </c>
      <c r="E18" s="3">
        <v>35.04</v>
      </c>
      <c r="F18" s="3">
        <v>41.29</v>
      </c>
      <c r="G18" s="3">
        <v>42.57</v>
      </c>
      <c r="H18" s="3">
        <v>31.59</v>
      </c>
      <c r="I18" s="3">
        <v>28.75</v>
      </c>
      <c r="J18" s="3">
        <v>14.07</v>
      </c>
      <c r="K18" s="3">
        <v>13.74</v>
      </c>
      <c r="L18" s="3">
        <v>19.83</v>
      </c>
      <c r="M18" s="3">
        <v>12.7</v>
      </c>
    </row>
    <row r="19">
      <c r="A19" s="1" t="s">
        <v>29</v>
      </c>
      <c r="B19" s="3">
        <v>34.15</v>
      </c>
      <c r="C19" s="3">
        <v>34.94</v>
      </c>
      <c r="D19" s="3">
        <v>24.36</v>
      </c>
      <c r="E19" s="3">
        <v>23.25</v>
      </c>
      <c r="F19" s="3">
        <v>37.79</v>
      </c>
      <c r="G19" s="3">
        <v>4.26</v>
      </c>
      <c r="H19" s="3">
        <v>21.98</v>
      </c>
      <c r="I19" s="3">
        <v>38.31</v>
      </c>
      <c r="J19" s="3">
        <v>33.53</v>
      </c>
      <c r="K19" s="3">
        <v>25.57</v>
      </c>
      <c r="L19" s="3">
        <v>20.64</v>
      </c>
      <c r="M19" s="3">
        <v>42.01</v>
      </c>
    </row>
    <row r="20">
      <c r="A20" s="1" t="s">
        <v>30</v>
      </c>
      <c r="B20" s="3">
        <v>46.43</v>
      </c>
      <c r="C20" s="3">
        <v>50.76</v>
      </c>
      <c r="D20" s="3">
        <v>45.24</v>
      </c>
      <c r="E20" s="3">
        <v>51.82</v>
      </c>
      <c r="F20" s="3">
        <v>56.67</v>
      </c>
      <c r="G20" s="3">
        <v>28.19</v>
      </c>
      <c r="H20" s="3">
        <v>44.99</v>
      </c>
      <c r="I20" s="3">
        <v>36.98</v>
      </c>
      <c r="J20" s="3">
        <v>7.02</v>
      </c>
      <c r="K20" s="3">
        <v>18.52</v>
      </c>
      <c r="L20" s="3">
        <v>22.16</v>
      </c>
      <c r="M20" s="3">
        <v>30.9</v>
      </c>
    </row>
    <row r="21">
      <c r="A21" s="1" t="s">
        <v>31</v>
      </c>
      <c r="B21" s="3">
        <v>9.71</v>
      </c>
      <c r="C21" s="3">
        <v>8.74</v>
      </c>
      <c r="D21" s="3">
        <v>7.62</v>
      </c>
      <c r="E21" s="3">
        <v>7.07</v>
      </c>
      <c r="F21" s="3">
        <v>7.98</v>
      </c>
      <c r="G21" s="3">
        <v>9.78</v>
      </c>
      <c r="H21" s="3">
        <v>8.97</v>
      </c>
      <c r="I21" s="3">
        <v>9.02</v>
      </c>
      <c r="J21" s="3">
        <v>0.0</v>
      </c>
      <c r="K21" s="3">
        <v>20.3</v>
      </c>
      <c r="L21" s="3">
        <v>12.49</v>
      </c>
      <c r="M21" s="3">
        <v>12.41</v>
      </c>
    </row>
    <row r="22">
      <c r="A22" s="1" t="s">
        <v>32</v>
      </c>
      <c r="B22" s="3">
        <v>20.01</v>
      </c>
      <c r="C22" s="3">
        <v>20.02</v>
      </c>
      <c r="D22" s="3">
        <v>20.08</v>
      </c>
      <c r="E22" s="3">
        <v>20.0</v>
      </c>
      <c r="F22" s="3">
        <v>17.49</v>
      </c>
      <c r="G22" s="3">
        <v>0.0</v>
      </c>
      <c r="H22" s="3">
        <v>0.0</v>
      </c>
      <c r="I22" s="3">
        <v>0.0</v>
      </c>
      <c r="J22" s="3">
        <v>20.11</v>
      </c>
      <c r="K22" s="3">
        <v>20.28</v>
      </c>
      <c r="L22" s="3">
        <v>20.21</v>
      </c>
      <c r="M22" s="3">
        <v>20.56</v>
      </c>
    </row>
    <row r="23">
      <c r="A23" s="1" t="s">
        <v>33</v>
      </c>
      <c r="B23" s="3">
        <v>33.06</v>
      </c>
      <c r="C23" s="3">
        <v>30.26</v>
      </c>
      <c r="D23" s="3">
        <v>29.73</v>
      </c>
      <c r="E23" s="3">
        <v>65.96</v>
      </c>
      <c r="F23" s="3">
        <v>53.68</v>
      </c>
      <c r="G23" s="3">
        <v>36.62</v>
      </c>
      <c r="H23" s="3">
        <v>17.97</v>
      </c>
      <c r="I23" s="3">
        <v>36.9</v>
      </c>
      <c r="J23" s="3">
        <v>3.45</v>
      </c>
      <c r="K23" s="3">
        <v>15.88</v>
      </c>
      <c r="L23" s="3">
        <v>15.9</v>
      </c>
      <c r="M23" s="3">
        <v>9.88</v>
      </c>
    </row>
    <row r="24">
      <c r="A24" s="1" t="s">
        <v>34</v>
      </c>
      <c r="B24" s="3">
        <v>8.3</v>
      </c>
      <c r="C24" s="3">
        <v>2.45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4.63</v>
      </c>
    </row>
    <row r="25">
      <c r="A25" s="1" t="s">
        <v>35</v>
      </c>
      <c r="B25" s="3">
        <v>87.98099999999998</v>
      </c>
      <c r="C25" s="3">
        <v>0.0</v>
      </c>
      <c r="D25" s="3">
        <v>71.08</v>
      </c>
      <c r="E25" s="3">
        <v>7.48</v>
      </c>
      <c r="F25" s="3">
        <v>15.28</v>
      </c>
      <c r="G25" s="3">
        <v>87.98099999999998</v>
      </c>
      <c r="H25" s="3">
        <v>11.2</v>
      </c>
      <c r="I25" s="3">
        <v>9.2</v>
      </c>
      <c r="J25" s="3">
        <v>0.0</v>
      </c>
      <c r="K25" s="3">
        <v>0.0</v>
      </c>
      <c r="L25" s="3">
        <v>0.0</v>
      </c>
      <c r="M25" s="3">
        <v>27.01</v>
      </c>
    </row>
    <row r="26">
      <c r="A26" s="1" t="s">
        <v>36</v>
      </c>
      <c r="B26" s="3">
        <v>87.98099999999998</v>
      </c>
      <c r="C26" s="3">
        <v>54.75</v>
      </c>
      <c r="D26" s="3">
        <v>87.98099999999998</v>
      </c>
      <c r="E26" s="3">
        <v>34.74</v>
      </c>
      <c r="F26" s="3">
        <v>33.45</v>
      </c>
      <c r="G26" s="3">
        <v>87.98099999999998</v>
      </c>
      <c r="H26" s="3">
        <v>32.03</v>
      </c>
      <c r="I26" s="3">
        <v>35.94</v>
      </c>
      <c r="J26" s="3">
        <v>34.85</v>
      </c>
      <c r="K26" s="3">
        <v>32.93</v>
      </c>
      <c r="L26" s="3">
        <v>77.94</v>
      </c>
      <c r="M26" s="3">
        <v>32.7</v>
      </c>
    </row>
    <row r="27">
      <c r="A27" s="1" t="s">
        <v>37</v>
      </c>
      <c r="B27" s="3">
        <v>87.98099999999998</v>
      </c>
      <c r="C27" s="3">
        <v>87.98099999999998</v>
      </c>
      <c r="D27" s="3">
        <v>87.98099999999998</v>
      </c>
      <c r="E27" s="3">
        <v>71.52</v>
      </c>
      <c r="F27" s="3">
        <v>39.72</v>
      </c>
      <c r="G27" s="3">
        <v>61.78</v>
      </c>
      <c r="H27" s="3">
        <v>34.68</v>
      </c>
      <c r="I27" s="3">
        <v>24.83</v>
      </c>
      <c r="J27" s="3">
        <v>44.05</v>
      </c>
      <c r="K27" s="3">
        <v>18.53</v>
      </c>
      <c r="L27" s="3">
        <v>22.04</v>
      </c>
      <c r="M27" s="3">
        <v>15.41</v>
      </c>
    </row>
    <row r="28">
      <c r="A28" s="1" t="s">
        <v>38</v>
      </c>
      <c r="B28" s="3">
        <v>29.24</v>
      </c>
      <c r="C28" s="3">
        <v>25.4</v>
      </c>
      <c r="D28" s="3">
        <v>20.49</v>
      </c>
      <c r="E28" s="3">
        <v>16.33</v>
      </c>
      <c r="F28" s="3">
        <v>36.48</v>
      </c>
      <c r="G28" s="3">
        <v>29.56</v>
      </c>
      <c r="H28" s="3">
        <v>23.7</v>
      </c>
      <c r="I28" s="3">
        <v>20.42</v>
      </c>
      <c r="J28" s="3">
        <v>0.0</v>
      </c>
      <c r="K28" s="3">
        <v>59.22</v>
      </c>
      <c r="L28" s="3">
        <v>25.01</v>
      </c>
      <c r="M28" s="3">
        <v>25.36</v>
      </c>
    </row>
    <row r="29">
      <c r="A29" s="1" t="s">
        <v>39</v>
      </c>
      <c r="B29" s="3">
        <v>7.35</v>
      </c>
      <c r="C29" s="3">
        <v>5.26</v>
      </c>
      <c r="D29" s="3">
        <v>8.79</v>
      </c>
      <c r="E29" s="3">
        <v>40.3</v>
      </c>
      <c r="F29" s="3">
        <v>0.0</v>
      </c>
      <c r="G29" s="3">
        <v>42.41</v>
      </c>
      <c r="H29" s="3">
        <v>47.51</v>
      </c>
      <c r="I29" s="3">
        <v>45.99</v>
      </c>
      <c r="J29" s="3">
        <v>0.0</v>
      </c>
      <c r="K29" s="3">
        <v>87.98099999999998</v>
      </c>
      <c r="L29" s="3">
        <v>25.69</v>
      </c>
      <c r="M29" s="3">
        <v>0.0</v>
      </c>
    </row>
    <row r="30">
      <c r="A30" s="1" t="s">
        <v>40</v>
      </c>
      <c r="B30" s="3">
        <v>33.4</v>
      </c>
      <c r="C30" s="3">
        <v>15.63</v>
      </c>
      <c r="D30" s="3">
        <v>21.57</v>
      </c>
      <c r="E30" s="3">
        <v>14.52</v>
      </c>
      <c r="F30" s="3">
        <v>6.86</v>
      </c>
      <c r="G30" s="3">
        <v>6.61</v>
      </c>
      <c r="H30" s="3">
        <v>14.46</v>
      </c>
      <c r="I30" s="3">
        <v>14.86</v>
      </c>
      <c r="J30" s="3">
        <v>9.6</v>
      </c>
      <c r="K30" s="3">
        <v>11.83</v>
      </c>
      <c r="L30" s="3">
        <v>11.77</v>
      </c>
      <c r="M30" s="3">
        <v>11.18</v>
      </c>
    </row>
    <row r="34">
      <c r="A34" s="5" t="s">
        <v>41</v>
      </c>
      <c r="B34" s="3">
        <f>MIN(B2:N30)</f>
        <v>0</v>
      </c>
    </row>
    <row r="35">
      <c r="A35" s="5" t="s">
        <v>42</v>
      </c>
      <c r="B35" s="3">
        <f>MAX(B2:N30)</f>
        <v>87.981</v>
      </c>
    </row>
    <row r="38">
      <c r="A38" s="5" t="s">
        <v>43</v>
      </c>
      <c r="B38" s="6">
        <f>PERCENTILE(B2:M30, 0.05)</f>
        <v>0</v>
      </c>
    </row>
    <row r="39">
      <c r="A39" s="5" t="s">
        <v>44</v>
      </c>
      <c r="B39" s="6">
        <f>PERCENTILE(B2:M30, 0.95)</f>
        <v>87.81265</v>
      </c>
    </row>
    <row r="42">
      <c r="B42" s="3">
        <f t="shared" ref="B42:M42" si="1">MEDIAN(B2, $B$38, $B$39)</f>
        <v>11.68</v>
      </c>
      <c r="C42" s="3">
        <f t="shared" si="1"/>
        <v>13.31</v>
      </c>
      <c r="D42" s="3">
        <f t="shared" si="1"/>
        <v>19.88</v>
      </c>
      <c r="E42" s="3">
        <f t="shared" si="1"/>
        <v>21.59</v>
      </c>
      <c r="F42" s="3">
        <f t="shared" si="1"/>
        <v>0</v>
      </c>
      <c r="G42" s="3">
        <f t="shared" si="1"/>
        <v>18.37</v>
      </c>
      <c r="H42" s="3">
        <f t="shared" si="1"/>
        <v>10.38</v>
      </c>
      <c r="I42" s="3">
        <f t="shared" si="1"/>
        <v>7.32</v>
      </c>
      <c r="J42" s="3">
        <f t="shared" si="1"/>
        <v>0</v>
      </c>
      <c r="K42" s="3">
        <f t="shared" si="1"/>
        <v>15.72</v>
      </c>
      <c r="L42" s="3">
        <f t="shared" si="1"/>
        <v>9.83</v>
      </c>
      <c r="M42" s="3">
        <f t="shared" si="1"/>
        <v>12.28</v>
      </c>
    </row>
    <row r="43">
      <c r="B43" s="3">
        <f t="shared" ref="B43:M43" si="2">MEDIAN(B3, $B$38, $B$39)</f>
        <v>84.74</v>
      </c>
      <c r="C43" s="3">
        <f t="shared" si="2"/>
        <v>46.37</v>
      </c>
      <c r="D43" s="3">
        <f t="shared" si="2"/>
        <v>46.48</v>
      </c>
      <c r="E43" s="3">
        <f t="shared" si="2"/>
        <v>57.44</v>
      </c>
      <c r="F43" s="3">
        <f t="shared" si="2"/>
        <v>10.23</v>
      </c>
      <c r="G43" s="3">
        <f t="shared" si="2"/>
        <v>64.35</v>
      </c>
      <c r="H43" s="3">
        <f t="shared" si="2"/>
        <v>39.59</v>
      </c>
      <c r="I43" s="3">
        <f t="shared" si="2"/>
        <v>48.45</v>
      </c>
      <c r="J43" s="3">
        <f t="shared" si="2"/>
        <v>39.31</v>
      </c>
      <c r="K43" s="3">
        <f t="shared" si="2"/>
        <v>35.72</v>
      </c>
      <c r="L43" s="3">
        <f t="shared" si="2"/>
        <v>41.93</v>
      </c>
      <c r="M43" s="3">
        <f t="shared" si="2"/>
        <v>41.71</v>
      </c>
    </row>
    <row r="44">
      <c r="B44" s="3">
        <f t="shared" ref="B44:M44" si="3">MEDIAN(B4, $B$38, $B$39)</f>
        <v>1.19</v>
      </c>
      <c r="C44" s="3">
        <f t="shared" si="3"/>
        <v>1.25</v>
      </c>
      <c r="D44" s="3">
        <f t="shared" si="3"/>
        <v>3.25</v>
      </c>
      <c r="E44" s="3">
        <f t="shared" si="3"/>
        <v>1.24</v>
      </c>
      <c r="F44" s="3">
        <f t="shared" si="3"/>
        <v>1.52</v>
      </c>
      <c r="G44" s="3">
        <f t="shared" si="3"/>
        <v>1.25</v>
      </c>
      <c r="H44" s="3">
        <f t="shared" si="3"/>
        <v>2.33</v>
      </c>
      <c r="I44" s="3">
        <f t="shared" si="3"/>
        <v>1.39</v>
      </c>
      <c r="J44" s="3">
        <f t="shared" si="3"/>
        <v>1.53</v>
      </c>
      <c r="K44" s="3">
        <f t="shared" si="3"/>
        <v>1.09</v>
      </c>
      <c r="L44" s="3">
        <f t="shared" si="3"/>
        <v>1.005</v>
      </c>
      <c r="M44" s="3">
        <f t="shared" si="3"/>
        <v>1.32</v>
      </c>
    </row>
    <row r="45">
      <c r="B45" s="3">
        <f t="shared" ref="B45:M45" si="4">MEDIAN(B5, $B$38, $B$39)</f>
        <v>1.79</v>
      </c>
      <c r="C45" s="3">
        <f t="shared" si="4"/>
        <v>1.56</v>
      </c>
      <c r="D45" s="3">
        <f t="shared" si="4"/>
        <v>0.99</v>
      </c>
      <c r="E45" s="3">
        <f t="shared" si="4"/>
        <v>1.04</v>
      </c>
      <c r="F45" s="3">
        <f t="shared" si="4"/>
        <v>0</v>
      </c>
      <c r="G45" s="3">
        <f t="shared" si="4"/>
        <v>3.54</v>
      </c>
      <c r="H45" s="3">
        <f t="shared" si="4"/>
        <v>0.86</v>
      </c>
      <c r="I45" s="3">
        <f t="shared" si="4"/>
        <v>1.05</v>
      </c>
      <c r="J45" s="3">
        <f t="shared" si="4"/>
        <v>0</v>
      </c>
      <c r="K45" s="3">
        <f t="shared" si="4"/>
        <v>1.49</v>
      </c>
      <c r="L45" s="3">
        <f t="shared" si="4"/>
        <v>1.64</v>
      </c>
      <c r="M45" s="3">
        <f t="shared" si="4"/>
        <v>1.8</v>
      </c>
    </row>
    <row r="46">
      <c r="B46" s="3">
        <f t="shared" ref="B46:M46" si="5">MEDIAN(B6, $B$38, $B$39)</f>
        <v>13.38</v>
      </c>
      <c r="C46" s="3">
        <f t="shared" si="5"/>
        <v>12.56</v>
      </c>
      <c r="D46" s="3">
        <f t="shared" si="5"/>
        <v>10.49</v>
      </c>
      <c r="E46" s="3">
        <f t="shared" si="5"/>
        <v>8.57</v>
      </c>
      <c r="F46" s="3">
        <f t="shared" si="5"/>
        <v>0</v>
      </c>
      <c r="G46" s="3">
        <f t="shared" si="5"/>
        <v>18.04</v>
      </c>
      <c r="H46" s="3">
        <f t="shared" si="5"/>
        <v>5.78</v>
      </c>
      <c r="I46" s="3">
        <f t="shared" si="5"/>
        <v>7.4</v>
      </c>
      <c r="J46" s="3">
        <f t="shared" si="5"/>
        <v>0</v>
      </c>
      <c r="K46" s="3">
        <f t="shared" si="5"/>
        <v>10.99</v>
      </c>
      <c r="L46" s="3">
        <f t="shared" si="5"/>
        <v>10.05</v>
      </c>
      <c r="M46" s="3">
        <f t="shared" si="5"/>
        <v>11.15</v>
      </c>
    </row>
    <row r="47">
      <c r="B47" s="3">
        <f t="shared" ref="B47:M47" si="6">MEDIAN(B7, $B$38, $B$39)</f>
        <v>31.59</v>
      </c>
      <c r="C47" s="3">
        <f t="shared" si="6"/>
        <v>36.69</v>
      </c>
      <c r="D47" s="3">
        <f t="shared" si="6"/>
        <v>41.63</v>
      </c>
      <c r="E47" s="3">
        <f t="shared" si="6"/>
        <v>42.65</v>
      </c>
      <c r="F47" s="3">
        <f t="shared" si="6"/>
        <v>48.75</v>
      </c>
      <c r="G47" s="3">
        <f t="shared" si="6"/>
        <v>41.41</v>
      </c>
      <c r="H47" s="3">
        <f t="shared" si="6"/>
        <v>27.12</v>
      </c>
      <c r="I47" s="3">
        <f t="shared" si="6"/>
        <v>43.83</v>
      </c>
      <c r="J47" s="3">
        <f t="shared" si="6"/>
        <v>40.43</v>
      </c>
      <c r="K47" s="3">
        <f t="shared" si="6"/>
        <v>18.36</v>
      </c>
      <c r="L47" s="3">
        <f t="shared" si="6"/>
        <v>19.51</v>
      </c>
      <c r="M47" s="3">
        <f t="shared" si="6"/>
        <v>19.59</v>
      </c>
    </row>
    <row r="48">
      <c r="B48" s="3">
        <f t="shared" ref="B48:M48" si="7">MEDIAN(B8, $B$38, $B$39)</f>
        <v>13.79</v>
      </c>
      <c r="C48" s="3">
        <f t="shared" si="7"/>
        <v>30.47</v>
      </c>
      <c r="D48" s="4">
        <f t="shared" si="7"/>
        <v>20.34</v>
      </c>
      <c r="E48" s="3">
        <f t="shared" si="7"/>
        <v>0</v>
      </c>
      <c r="F48" s="3">
        <f t="shared" si="7"/>
        <v>0</v>
      </c>
      <c r="G48" s="3">
        <f t="shared" si="7"/>
        <v>0</v>
      </c>
      <c r="H48" s="3">
        <f t="shared" si="7"/>
        <v>87.81265</v>
      </c>
      <c r="I48" s="4">
        <f t="shared" si="7"/>
        <v>87.81265</v>
      </c>
      <c r="J48" s="3">
        <f t="shared" si="7"/>
        <v>17.21</v>
      </c>
      <c r="K48" s="3">
        <f t="shared" si="7"/>
        <v>17.57</v>
      </c>
      <c r="L48" s="3">
        <f t="shared" si="7"/>
        <v>33.3</v>
      </c>
      <c r="M48" s="3">
        <f t="shared" si="7"/>
        <v>0</v>
      </c>
    </row>
    <row r="49">
      <c r="B49" s="3">
        <f t="shared" ref="B49:M49" si="8">MEDIAN(B9, $B$38, $B$39)</f>
        <v>87.81265</v>
      </c>
      <c r="C49" s="3">
        <f t="shared" si="8"/>
        <v>87.81265</v>
      </c>
      <c r="D49" s="3">
        <f t="shared" si="8"/>
        <v>87.5</v>
      </c>
      <c r="E49" s="3">
        <f t="shared" si="8"/>
        <v>84.38</v>
      </c>
      <c r="F49" s="3">
        <f t="shared" si="8"/>
        <v>29.22</v>
      </c>
      <c r="G49" s="3">
        <f t="shared" si="8"/>
        <v>12.27</v>
      </c>
      <c r="H49" s="3">
        <f t="shared" si="8"/>
        <v>10.85</v>
      </c>
      <c r="I49" s="3">
        <f t="shared" si="8"/>
        <v>19.4</v>
      </c>
      <c r="J49" s="3">
        <f t="shared" si="8"/>
        <v>39.34</v>
      </c>
      <c r="K49" s="3">
        <f t="shared" si="8"/>
        <v>48.15</v>
      </c>
      <c r="L49" s="3">
        <f t="shared" si="8"/>
        <v>32.6</v>
      </c>
      <c r="M49" s="3">
        <f t="shared" si="8"/>
        <v>10.75</v>
      </c>
    </row>
    <row r="50">
      <c r="B50" s="3">
        <f t="shared" ref="B50:M50" si="9">MEDIAN(B10, $B$38, $B$39)</f>
        <v>25.05</v>
      </c>
      <c r="C50" s="3">
        <f t="shared" si="9"/>
        <v>24.38</v>
      </c>
      <c r="D50" s="3">
        <f t="shared" si="9"/>
        <v>24.07</v>
      </c>
      <c r="E50" s="3">
        <f t="shared" si="9"/>
        <v>23.28</v>
      </c>
      <c r="F50" s="3">
        <f t="shared" si="9"/>
        <v>11.54</v>
      </c>
      <c r="G50" s="3">
        <f t="shared" si="9"/>
        <v>0</v>
      </c>
      <c r="H50" s="3">
        <f t="shared" si="9"/>
        <v>18.63</v>
      </c>
      <c r="I50" s="3">
        <f t="shared" si="9"/>
        <v>19.32</v>
      </c>
      <c r="J50" s="3">
        <f t="shared" si="9"/>
        <v>20.84</v>
      </c>
      <c r="K50" s="3">
        <f t="shared" si="9"/>
        <v>20.67</v>
      </c>
      <c r="L50" s="3">
        <f t="shared" si="9"/>
        <v>0</v>
      </c>
      <c r="M50" s="3">
        <f t="shared" si="9"/>
        <v>0</v>
      </c>
    </row>
    <row r="51">
      <c r="B51" s="3">
        <f t="shared" ref="B51:M51" si="10">MEDIAN(B11, $B$38, $B$39)</f>
        <v>87.81265</v>
      </c>
      <c r="C51" s="3">
        <f t="shared" si="10"/>
        <v>87.81265</v>
      </c>
      <c r="D51" s="3">
        <f t="shared" si="10"/>
        <v>83.58</v>
      </c>
      <c r="E51" s="3">
        <f t="shared" si="10"/>
        <v>84.68</v>
      </c>
      <c r="F51" s="3">
        <f t="shared" si="10"/>
        <v>87.81265</v>
      </c>
      <c r="G51" s="3">
        <f t="shared" si="10"/>
        <v>77</v>
      </c>
      <c r="H51" s="3">
        <f t="shared" si="10"/>
        <v>75.09</v>
      </c>
      <c r="I51" s="3">
        <f t="shared" si="10"/>
        <v>74.72</v>
      </c>
      <c r="J51" s="3">
        <f t="shared" si="10"/>
        <v>79.78</v>
      </c>
      <c r="K51" s="3">
        <f t="shared" si="10"/>
        <v>81.03</v>
      </c>
      <c r="L51" s="3">
        <f t="shared" si="10"/>
        <v>74.38</v>
      </c>
      <c r="M51" s="3">
        <f t="shared" si="10"/>
        <v>71.25</v>
      </c>
    </row>
    <row r="52">
      <c r="B52" s="3">
        <f t="shared" ref="B52:M52" si="11">MEDIAN(B12, $B$38, $B$39)</f>
        <v>15.4</v>
      </c>
      <c r="C52" s="3">
        <f t="shared" si="11"/>
        <v>15.9</v>
      </c>
      <c r="D52" s="3">
        <f t="shared" si="11"/>
        <v>16.4</v>
      </c>
      <c r="E52" s="3">
        <f t="shared" si="11"/>
        <v>13.8</v>
      </c>
      <c r="F52" s="3">
        <f t="shared" si="11"/>
        <v>7.5</v>
      </c>
      <c r="G52" s="3">
        <f t="shared" si="11"/>
        <v>0</v>
      </c>
      <c r="H52" s="3">
        <f t="shared" si="11"/>
        <v>15</v>
      </c>
      <c r="I52" s="3">
        <f t="shared" si="11"/>
        <v>12</v>
      </c>
      <c r="J52" s="3">
        <f t="shared" si="11"/>
        <v>14</v>
      </c>
      <c r="K52" s="3">
        <f t="shared" si="11"/>
        <v>29</v>
      </c>
      <c r="L52" s="3">
        <f t="shared" si="11"/>
        <v>24</v>
      </c>
      <c r="M52" s="3">
        <f t="shared" si="11"/>
        <v>24</v>
      </c>
    </row>
    <row r="53">
      <c r="B53" s="3">
        <f t="shared" ref="B53:M53" si="12">MEDIAN(B13, $B$38, $B$39)</f>
        <v>75.97</v>
      </c>
      <c r="C53" s="3">
        <f t="shared" si="12"/>
        <v>56</v>
      </c>
      <c r="D53" s="3">
        <f t="shared" si="12"/>
        <v>56.57</v>
      </c>
      <c r="E53" s="3">
        <f t="shared" si="12"/>
        <v>57.23</v>
      </c>
      <c r="F53" s="3">
        <f t="shared" si="12"/>
        <v>47.12</v>
      </c>
      <c r="G53" s="3">
        <f t="shared" si="12"/>
        <v>57.35</v>
      </c>
      <c r="H53" s="3">
        <f t="shared" si="12"/>
        <v>87.81265</v>
      </c>
      <c r="I53" s="3">
        <f t="shared" si="12"/>
        <v>46.59</v>
      </c>
      <c r="J53" s="3">
        <f t="shared" si="12"/>
        <v>48.43</v>
      </c>
      <c r="K53" s="3">
        <f t="shared" si="12"/>
        <v>50.51</v>
      </c>
      <c r="L53" s="3">
        <f t="shared" si="12"/>
        <v>41.14</v>
      </c>
      <c r="M53" s="3">
        <f t="shared" si="12"/>
        <v>33.83</v>
      </c>
    </row>
    <row r="54">
      <c r="B54" s="3">
        <f t="shared" ref="B54:M54" si="13">MEDIAN(B14, $B$38, $B$39)</f>
        <v>23.4</v>
      </c>
      <c r="C54" s="3">
        <f t="shared" si="13"/>
        <v>41</v>
      </c>
      <c r="D54" s="3">
        <f t="shared" si="13"/>
        <v>38.81</v>
      </c>
      <c r="E54" s="3">
        <f t="shared" si="13"/>
        <v>42.44</v>
      </c>
      <c r="F54" s="3">
        <f t="shared" si="13"/>
        <v>46.74</v>
      </c>
      <c r="G54" s="3">
        <f t="shared" si="13"/>
        <v>46.05</v>
      </c>
      <c r="H54" s="3">
        <f t="shared" si="13"/>
        <v>49.91</v>
      </c>
      <c r="I54" s="3">
        <f t="shared" si="13"/>
        <v>51.19</v>
      </c>
      <c r="J54" s="3">
        <f t="shared" si="13"/>
        <v>66.47</v>
      </c>
      <c r="K54" s="3">
        <f t="shared" si="13"/>
        <v>53.61</v>
      </c>
      <c r="L54" s="3">
        <f t="shared" si="13"/>
        <v>51.84</v>
      </c>
      <c r="M54" s="3">
        <f t="shared" si="13"/>
        <v>53.66</v>
      </c>
    </row>
    <row r="55">
      <c r="B55" s="3">
        <f t="shared" ref="B55:M55" si="14">MEDIAN(B15, $B$38, $B$39)</f>
        <v>15.64</v>
      </c>
      <c r="C55" s="3">
        <f t="shared" si="14"/>
        <v>16.87</v>
      </c>
      <c r="D55" s="3">
        <f t="shared" si="14"/>
        <v>14.32</v>
      </c>
      <c r="E55" s="3">
        <f t="shared" si="14"/>
        <v>15.68</v>
      </c>
      <c r="F55" s="3">
        <f t="shared" si="14"/>
        <v>15.32</v>
      </c>
      <c r="G55" s="3">
        <f t="shared" si="14"/>
        <v>14.22</v>
      </c>
      <c r="H55" s="3">
        <f t="shared" si="14"/>
        <v>16.84</v>
      </c>
      <c r="I55" s="3">
        <f t="shared" si="14"/>
        <v>14.21</v>
      </c>
      <c r="J55" s="3">
        <f t="shared" si="14"/>
        <v>14.7</v>
      </c>
      <c r="K55" s="3">
        <f t="shared" si="14"/>
        <v>14.56</v>
      </c>
      <c r="L55" s="3">
        <f t="shared" si="14"/>
        <v>15.35</v>
      </c>
      <c r="M55" s="3">
        <f t="shared" si="14"/>
        <v>14.98</v>
      </c>
    </row>
    <row r="56">
      <c r="B56" s="3">
        <f t="shared" ref="B56:M56" si="15">MEDIAN(B16, $B$38, $B$39)</f>
        <v>25.6</v>
      </c>
      <c r="C56" s="3">
        <f t="shared" si="15"/>
        <v>32.29</v>
      </c>
      <c r="D56" s="3">
        <f t="shared" si="15"/>
        <v>29.52</v>
      </c>
      <c r="E56" s="3">
        <f t="shared" si="15"/>
        <v>29.16</v>
      </c>
      <c r="F56" s="3">
        <f t="shared" si="15"/>
        <v>31.51</v>
      </c>
      <c r="G56" s="3">
        <f t="shared" si="15"/>
        <v>41.15</v>
      </c>
      <c r="H56" s="3">
        <f t="shared" si="15"/>
        <v>0</v>
      </c>
      <c r="I56" s="3">
        <f t="shared" si="15"/>
        <v>0</v>
      </c>
      <c r="J56" s="3">
        <f t="shared" si="15"/>
        <v>0</v>
      </c>
      <c r="K56" s="3">
        <f t="shared" si="15"/>
        <v>0</v>
      </c>
      <c r="L56" s="3">
        <f t="shared" si="15"/>
        <v>31.7</v>
      </c>
      <c r="M56" s="3">
        <f t="shared" si="15"/>
        <v>26.94</v>
      </c>
    </row>
    <row r="57">
      <c r="B57" s="3">
        <f t="shared" ref="B57:M57" si="16">MEDIAN(B17, $B$38, $B$39)</f>
        <v>18.19</v>
      </c>
      <c r="C57" s="3">
        <f t="shared" si="16"/>
        <v>16.06</v>
      </c>
      <c r="D57" s="3">
        <f t="shared" si="16"/>
        <v>12.49</v>
      </c>
      <c r="E57" s="3">
        <f t="shared" si="16"/>
        <v>14.88</v>
      </c>
      <c r="F57" s="3">
        <f t="shared" si="16"/>
        <v>14.46</v>
      </c>
      <c r="G57" s="3">
        <f t="shared" si="16"/>
        <v>87.81265</v>
      </c>
      <c r="H57" s="3">
        <f t="shared" si="16"/>
        <v>17.63</v>
      </c>
      <c r="I57" s="3">
        <f t="shared" si="16"/>
        <v>11.29</v>
      </c>
      <c r="J57" s="3">
        <f t="shared" si="16"/>
        <v>20.92</v>
      </c>
      <c r="K57" s="3">
        <f t="shared" si="16"/>
        <v>24.6</v>
      </c>
      <c r="L57" s="3">
        <f t="shared" si="16"/>
        <v>23.75</v>
      </c>
      <c r="M57" s="3">
        <f t="shared" si="16"/>
        <v>18.47</v>
      </c>
    </row>
    <row r="58">
      <c r="B58" s="3">
        <f t="shared" ref="B58:M58" si="17">MEDIAN(B18, $B$38, $B$39)</f>
        <v>27.1</v>
      </c>
      <c r="C58" s="3">
        <f t="shared" si="17"/>
        <v>20.15</v>
      </c>
      <c r="D58" s="3">
        <f t="shared" si="17"/>
        <v>22.07</v>
      </c>
      <c r="E58" s="3">
        <f t="shared" si="17"/>
        <v>35.04</v>
      </c>
      <c r="F58" s="3">
        <f t="shared" si="17"/>
        <v>41.29</v>
      </c>
      <c r="G58" s="3">
        <f t="shared" si="17"/>
        <v>42.57</v>
      </c>
      <c r="H58" s="3">
        <f t="shared" si="17"/>
        <v>31.59</v>
      </c>
      <c r="I58" s="3">
        <f t="shared" si="17"/>
        <v>28.75</v>
      </c>
      <c r="J58" s="3">
        <f t="shared" si="17"/>
        <v>14.07</v>
      </c>
      <c r="K58" s="3">
        <f t="shared" si="17"/>
        <v>13.74</v>
      </c>
      <c r="L58" s="3">
        <f t="shared" si="17"/>
        <v>19.83</v>
      </c>
      <c r="M58" s="3">
        <f t="shared" si="17"/>
        <v>12.7</v>
      </c>
    </row>
    <row r="59">
      <c r="B59" s="3">
        <f t="shared" ref="B59:M59" si="18">MEDIAN(B19, $B$38, $B$39)</f>
        <v>34.15</v>
      </c>
      <c r="C59" s="3">
        <f t="shared" si="18"/>
        <v>34.94</v>
      </c>
      <c r="D59" s="3">
        <f t="shared" si="18"/>
        <v>24.36</v>
      </c>
      <c r="E59" s="3">
        <f t="shared" si="18"/>
        <v>23.25</v>
      </c>
      <c r="F59" s="3">
        <f t="shared" si="18"/>
        <v>37.79</v>
      </c>
      <c r="G59" s="3">
        <f t="shared" si="18"/>
        <v>4.26</v>
      </c>
      <c r="H59" s="3">
        <f t="shared" si="18"/>
        <v>21.98</v>
      </c>
      <c r="I59" s="3">
        <f t="shared" si="18"/>
        <v>38.31</v>
      </c>
      <c r="J59" s="3">
        <f t="shared" si="18"/>
        <v>33.53</v>
      </c>
      <c r="K59" s="3">
        <f t="shared" si="18"/>
        <v>25.57</v>
      </c>
      <c r="L59" s="3">
        <f t="shared" si="18"/>
        <v>20.64</v>
      </c>
      <c r="M59" s="3">
        <f t="shared" si="18"/>
        <v>42.01</v>
      </c>
    </row>
    <row r="60">
      <c r="B60" s="3">
        <f t="shared" ref="B60:M60" si="19">MEDIAN(B20, $B$38, $B$39)</f>
        <v>46.43</v>
      </c>
      <c r="C60" s="3">
        <f t="shared" si="19"/>
        <v>50.76</v>
      </c>
      <c r="D60" s="3">
        <f t="shared" si="19"/>
        <v>45.24</v>
      </c>
      <c r="E60" s="3">
        <f t="shared" si="19"/>
        <v>51.82</v>
      </c>
      <c r="F60" s="3">
        <f t="shared" si="19"/>
        <v>56.67</v>
      </c>
      <c r="G60" s="3">
        <f t="shared" si="19"/>
        <v>28.19</v>
      </c>
      <c r="H60" s="3">
        <f t="shared" si="19"/>
        <v>44.99</v>
      </c>
      <c r="I60" s="3">
        <f t="shared" si="19"/>
        <v>36.98</v>
      </c>
      <c r="J60" s="3">
        <f t="shared" si="19"/>
        <v>7.02</v>
      </c>
      <c r="K60" s="3">
        <f t="shared" si="19"/>
        <v>18.52</v>
      </c>
      <c r="L60" s="3">
        <f t="shared" si="19"/>
        <v>22.16</v>
      </c>
      <c r="M60" s="3">
        <f t="shared" si="19"/>
        <v>30.9</v>
      </c>
    </row>
    <row r="61">
      <c r="B61" s="3">
        <f t="shared" ref="B61:M61" si="20">MEDIAN(B21, $B$38, $B$39)</f>
        <v>9.71</v>
      </c>
      <c r="C61" s="3">
        <f t="shared" si="20"/>
        <v>8.74</v>
      </c>
      <c r="D61" s="3">
        <f t="shared" si="20"/>
        <v>7.62</v>
      </c>
      <c r="E61" s="3">
        <f t="shared" si="20"/>
        <v>7.07</v>
      </c>
      <c r="F61" s="3">
        <f t="shared" si="20"/>
        <v>7.98</v>
      </c>
      <c r="G61" s="3">
        <f t="shared" si="20"/>
        <v>9.78</v>
      </c>
      <c r="H61" s="3">
        <f t="shared" si="20"/>
        <v>8.97</v>
      </c>
      <c r="I61" s="3">
        <f t="shared" si="20"/>
        <v>9.02</v>
      </c>
      <c r="J61" s="3">
        <f t="shared" si="20"/>
        <v>0</v>
      </c>
      <c r="K61" s="3">
        <f t="shared" si="20"/>
        <v>20.3</v>
      </c>
      <c r="L61" s="3">
        <f t="shared" si="20"/>
        <v>12.49</v>
      </c>
      <c r="M61" s="3">
        <f t="shared" si="20"/>
        <v>12.41</v>
      </c>
    </row>
    <row r="62">
      <c r="B62" s="3">
        <f t="shared" ref="B62:M62" si="21">MEDIAN(B22, $B$38, $B$39)</f>
        <v>20.01</v>
      </c>
      <c r="C62" s="3">
        <f t="shared" si="21"/>
        <v>20.02</v>
      </c>
      <c r="D62" s="3">
        <f t="shared" si="21"/>
        <v>20.08</v>
      </c>
      <c r="E62" s="3">
        <f t="shared" si="21"/>
        <v>20</v>
      </c>
      <c r="F62" s="3">
        <f t="shared" si="21"/>
        <v>17.49</v>
      </c>
      <c r="G62" s="3">
        <f t="shared" si="21"/>
        <v>0</v>
      </c>
      <c r="H62" s="3">
        <f t="shared" si="21"/>
        <v>0</v>
      </c>
      <c r="I62" s="3">
        <f t="shared" si="21"/>
        <v>0</v>
      </c>
      <c r="J62" s="3">
        <f t="shared" si="21"/>
        <v>20.11</v>
      </c>
      <c r="K62" s="3">
        <f t="shared" si="21"/>
        <v>20.28</v>
      </c>
      <c r="L62" s="3">
        <f t="shared" si="21"/>
        <v>20.21</v>
      </c>
      <c r="M62" s="3">
        <f t="shared" si="21"/>
        <v>20.56</v>
      </c>
    </row>
    <row r="63">
      <c r="B63" s="3">
        <f t="shared" ref="B63:M63" si="22">MEDIAN(B23, $B$38, $B$39)</f>
        <v>33.06</v>
      </c>
      <c r="C63" s="3">
        <f t="shared" si="22"/>
        <v>30.26</v>
      </c>
      <c r="D63" s="3">
        <f t="shared" si="22"/>
        <v>29.73</v>
      </c>
      <c r="E63" s="3">
        <f t="shared" si="22"/>
        <v>65.96</v>
      </c>
      <c r="F63" s="3">
        <f t="shared" si="22"/>
        <v>53.68</v>
      </c>
      <c r="G63" s="3">
        <f t="shared" si="22"/>
        <v>36.62</v>
      </c>
      <c r="H63" s="3">
        <f t="shared" si="22"/>
        <v>17.97</v>
      </c>
      <c r="I63" s="3">
        <f t="shared" si="22"/>
        <v>36.9</v>
      </c>
      <c r="J63" s="3">
        <f t="shared" si="22"/>
        <v>3.45</v>
      </c>
      <c r="K63" s="3">
        <f t="shared" si="22"/>
        <v>15.88</v>
      </c>
      <c r="L63" s="3">
        <f t="shared" si="22"/>
        <v>15.9</v>
      </c>
      <c r="M63" s="3">
        <f t="shared" si="22"/>
        <v>9.88</v>
      </c>
    </row>
    <row r="64">
      <c r="B64" s="3">
        <f t="shared" ref="B64:M64" si="23">MEDIAN(B24, $B$38, $B$39)</f>
        <v>8.3</v>
      </c>
      <c r="C64" s="3">
        <f t="shared" si="23"/>
        <v>2.45</v>
      </c>
      <c r="D64" s="3">
        <f t="shared" si="23"/>
        <v>0</v>
      </c>
      <c r="E64" s="3">
        <f t="shared" si="23"/>
        <v>0</v>
      </c>
      <c r="F64" s="3">
        <f t="shared" si="23"/>
        <v>0</v>
      </c>
      <c r="G64" s="3">
        <f t="shared" si="23"/>
        <v>0</v>
      </c>
      <c r="H64" s="3">
        <f t="shared" si="23"/>
        <v>0</v>
      </c>
      <c r="I64" s="3">
        <f t="shared" si="23"/>
        <v>0</v>
      </c>
      <c r="J64" s="3">
        <f t="shared" si="23"/>
        <v>0</v>
      </c>
      <c r="K64" s="3">
        <f t="shared" si="23"/>
        <v>0</v>
      </c>
      <c r="L64" s="3">
        <f t="shared" si="23"/>
        <v>0</v>
      </c>
      <c r="M64" s="3">
        <f t="shared" si="23"/>
        <v>4.63</v>
      </c>
    </row>
    <row r="65">
      <c r="B65" s="3">
        <f t="shared" ref="B65:M65" si="24">MEDIAN(B25, $B$38, $B$39)</f>
        <v>87.81265</v>
      </c>
      <c r="C65" s="3">
        <f t="shared" si="24"/>
        <v>0</v>
      </c>
      <c r="D65" s="3">
        <f t="shared" si="24"/>
        <v>71.08</v>
      </c>
      <c r="E65" s="3">
        <f t="shared" si="24"/>
        <v>7.48</v>
      </c>
      <c r="F65" s="3">
        <f t="shared" si="24"/>
        <v>15.28</v>
      </c>
      <c r="G65" s="3">
        <f t="shared" si="24"/>
        <v>87.81265</v>
      </c>
      <c r="H65" s="3">
        <f t="shared" si="24"/>
        <v>11.2</v>
      </c>
      <c r="I65" s="3">
        <f t="shared" si="24"/>
        <v>9.2</v>
      </c>
      <c r="J65" s="3">
        <f t="shared" si="24"/>
        <v>0</v>
      </c>
      <c r="K65" s="3">
        <f t="shared" si="24"/>
        <v>0</v>
      </c>
      <c r="L65" s="3">
        <f t="shared" si="24"/>
        <v>0</v>
      </c>
      <c r="M65" s="3">
        <f t="shared" si="24"/>
        <v>27.01</v>
      </c>
    </row>
    <row r="66">
      <c r="B66" s="3">
        <f t="shared" ref="B66:M66" si="25">MEDIAN(B26, $B$38, $B$39)</f>
        <v>87.81265</v>
      </c>
      <c r="C66" s="3">
        <f t="shared" si="25"/>
        <v>54.75</v>
      </c>
      <c r="D66" s="3">
        <f t="shared" si="25"/>
        <v>87.81265</v>
      </c>
      <c r="E66" s="3">
        <f t="shared" si="25"/>
        <v>34.74</v>
      </c>
      <c r="F66" s="3">
        <f t="shared" si="25"/>
        <v>33.45</v>
      </c>
      <c r="G66" s="3">
        <f t="shared" si="25"/>
        <v>87.81265</v>
      </c>
      <c r="H66" s="3">
        <f t="shared" si="25"/>
        <v>32.03</v>
      </c>
      <c r="I66" s="3">
        <f t="shared" si="25"/>
        <v>35.94</v>
      </c>
      <c r="J66" s="3">
        <f t="shared" si="25"/>
        <v>34.85</v>
      </c>
      <c r="K66" s="3">
        <f t="shared" si="25"/>
        <v>32.93</v>
      </c>
      <c r="L66" s="3">
        <f t="shared" si="25"/>
        <v>77.94</v>
      </c>
      <c r="M66" s="3">
        <f t="shared" si="25"/>
        <v>32.7</v>
      </c>
    </row>
    <row r="67">
      <c r="B67" s="3">
        <f t="shared" ref="B67:M67" si="26">MEDIAN(B27, $B$38, $B$39)</f>
        <v>87.81265</v>
      </c>
      <c r="C67" s="3">
        <f t="shared" si="26"/>
        <v>87.81265</v>
      </c>
      <c r="D67" s="3">
        <f t="shared" si="26"/>
        <v>87.81265</v>
      </c>
      <c r="E67" s="3">
        <f t="shared" si="26"/>
        <v>71.52</v>
      </c>
      <c r="F67" s="3">
        <f t="shared" si="26"/>
        <v>39.72</v>
      </c>
      <c r="G67" s="3">
        <f t="shared" si="26"/>
        <v>61.78</v>
      </c>
      <c r="H67" s="3">
        <f t="shared" si="26"/>
        <v>34.68</v>
      </c>
      <c r="I67" s="3">
        <f t="shared" si="26"/>
        <v>24.83</v>
      </c>
      <c r="J67" s="3">
        <f t="shared" si="26"/>
        <v>44.05</v>
      </c>
      <c r="K67" s="3">
        <f t="shared" si="26"/>
        <v>18.53</v>
      </c>
      <c r="L67" s="3">
        <f t="shared" si="26"/>
        <v>22.04</v>
      </c>
      <c r="M67" s="3">
        <f t="shared" si="26"/>
        <v>15.41</v>
      </c>
    </row>
    <row r="68">
      <c r="B68" s="3">
        <f t="shared" ref="B68:M68" si="27">MEDIAN(B28, $B$38, $B$39)</f>
        <v>29.24</v>
      </c>
      <c r="C68" s="3">
        <f t="shared" si="27"/>
        <v>25.4</v>
      </c>
      <c r="D68" s="3">
        <f t="shared" si="27"/>
        <v>20.49</v>
      </c>
      <c r="E68" s="3">
        <f t="shared" si="27"/>
        <v>16.33</v>
      </c>
      <c r="F68" s="3">
        <f t="shared" si="27"/>
        <v>36.48</v>
      </c>
      <c r="G68" s="3">
        <f t="shared" si="27"/>
        <v>29.56</v>
      </c>
      <c r="H68" s="3">
        <f t="shared" si="27"/>
        <v>23.7</v>
      </c>
      <c r="I68" s="3">
        <f t="shared" si="27"/>
        <v>20.42</v>
      </c>
      <c r="J68" s="3">
        <f t="shared" si="27"/>
        <v>0</v>
      </c>
      <c r="K68" s="3">
        <f t="shared" si="27"/>
        <v>59.22</v>
      </c>
      <c r="L68" s="3">
        <f t="shared" si="27"/>
        <v>25.01</v>
      </c>
      <c r="M68" s="3">
        <f t="shared" si="27"/>
        <v>25.36</v>
      </c>
    </row>
    <row r="69">
      <c r="B69" s="3">
        <f t="shared" ref="B69:M69" si="28">MEDIAN(B29, $B$38, $B$39)</f>
        <v>7.35</v>
      </c>
      <c r="C69" s="3">
        <f t="shared" si="28"/>
        <v>5.26</v>
      </c>
      <c r="D69" s="3">
        <f t="shared" si="28"/>
        <v>8.79</v>
      </c>
      <c r="E69" s="3">
        <f t="shared" si="28"/>
        <v>40.3</v>
      </c>
      <c r="F69" s="3">
        <f t="shared" si="28"/>
        <v>0</v>
      </c>
      <c r="G69" s="3">
        <f t="shared" si="28"/>
        <v>42.41</v>
      </c>
      <c r="H69" s="3">
        <f t="shared" si="28"/>
        <v>47.51</v>
      </c>
      <c r="I69" s="3">
        <f t="shared" si="28"/>
        <v>45.99</v>
      </c>
      <c r="J69" s="3">
        <f t="shared" si="28"/>
        <v>0</v>
      </c>
      <c r="K69" s="3">
        <f t="shared" si="28"/>
        <v>87.81265</v>
      </c>
      <c r="L69" s="3">
        <f t="shared" si="28"/>
        <v>25.69</v>
      </c>
      <c r="M69" s="3">
        <f t="shared" si="28"/>
        <v>0</v>
      </c>
    </row>
    <row r="70">
      <c r="B70" s="3">
        <f t="shared" ref="B70:M70" si="29">MEDIAN(B30, $B$38, $B$39)</f>
        <v>33.4</v>
      </c>
      <c r="C70" s="3">
        <f t="shared" si="29"/>
        <v>15.63</v>
      </c>
      <c r="D70" s="3">
        <f t="shared" si="29"/>
        <v>21.57</v>
      </c>
      <c r="E70" s="3">
        <f t="shared" si="29"/>
        <v>14.52</v>
      </c>
      <c r="F70" s="3">
        <f t="shared" si="29"/>
        <v>6.86</v>
      </c>
      <c r="G70" s="3">
        <f t="shared" si="29"/>
        <v>6.61</v>
      </c>
      <c r="H70" s="3">
        <f t="shared" si="29"/>
        <v>14.46</v>
      </c>
      <c r="I70" s="3">
        <f t="shared" si="29"/>
        <v>14.86</v>
      </c>
      <c r="J70" s="3">
        <f t="shared" si="29"/>
        <v>9.6</v>
      </c>
      <c r="K70" s="3">
        <f t="shared" si="29"/>
        <v>11.83</v>
      </c>
      <c r="L70" s="3">
        <f t="shared" si="29"/>
        <v>11.77</v>
      </c>
      <c r="M70" s="3">
        <f t="shared" si="29"/>
        <v>11.18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P1" s="7" t="s">
        <v>45</v>
      </c>
    </row>
    <row r="2">
      <c r="A2" s="1" t="s">
        <v>12</v>
      </c>
      <c r="B2" s="3">
        <f>(Sheet1!B2 - Sheet1!$B$34) / (Sheet1!$B$35 - Sheet1!$B$34)</f>
        <v>0.1327559359</v>
      </c>
      <c r="C2" s="3">
        <f>(Sheet1!C2 - Sheet1!$B$34) / (Sheet1!$B$35 - Sheet1!$B$34)</f>
        <v>0.1512826633</v>
      </c>
      <c r="D2" s="3">
        <f>(Sheet1!D2 - Sheet1!$B$34) / (Sheet1!$B$35 - Sheet1!$B$34)</f>
        <v>0.2259578773</v>
      </c>
      <c r="E2" s="3">
        <f>(Sheet1!E2 - Sheet1!$B$34) / (Sheet1!$B$35 - Sheet1!$B$34)</f>
        <v>0.2453938919</v>
      </c>
      <c r="F2" s="3">
        <f>(Sheet1!F2 - Sheet1!$B$34) / (Sheet1!$B$35 - Sheet1!$B$34)</f>
        <v>0</v>
      </c>
      <c r="G2" s="3">
        <f>(Sheet1!G2 - Sheet1!$B$34) / (Sheet1!$B$35 - Sheet1!$B$34)</f>
        <v>0.2087950808</v>
      </c>
      <c r="H2" s="3">
        <f>(Sheet1!H2 - Sheet1!$B$34) / (Sheet1!$B$35 - Sheet1!$B$34)</f>
        <v>0.1179800184</v>
      </c>
      <c r="I2" s="3">
        <f>(Sheet1!I2 - Sheet1!$B$34) / (Sheet1!$B$35 - Sheet1!$B$34)</f>
        <v>0.08319978177</v>
      </c>
      <c r="J2" s="3">
        <f>(Sheet1!J2 - Sheet1!$B$34) / (Sheet1!$B$35 - Sheet1!$B$34)</f>
        <v>0</v>
      </c>
      <c r="K2" s="3">
        <f>(Sheet1!K2 - Sheet1!$B$34) / (Sheet1!$B$35 - Sheet1!$B$34)</f>
        <v>0.1786749412</v>
      </c>
      <c r="L2" s="3">
        <f>(Sheet1!L2 - Sheet1!$B$34) / (Sheet1!$B$35 - Sheet1!$B$34)</f>
        <v>0.1117286687</v>
      </c>
      <c r="M2" s="3">
        <f>(Sheet1!M2 - Sheet1!$B$34) / (Sheet1!$B$35 - Sheet1!$B$34)</f>
        <v>0.1395755902</v>
      </c>
      <c r="P2" s="8">
        <f>IFERROR(__xludf.DUMMYFUNCTION("FLATTEN(B2:M30)"),0.1327559359407145)</f>
        <v>0.1327559359</v>
      </c>
    </row>
    <row r="3">
      <c r="A3" s="1" t="s">
        <v>13</v>
      </c>
      <c r="B3" s="3">
        <f>(Sheet1!B3 - Sheet1!$B$34) / (Sheet1!$B$35 - Sheet1!$B$34)</f>
        <v>0.963162501</v>
      </c>
      <c r="C3" s="3">
        <f>(Sheet1!C3 - Sheet1!$B$34) / (Sheet1!$B$35 - Sheet1!$B$34)</f>
        <v>0.5270456121</v>
      </c>
      <c r="D3" s="3">
        <f>(Sheet1!D3 - Sheet1!$B$34) / (Sheet1!$B$35 - Sheet1!$B$34)</f>
        <v>0.5282958821</v>
      </c>
      <c r="E3" s="3">
        <f>(Sheet1!E3 - Sheet1!$B$34) / (Sheet1!$B$35 - Sheet1!$B$34)</f>
        <v>0.6528682329</v>
      </c>
      <c r="F3" s="3">
        <f>(Sheet1!F3 - Sheet1!$B$34) / (Sheet1!$B$35 - Sheet1!$B$34)</f>
        <v>0.1162751049</v>
      </c>
      <c r="G3" s="3">
        <f>(Sheet1!G3 - Sheet1!$B$34) / (Sheet1!$B$35 - Sheet1!$B$34)</f>
        <v>0.7314079176</v>
      </c>
      <c r="H3" s="3">
        <f>(Sheet1!H3 - Sheet1!$B$34) / (Sheet1!$B$35 - Sheet1!$B$34)</f>
        <v>0.4499835192</v>
      </c>
      <c r="I3" s="3">
        <f>(Sheet1!I3 - Sheet1!$B$34) / (Sheet1!$B$35 - Sheet1!$B$34)</f>
        <v>0.5506870802</v>
      </c>
      <c r="J3" s="3">
        <f>(Sheet1!J3 - Sheet1!$B$34) / (Sheet1!$B$35 - Sheet1!$B$34)</f>
        <v>0.4468010139</v>
      </c>
      <c r="K3" s="3">
        <f>(Sheet1!K3 - Sheet1!$B$34) / (Sheet1!$B$35 - Sheet1!$B$34)</f>
        <v>0.4059967493</v>
      </c>
      <c r="L3" s="3">
        <f>(Sheet1!L3 - Sheet1!$B$34) / (Sheet1!$B$35 - Sheet1!$B$34)</f>
        <v>0.4765801707</v>
      </c>
      <c r="M3" s="3">
        <f>(Sheet1!M3 - Sheet1!$B$34) / (Sheet1!$B$35 - Sheet1!$B$34)</f>
        <v>0.4740796308</v>
      </c>
      <c r="P3" s="3">
        <f>IFERROR(__xludf.DUMMYFUNCTION("""COMPUTED_VALUE"""),0.15128266330230394)</f>
        <v>0.1512826633</v>
      </c>
    </row>
    <row r="4">
      <c r="A4" s="1" t="s">
        <v>14</v>
      </c>
      <c r="B4" s="3">
        <f>(Sheet1!B4 - Sheet1!$B$34) / (Sheet1!$B$35 - Sheet1!$B$34)</f>
        <v>0.01352564758</v>
      </c>
      <c r="C4" s="3">
        <f>(Sheet1!C4 - Sheet1!$B$34) / (Sheet1!$B$35 - Sheet1!$B$34)</f>
        <v>0.01420761301</v>
      </c>
      <c r="D4" s="3">
        <f>(Sheet1!D4 - Sheet1!$B$34) / (Sheet1!$B$35 - Sheet1!$B$34)</f>
        <v>0.03693979382</v>
      </c>
      <c r="E4" s="3">
        <f>(Sheet1!E4 - Sheet1!$B$34) / (Sheet1!$B$35 - Sheet1!$B$34)</f>
        <v>0.0140939521</v>
      </c>
      <c r="F4" s="3">
        <f>(Sheet1!F4 - Sheet1!$B$34) / (Sheet1!$B$35 - Sheet1!$B$34)</f>
        <v>0.01727645742</v>
      </c>
      <c r="G4" s="3">
        <f>(Sheet1!G4 - Sheet1!$B$34) / (Sheet1!$B$35 - Sheet1!$B$34)</f>
        <v>0.01420761301</v>
      </c>
      <c r="H4" s="3">
        <f>(Sheet1!H4 - Sheet1!$B$34) / (Sheet1!$B$35 - Sheet1!$B$34)</f>
        <v>0.02648299065</v>
      </c>
      <c r="I4" s="3">
        <f>(Sheet1!I4 - Sheet1!$B$34) / (Sheet1!$B$35 - Sheet1!$B$34)</f>
        <v>0.01579886566</v>
      </c>
      <c r="J4" s="3">
        <f>(Sheet1!J4 - Sheet1!$B$34) / (Sheet1!$B$35 - Sheet1!$B$34)</f>
        <v>0.01739011832</v>
      </c>
      <c r="K4" s="3">
        <f>(Sheet1!K4 - Sheet1!$B$34) / (Sheet1!$B$35 - Sheet1!$B$34)</f>
        <v>0.01238903854</v>
      </c>
      <c r="L4" s="3">
        <f>(Sheet1!L4 - Sheet1!$B$34) / (Sheet1!$B$35 - Sheet1!$B$34)</f>
        <v>0.01142292086</v>
      </c>
      <c r="M4" s="3">
        <f>(Sheet1!M4 - Sheet1!$B$34) / (Sheet1!$B$35 - Sheet1!$B$34)</f>
        <v>0.01500323934</v>
      </c>
      <c r="P4" s="3">
        <f>IFERROR(__xludf.DUMMYFUNCTION("""COMPUTED_VALUE"""),0.22595787726895583)</f>
        <v>0.2259578773</v>
      </c>
    </row>
    <row r="5">
      <c r="A5" s="1" t="s">
        <v>15</v>
      </c>
      <c r="B5" s="3">
        <f>(Sheet1!B5 - Sheet1!$B$34) / (Sheet1!$B$35 - Sheet1!$B$34)</f>
        <v>0.02034530183</v>
      </c>
      <c r="C5" s="3">
        <f>(Sheet1!C5 - Sheet1!$B$34) / (Sheet1!$B$35 - Sheet1!$B$34)</f>
        <v>0.01773110103</v>
      </c>
      <c r="D5" s="3">
        <f>(Sheet1!D5 - Sheet1!$B$34) / (Sheet1!$B$35 - Sheet1!$B$34)</f>
        <v>0.0112524295</v>
      </c>
      <c r="E5" s="3">
        <f>(Sheet1!E5 - Sheet1!$B$34) / (Sheet1!$B$35 - Sheet1!$B$34)</f>
        <v>0.01182073402</v>
      </c>
      <c r="F5" s="3">
        <f>(Sheet1!F5 - Sheet1!$B$34) / (Sheet1!$B$35 - Sheet1!$B$34)</f>
        <v>0</v>
      </c>
      <c r="G5" s="3">
        <f>(Sheet1!G5 - Sheet1!$B$34) / (Sheet1!$B$35 - Sheet1!$B$34)</f>
        <v>0.04023596004</v>
      </c>
      <c r="H5" s="3">
        <f>(Sheet1!H5 - Sheet1!$B$34) / (Sheet1!$B$35 - Sheet1!$B$34)</f>
        <v>0.009774837749</v>
      </c>
      <c r="I5" s="3">
        <f>(Sheet1!I5 - Sheet1!$B$34) / (Sheet1!$B$35 - Sheet1!$B$34)</f>
        <v>0.01193439493</v>
      </c>
      <c r="J5" s="3">
        <f>(Sheet1!J5 - Sheet1!$B$34) / (Sheet1!$B$35 - Sheet1!$B$34)</f>
        <v>0</v>
      </c>
      <c r="K5" s="3">
        <f>(Sheet1!K5 - Sheet1!$B$34) / (Sheet1!$B$35 - Sheet1!$B$34)</f>
        <v>0.0169354747</v>
      </c>
      <c r="L5" s="3">
        <f>(Sheet1!L5 - Sheet1!$B$34) / (Sheet1!$B$35 - Sheet1!$B$34)</f>
        <v>0.01864038827</v>
      </c>
      <c r="M5" s="3">
        <f>(Sheet1!M5 - Sheet1!$B$34) / (Sheet1!$B$35 - Sheet1!$B$34)</f>
        <v>0.02045896273</v>
      </c>
      <c r="P5" s="3">
        <f>IFERROR(__xludf.DUMMYFUNCTION("""COMPUTED_VALUE"""),0.24539389186301594)</f>
        <v>0.2453938919</v>
      </c>
    </row>
    <row r="6">
      <c r="A6" s="1" t="s">
        <v>16</v>
      </c>
      <c r="B6" s="3">
        <f>(Sheet1!B6 - Sheet1!$B$34) / (Sheet1!$B$35 - Sheet1!$B$34)</f>
        <v>0.1520782896</v>
      </c>
      <c r="C6" s="3">
        <f>(Sheet1!C6 - Sheet1!$B$34) / (Sheet1!$B$35 - Sheet1!$B$34)</f>
        <v>0.1427580955</v>
      </c>
      <c r="D6" s="3">
        <f>(Sheet1!D6 - Sheet1!$B$34) / (Sheet1!$B$35 - Sheet1!$B$34)</f>
        <v>0.1192302884</v>
      </c>
      <c r="E6" s="3">
        <f>(Sheet1!E6 - Sheet1!$B$34) / (Sheet1!$B$35 - Sheet1!$B$34)</f>
        <v>0.09740739478</v>
      </c>
      <c r="F6" s="3">
        <f>(Sheet1!F6 - Sheet1!$B$34) / (Sheet1!$B$35 - Sheet1!$B$34)</f>
        <v>0</v>
      </c>
      <c r="G6" s="3">
        <f>(Sheet1!G6 - Sheet1!$B$34) / (Sheet1!$B$35 - Sheet1!$B$34)</f>
        <v>0.2050442709</v>
      </c>
      <c r="H6" s="3">
        <f>(Sheet1!H6 - Sheet1!$B$34) / (Sheet1!$B$35 - Sheet1!$B$34)</f>
        <v>0.06569600255</v>
      </c>
      <c r="I6" s="3">
        <f>(Sheet1!I6 - Sheet1!$B$34) / (Sheet1!$B$35 - Sheet1!$B$34)</f>
        <v>0.084109069</v>
      </c>
      <c r="J6" s="3">
        <f>(Sheet1!J6 - Sheet1!$B$34) / (Sheet1!$B$35 - Sheet1!$B$34)</f>
        <v>0</v>
      </c>
      <c r="K6" s="3">
        <f>(Sheet1!K6 - Sheet1!$B$34) / (Sheet1!$B$35 - Sheet1!$B$34)</f>
        <v>0.1249133336</v>
      </c>
      <c r="L6" s="3">
        <f>(Sheet1!L6 - Sheet1!$B$34) / (Sheet1!$B$35 - Sheet1!$B$34)</f>
        <v>0.1142292086</v>
      </c>
      <c r="M6" s="3">
        <f>(Sheet1!M6 - Sheet1!$B$34) / (Sheet1!$B$35 - Sheet1!$B$34)</f>
        <v>0.126731908</v>
      </c>
      <c r="P6" s="3">
        <f>IFERROR(__xludf.DUMMYFUNCTION("""COMPUTED_VALUE"""),0.0)</f>
        <v>0</v>
      </c>
    </row>
    <row r="7">
      <c r="A7" s="1" t="s">
        <v>17</v>
      </c>
      <c r="B7" s="3">
        <f>(Sheet1!B7 - Sheet1!$B$34) / (Sheet1!$B$35 - Sheet1!$B$34)</f>
        <v>0.3590547959</v>
      </c>
      <c r="C7" s="3">
        <f>(Sheet1!C7 - Sheet1!$B$34) / (Sheet1!$B$35 - Sheet1!$B$34)</f>
        <v>0.417021857</v>
      </c>
      <c r="D7" s="3">
        <f>(Sheet1!D7 - Sheet1!$B$34) / (Sheet1!$B$35 - Sheet1!$B$34)</f>
        <v>0.4731703436</v>
      </c>
      <c r="E7" s="3">
        <f>(Sheet1!E7 - Sheet1!$B$34) / (Sheet1!$B$35 - Sheet1!$B$34)</f>
        <v>0.4847637558</v>
      </c>
      <c r="F7" s="3">
        <f>(Sheet1!F7 - Sheet1!$B$34) / (Sheet1!$B$35 - Sheet1!$B$34)</f>
        <v>0.5540969073</v>
      </c>
      <c r="G7" s="3">
        <f>(Sheet1!G7 - Sheet1!$B$34) / (Sheet1!$B$35 - Sheet1!$B$34)</f>
        <v>0.4706698037</v>
      </c>
      <c r="H7" s="3">
        <f>(Sheet1!H7 - Sheet1!$B$34) / (Sheet1!$B$35 - Sheet1!$B$34)</f>
        <v>0.3082483718</v>
      </c>
      <c r="I7" s="3">
        <f>(Sheet1!I7 - Sheet1!$B$34) / (Sheet1!$B$35 - Sheet1!$B$34)</f>
        <v>0.4981757425</v>
      </c>
      <c r="J7" s="3">
        <f>(Sheet1!J7 - Sheet1!$B$34) / (Sheet1!$B$35 - Sheet1!$B$34)</f>
        <v>0.4595310351</v>
      </c>
      <c r="K7" s="3">
        <f>(Sheet1!K7 - Sheet1!$B$34) / (Sheet1!$B$35 - Sheet1!$B$34)</f>
        <v>0.2086814199</v>
      </c>
      <c r="L7" s="3">
        <f>(Sheet1!L7 - Sheet1!$B$34) / (Sheet1!$B$35 - Sheet1!$B$34)</f>
        <v>0.2217524238</v>
      </c>
      <c r="M7" s="3">
        <f>(Sheet1!M7 - Sheet1!$B$34) / (Sheet1!$B$35 - Sheet1!$B$34)</f>
        <v>0.2226617111</v>
      </c>
      <c r="P7" s="3">
        <f>IFERROR(__xludf.DUMMYFUNCTION("""COMPUTED_VALUE"""),0.2087950807560724)</f>
        <v>0.2087950808</v>
      </c>
    </row>
    <row r="8">
      <c r="A8" s="1" t="s">
        <v>18</v>
      </c>
      <c r="B8" s="3">
        <f>(Sheet1!B8 - Sheet1!$B$34) / (Sheet1!$B$35 - Sheet1!$B$34)</f>
        <v>0.1567383867</v>
      </c>
      <c r="C8" s="3">
        <f>(Sheet1!C8 - Sheet1!$B$34) / (Sheet1!$B$35 - Sheet1!$B$34)</f>
        <v>0.3463247747</v>
      </c>
      <c r="D8" s="3">
        <f>(Sheet1!D8 - Sheet1!$B$34) / (Sheet1!$B$35 - Sheet1!$B$34)</f>
        <v>0.2311862789</v>
      </c>
      <c r="E8" s="3">
        <f>(Sheet1!E8 - Sheet1!$B$34) / (Sheet1!$B$35 - Sheet1!$B$34)</f>
        <v>0</v>
      </c>
      <c r="F8" s="3">
        <f>(Sheet1!F8 - Sheet1!$B$34) / (Sheet1!$B$35 - Sheet1!$B$34)</f>
        <v>0</v>
      </c>
      <c r="G8" s="3">
        <f>(Sheet1!G8 - Sheet1!$B$34) / (Sheet1!$B$35 - Sheet1!$B$34)</f>
        <v>0</v>
      </c>
      <c r="H8" s="3">
        <f>(Sheet1!H8 - Sheet1!$B$34) / (Sheet1!$B$35 - Sheet1!$B$34)</f>
        <v>1</v>
      </c>
      <c r="I8" s="3">
        <f>(Sheet1!I8 - Sheet1!$B$34) / (Sheet1!$B$35 - Sheet1!$B$34)</f>
        <v>1</v>
      </c>
      <c r="J8" s="3">
        <f>(Sheet1!J8 - Sheet1!$B$34) / (Sheet1!$B$35 - Sheet1!$B$34)</f>
        <v>0.1956104159</v>
      </c>
      <c r="K8" s="3">
        <f>(Sheet1!K8 - Sheet1!$B$34) / (Sheet1!$B$35 - Sheet1!$B$34)</f>
        <v>0.1997022084</v>
      </c>
      <c r="L8" s="3">
        <f>(Sheet1!L8 - Sheet1!$B$34) / (Sheet1!$B$35 - Sheet1!$B$34)</f>
        <v>0.3784908105</v>
      </c>
      <c r="M8" s="3">
        <f>(Sheet1!M8 - Sheet1!$B$34) / (Sheet1!$B$35 - Sheet1!$B$34)</f>
        <v>0</v>
      </c>
      <c r="P8" s="3">
        <f>IFERROR(__xludf.DUMMYFUNCTION("""COMPUTED_VALUE"""),0.11798001841306649)</f>
        <v>0.1179800184</v>
      </c>
    </row>
    <row r="9">
      <c r="A9" s="1" t="s">
        <v>19</v>
      </c>
      <c r="B9" s="3">
        <f>(Sheet1!B9 - Sheet1!$B$34) / (Sheet1!$B$35 - Sheet1!$B$34)</f>
        <v>1</v>
      </c>
      <c r="C9" s="3">
        <f>(Sheet1!C9 - Sheet1!$B$34) / (Sheet1!$B$35 - Sheet1!$B$34)</f>
        <v>1</v>
      </c>
      <c r="D9" s="3">
        <f>(Sheet1!D9 - Sheet1!$B$34) / (Sheet1!$B$35 - Sheet1!$B$34)</f>
        <v>0.9945329105</v>
      </c>
      <c r="E9" s="3">
        <f>(Sheet1!E9 - Sheet1!$B$34) / (Sheet1!$B$35 - Sheet1!$B$34)</f>
        <v>0.9590707084</v>
      </c>
      <c r="F9" s="3">
        <f>(Sheet1!F9 - Sheet1!$B$34) / (Sheet1!$B$35 - Sheet1!$B$34)</f>
        <v>0.3321171617</v>
      </c>
      <c r="G9" s="3">
        <f>(Sheet1!G9 - Sheet1!$B$34) / (Sheet1!$B$35 - Sheet1!$B$34)</f>
        <v>0.1394619293</v>
      </c>
      <c r="H9" s="3">
        <f>(Sheet1!H9 - Sheet1!$B$34) / (Sheet1!$B$35 - Sheet1!$B$34)</f>
        <v>0.1233220809</v>
      </c>
      <c r="I9" s="3">
        <f>(Sheet1!I9 - Sheet1!$B$34) / (Sheet1!$B$35 - Sheet1!$B$34)</f>
        <v>0.2205021539</v>
      </c>
      <c r="J9" s="3">
        <f>(Sheet1!J9 - Sheet1!$B$34) / (Sheet1!$B$35 - Sheet1!$B$34)</f>
        <v>0.4471419966</v>
      </c>
      <c r="K9" s="3">
        <f>(Sheet1!K9 - Sheet1!$B$34) / (Sheet1!$B$35 - Sheet1!$B$34)</f>
        <v>0.547277253</v>
      </c>
      <c r="L9" s="3">
        <f>(Sheet1!L9 - Sheet1!$B$34) / (Sheet1!$B$35 - Sheet1!$B$34)</f>
        <v>0.3705345472</v>
      </c>
      <c r="M9" s="3">
        <f>(Sheet1!M9 - Sheet1!$B$34) / (Sheet1!$B$35 - Sheet1!$B$34)</f>
        <v>0.1221854719</v>
      </c>
      <c r="P9" s="3">
        <f>IFERROR(__xludf.DUMMYFUNCTION("""COMPUTED_VALUE"""),0.08319978177106423)</f>
        <v>0.08319978177</v>
      </c>
    </row>
    <row r="10">
      <c r="A10" s="1" t="s">
        <v>20</v>
      </c>
      <c r="B10" s="3">
        <f>(Sheet1!B10 - Sheet1!$B$34) / (Sheet1!$B$35 - Sheet1!$B$34)</f>
        <v>0.2847205647</v>
      </c>
      <c r="C10" s="3">
        <f>(Sheet1!C10 - Sheet1!$B$34) / (Sheet1!$B$35 - Sheet1!$B$34)</f>
        <v>0.2771052841</v>
      </c>
      <c r="D10" s="3">
        <f>(Sheet1!D10 - Sheet1!$B$34) / (Sheet1!$B$35 - Sheet1!$B$34)</f>
        <v>0.2735817961</v>
      </c>
      <c r="E10" s="3">
        <f>(Sheet1!E10 - Sheet1!$B$34) / (Sheet1!$B$35 - Sheet1!$B$34)</f>
        <v>0.2646025846</v>
      </c>
      <c r="F10" s="3">
        <f>(Sheet1!F10 - Sheet1!$B$34) / (Sheet1!$B$35 - Sheet1!$B$34)</f>
        <v>0.1311646833</v>
      </c>
      <c r="G10" s="3">
        <f>(Sheet1!G10 - Sheet1!$B$34) / (Sheet1!$B$35 - Sheet1!$B$34)</f>
        <v>0</v>
      </c>
      <c r="H10" s="3">
        <f>(Sheet1!H10 - Sheet1!$B$34) / (Sheet1!$B$35 - Sheet1!$B$34)</f>
        <v>0.2117502643</v>
      </c>
      <c r="I10" s="3">
        <f>(Sheet1!I10 - Sheet1!$B$34) / (Sheet1!$B$35 - Sheet1!$B$34)</f>
        <v>0.2195928666</v>
      </c>
      <c r="J10" s="3">
        <f>(Sheet1!J10 - Sheet1!$B$34) / (Sheet1!$B$35 - Sheet1!$B$34)</f>
        <v>0.2368693241</v>
      </c>
      <c r="K10" s="3">
        <f>(Sheet1!K10 - Sheet1!$B$34) / (Sheet1!$B$35 - Sheet1!$B$34)</f>
        <v>0.2349370887</v>
      </c>
      <c r="L10" s="3">
        <f>(Sheet1!L10 - Sheet1!$B$34) / (Sheet1!$B$35 - Sheet1!$B$34)</f>
        <v>0</v>
      </c>
      <c r="M10" s="3">
        <f>(Sheet1!M10 - Sheet1!$B$34) / (Sheet1!$B$35 - Sheet1!$B$34)</f>
        <v>0</v>
      </c>
      <c r="P10" s="3">
        <f>IFERROR(__xludf.DUMMYFUNCTION("""COMPUTED_VALUE"""),0.0)</f>
        <v>0</v>
      </c>
    </row>
    <row r="11">
      <c r="A11" s="1" t="s">
        <v>21</v>
      </c>
      <c r="B11" s="3">
        <f>(Sheet1!B11 - Sheet1!$B$34) / (Sheet1!$B$35 - Sheet1!$B$34)</f>
        <v>1</v>
      </c>
      <c r="C11" s="3">
        <f>(Sheet1!C11 - Sheet1!$B$34) / (Sheet1!$B$35 - Sheet1!$B$34)</f>
        <v>1</v>
      </c>
      <c r="D11" s="3">
        <f>(Sheet1!D11 - Sheet1!$B$34) / (Sheet1!$B$35 - Sheet1!$B$34)</f>
        <v>0.9499778361</v>
      </c>
      <c r="E11" s="3">
        <f>(Sheet1!E11 - Sheet1!$B$34) / (Sheet1!$B$35 - Sheet1!$B$34)</f>
        <v>0.9624805356</v>
      </c>
      <c r="F11" s="3">
        <f>(Sheet1!F11 - Sheet1!$B$34) / (Sheet1!$B$35 - Sheet1!$B$34)</f>
        <v>1</v>
      </c>
      <c r="G11" s="3">
        <f>(Sheet1!G11 - Sheet1!$B$34) / (Sheet1!$B$35 - Sheet1!$B$34)</f>
        <v>0.8751889613</v>
      </c>
      <c r="H11" s="3">
        <f>(Sheet1!H11 - Sheet1!$B$34) / (Sheet1!$B$35 - Sheet1!$B$34)</f>
        <v>0.8534797286</v>
      </c>
      <c r="I11" s="3">
        <f>(Sheet1!I11 - Sheet1!$B$34) / (Sheet1!$B$35 - Sheet1!$B$34)</f>
        <v>0.8492742751</v>
      </c>
      <c r="J11" s="3">
        <f>(Sheet1!J11 - Sheet1!$B$34) / (Sheet1!$B$35 - Sheet1!$B$34)</f>
        <v>0.9067866926</v>
      </c>
      <c r="K11" s="3">
        <f>(Sheet1!K11 - Sheet1!$B$34) / (Sheet1!$B$35 - Sheet1!$B$34)</f>
        <v>0.9209943056</v>
      </c>
      <c r="L11" s="3">
        <f>(Sheet1!L11 - Sheet1!$B$34) / (Sheet1!$B$35 - Sheet1!$B$34)</f>
        <v>0.8454098044</v>
      </c>
      <c r="M11" s="3">
        <f>(Sheet1!M11 - Sheet1!$B$34) / (Sheet1!$B$35 - Sheet1!$B$34)</f>
        <v>0.8098339414</v>
      </c>
      <c r="P11" s="3">
        <f>IFERROR(__xludf.DUMMYFUNCTION("""COMPUTED_VALUE"""),0.1786749411804822)</f>
        <v>0.1786749412</v>
      </c>
    </row>
    <row r="12">
      <c r="A12" s="1" t="s">
        <v>22</v>
      </c>
      <c r="B12" s="3">
        <f>(Sheet1!B12 - Sheet1!$B$34) / (Sheet1!$B$35 - Sheet1!$B$34)</f>
        <v>0.1750377923</v>
      </c>
      <c r="C12" s="3">
        <f>(Sheet1!C12 - Sheet1!$B$34) / (Sheet1!$B$35 - Sheet1!$B$34)</f>
        <v>0.1807208375</v>
      </c>
      <c r="D12" s="3">
        <f>(Sheet1!D12 - Sheet1!$B$34) / (Sheet1!$B$35 - Sheet1!$B$34)</f>
        <v>0.1864038827</v>
      </c>
      <c r="E12" s="3">
        <f>(Sheet1!E12 - Sheet1!$B$34) / (Sheet1!$B$35 - Sheet1!$B$34)</f>
        <v>0.1568520476</v>
      </c>
      <c r="F12" s="3">
        <f>(Sheet1!F12 - Sheet1!$B$34) / (Sheet1!$B$35 - Sheet1!$B$34)</f>
        <v>0.08524567804</v>
      </c>
      <c r="G12" s="3">
        <f>(Sheet1!G12 - Sheet1!$B$34) / (Sheet1!$B$35 - Sheet1!$B$34)</f>
        <v>0</v>
      </c>
      <c r="H12" s="3">
        <f>(Sheet1!H12 - Sheet1!$B$34) / (Sheet1!$B$35 - Sheet1!$B$34)</f>
        <v>0.1704913561</v>
      </c>
      <c r="I12" s="3">
        <f>(Sheet1!I12 - Sheet1!$B$34) / (Sheet1!$B$35 - Sheet1!$B$34)</f>
        <v>0.1363930849</v>
      </c>
      <c r="J12" s="3">
        <f>(Sheet1!J12 - Sheet1!$B$34) / (Sheet1!$B$35 - Sheet1!$B$34)</f>
        <v>0.1591252657</v>
      </c>
      <c r="K12" s="3">
        <f>(Sheet1!K12 - Sheet1!$B$34) / (Sheet1!$B$35 - Sheet1!$B$34)</f>
        <v>0.3296166218</v>
      </c>
      <c r="L12" s="3">
        <f>(Sheet1!L12 - Sheet1!$B$34) / (Sheet1!$B$35 - Sheet1!$B$34)</f>
        <v>0.2727861697</v>
      </c>
      <c r="M12" s="3">
        <f>(Sheet1!M12 - Sheet1!$B$34) / (Sheet1!$B$35 - Sheet1!$B$34)</f>
        <v>0.2727861697</v>
      </c>
      <c r="P12" s="3">
        <f>IFERROR(__xludf.DUMMYFUNCTION("""COMPUTED_VALUE"""),0.11172866868983078)</f>
        <v>0.1117286687</v>
      </c>
    </row>
    <row r="13">
      <c r="A13" s="1" t="s">
        <v>23</v>
      </c>
      <c r="B13" s="3">
        <f>(Sheet1!B13 - Sheet1!$B$34) / (Sheet1!$B$35 - Sheet1!$B$34)</f>
        <v>0.8634818881</v>
      </c>
      <c r="C13" s="3">
        <f>(Sheet1!C13 - Sheet1!$B$34) / (Sheet1!$B$35 - Sheet1!$B$34)</f>
        <v>0.6365010627</v>
      </c>
      <c r="D13" s="3">
        <f>(Sheet1!D13 - Sheet1!$B$34) / (Sheet1!$B$35 - Sheet1!$B$34)</f>
        <v>0.6429797343</v>
      </c>
      <c r="E13" s="3">
        <f>(Sheet1!E13 - Sheet1!$B$34) / (Sheet1!$B$35 - Sheet1!$B$34)</f>
        <v>0.6504813539</v>
      </c>
      <c r="F13" s="3">
        <f>(Sheet1!F13 - Sheet1!$B$34) / (Sheet1!$B$35 - Sheet1!$B$34)</f>
        <v>0.5355701799</v>
      </c>
      <c r="G13" s="3">
        <f>(Sheet1!G13 - Sheet1!$B$34) / (Sheet1!$B$35 - Sheet1!$B$34)</f>
        <v>0.6518452848</v>
      </c>
      <c r="H13" s="3">
        <f>(Sheet1!H13 - Sheet1!$B$34) / (Sheet1!$B$35 - Sheet1!$B$34)</f>
        <v>1</v>
      </c>
      <c r="I13" s="3">
        <f>(Sheet1!I13 - Sheet1!$B$34) / (Sheet1!$B$35 - Sheet1!$B$34)</f>
        <v>0.529546152</v>
      </c>
      <c r="J13" s="3">
        <f>(Sheet1!J13 - Sheet1!$B$34) / (Sheet1!$B$35 - Sheet1!$B$34)</f>
        <v>0.5504597584</v>
      </c>
      <c r="K13" s="3">
        <f>(Sheet1!K13 - Sheet1!$B$34) / (Sheet1!$B$35 - Sheet1!$B$34)</f>
        <v>0.5741012264</v>
      </c>
      <c r="L13" s="3">
        <f>(Sheet1!L13 - Sheet1!$B$34) / (Sheet1!$B$35 - Sheet1!$B$34)</f>
        <v>0.4676009593</v>
      </c>
      <c r="M13" s="3">
        <f>(Sheet1!M13 - Sheet1!$B$34) / (Sheet1!$B$35 - Sheet1!$B$34)</f>
        <v>0.3845148384</v>
      </c>
      <c r="P13" s="3">
        <f>IFERROR(__xludf.DUMMYFUNCTION("""COMPUTED_VALUE"""),0.13957559018424434)</f>
        <v>0.1395755902</v>
      </c>
    </row>
    <row r="14">
      <c r="A14" s="1" t="s">
        <v>24</v>
      </c>
      <c r="B14" s="3">
        <f>(Sheet1!B14 - Sheet1!$B$34) / (Sheet1!$B$35 - Sheet1!$B$34)</f>
        <v>0.2659665155</v>
      </c>
      <c r="C14" s="3">
        <f>(Sheet1!C14 - Sheet1!$B$34) / (Sheet1!$B$35 - Sheet1!$B$34)</f>
        <v>0.4660097066</v>
      </c>
      <c r="D14" s="3">
        <f>(Sheet1!D14 - Sheet1!$B$34) / (Sheet1!$B$35 - Sheet1!$B$34)</f>
        <v>0.4411179687</v>
      </c>
      <c r="E14" s="3">
        <f>(Sheet1!E14 - Sheet1!$B$34) / (Sheet1!$B$35 - Sheet1!$B$34)</f>
        <v>0.4823768768</v>
      </c>
      <c r="F14" s="3">
        <f>(Sheet1!F14 - Sheet1!$B$34) / (Sheet1!$B$35 - Sheet1!$B$34)</f>
        <v>0.5312510656</v>
      </c>
      <c r="G14" s="3">
        <f>(Sheet1!G14 - Sheet1!$B$34) / (Sheet1!$B$35 - Sheet1!$B$34)</f>
        <v>0.5234084632</v>
      </c>
      <c r="H14" s="3">
        <f>(Sheet1!H14 - Sheet1!$B$34) / (Sheet1!$B$35 - Sheet1!$B$34)</f>
        <v>0.5672815722</v>
      </c>
      <c r="I14" s="3">
        <f>(Sheet1!I14 - Sheet1!$B$34) / (Sheet1!$B$35 - Sheet1!$B$34)</f>
        <v>0.5818301679</v>
      </c>
      <c r="J14" s="3">
        <f>(Sheet1!J14 - Sheet1!$B$34) / (Sheet1!$B$35 - Sheet1!$B$34)</f>
        <v>0.7555040293</v>
      </c>
      <c r="K14" s="3">
        <f>(Sheet1!K14 - Sheet1!$B$34) / (Sheet1!$B$35 - Sheet1!$B$34)</f>
        <v>0.6093361067</v>
      </c>
      <c r="L14" s="3">
        <f>(Sheet1!L14 - Sheet1!$B$34) / (Sheet1!$B$35 - Sheet1!$B$34)</f>
        <v>0.5892181266</v>
      </c>
      <c r="M14" s="3">
        <f>(Sheet1!M14 - Sheet1!$B$34) / (Sheet1!$B$35 - Sheet1!$B$34)</f>
        <v>0.6099044112</v>
      </c>
      <c r="P14" s="3">
        <f>IFERROR(__xludf.DUMMYFUNCTION("""COMPUTED_VALUE"""),0.963162500994533)</f>
        <v>0.963162501</v>
      </c>
    </row>
    <row r="15">
      <c r="A15" s="1" t="s">
        <v>25</v>
      </c>
      <c r="B15" s="3">
        <f>(Sheet1!B15 - Sheet1!$B$34) / (Sheet1!$B$35 - Sheet1!$B$34)</f>
        <v>0.1777656539</v>
      </c>
      <c r="C15" s="3">
        <f>(Sheet1!C15 - Sheet1!$B$34) / (Sheet1!$B$35 - Sheet1!$B$34)</f>
        <v>0.1917459451</v>
      </c>
      <c r="D15" s="3">
        <f>(Sheet1!D15 - Sheet1!$B$34) / (Sheet1!$B$35 - Sheet1!$B$34)</f>
        <v>0.1627624146</v>
      </c>
      <c r="E15" s="3">
        <f>(Sheet1!E15 - Sheet1!$B$34) / (Sheet1!$B$35 - Sheet1!$B$34)</f>
        <v>0.1782202976</v>
      </c>
      <c r="F15" s="3">
        <f>(Sheet1!F15 - Sheet1!$B$34) / (Sheet1!$B$35 - Sheet1!$B$34)</f>
        <v>0.174128505</v>
      </c>
      <c r="G15" s="3">
        <f>(Sheet1!G15 - Sheet1!$B$34) / (Sheet1!$B$35 - Sheet1!$B$34)</f>
        <v>0.1616258056</v>
      </c>
      <c r="H15" s="3">
        <f>(Sheet1!H15 - Sheet1!$B$34) / (Sheet1!$B$35 - Sheet1!$B$34)</f>
        <v>0.1914049624</v>
      </c>
      <c r="I15" s="3">
        <f>(Sheet1!I15 - Sheet1!$B$34) / (Sheet1!$B$35 - Sheet1!$B$34)</f>
        <v>0.1615121447</v>
      </c>
      <c r="J15" s="3">
        <f>(Sheet1!J15 - Sheet1!$B$34) / (Sheet1!$B$35 - Sheet1!$B$34)</f>
        <v>0.167081529</v>
      </c>
      <c r="K15" s="3">
        <f>(Sheet1!K15 - Sheet1!$B$34) / (Sheet1!$B$35 - Sheet1!$B$34)</f>
        <v>0.1654902763</v>
      </c>
      <c r="L15" s="3">
        <f>(Sheet1!L15 - Sheet1!$B$34) / (Sheet1!$B$35 - Sheet1!$B$34)</f>
        <v>0.1744694877</v>
      </c>
      <c r="M15" s="3">
        <f>(Sheet1!M15 - Sheet1!$B$34) / (Sheet1!$B$35 - Sheet1!$B$34)</f>
        <v>0.1702640343</v>
      </c>
      <c r="P15" s="3">
        <f>IFERROR(__xludf.DUMMYFUNCTION("""COMPUTED_VALUE"""),0.5270456121207989)</f>
        <v>0.5270456121</v>
      </c>
    </row>
    <row r="16">
      <c r="A16" s="1" t="s">
        <v>26</v>
      </c>
      <c r="B16" s="3">
        <f>(Sheet1!B16 - Sheet1!$B$34) / (Sheet1!$B$35 - Sheet1!$B$34)</f>
        <v>0.2909719144</v>
      </c>
      <c r="C16" s="3">
        <f>(Sheet1!C16 - Sheet1!$B$34) / (Sheet1!$B$35 - Sheet1!$B$34)</f>
        <v>0.3670110592</v>
      </c>
      <c r="D16" s="3">
        <f>(Sheet1!D16 - Sheet1!$B$34) / (Sheet1!$B$35 - Sheet1!$B$34)</f>
        <v>0.3355269888</v>
      </c>
      <c r="E16" s="3">
        <f>(Sheet1!E16 - Sheet1!$B$34) / (Sheet1!$B$35 - Sheet1!$B$34)</f>
        <v>0.3314351962</v>
      </c>
      <c r="F16" s="3">
        <f>(Sheet1!F16 - Sheet1!$B$34) / (Sheet1!$B$35 - Sheet1!$B$34)</f>
        <v>0.3581455087</v>
      </c>
      <c r="G16" s="3">
        <f>(Sheet1!G16 - Sheet1!$B$34) / (Sheet1!$B$35 - Sheet1!$B$34)</f>
        <v>0.4677146202</v>
      </c>
      <c r="H16" s="3">
        <f>(Sheet1!H16 - Sheet1!$B$34) / (Sheet1!$B$35 - Sheet1!$B$34)</f>
        <v>0</v>
      </c>
      <c r="I16" s="3">
        <f>(Sheet1!I16 - Sheet1!$B$34) / (Sheet1!$B$35 - Sheet1!$B$34)</f>
        <v>0</v>
      </c>
      <c r="J16" s="3">
        <f>(Sheet1!J16 - Sheet1!$B$34) / (Sheet1!$B$35 - Sheet1!$B$34)</f>
        <v>0</v>
      </c>
      <c r="K16" s="3">
        <f>(Sheet1!K16 - Sheet1!$B$34) / (Sheet1!$B$35 - Sheet1!$B$34)</f>
        <v>0</v>
      </c>
      <c r="L16" s="3">
        <f>(Sheet1!L16 - Sheet1!$B$34) / (Sheet1!$B$35 - Sheet1!$B$34)</f>
        <v>0.3603050659</v>
      </c>
      <c r="M16" s="3">
        <f>(Sheet1!M16 - Sheet1!$B$34) / (Sheet1!$B$35 - Sheet1!$B$34)</f>
        <v>0.3062024755</v>
      </c>
      <c r="P16" s="3">
        <f>IFERROR(__xludf.DUMMYFUNCTION("""COMPUTED_VALUE"""),0.528295882065446)</f>
        <v>0.5282958821</v>
      </c>
    </row>
    <row r="17">
      <c r="A17" s="1" t="s">
        <v>27</v>
      </c>
      <c r="B17" s="3">
        <f>(Sheet1!B17 - Sheet1!$B$34) / (Sheet1!$B$35 - Sheet1!$B$34)</f>
        <v>0.2067491845</v>
      </c>
      <c r="C17" s="3">
        <f>(Sheet1!C17 - Sheet1!$B$34) / (Sheet1!$B$35 - Sheet1!$B$34)</f>
        <v>0.1825394119</v>
      </c>
      <c r="D17" s="3">
        <f>(Sheet1!D17 - Sheet1!$B$34) / (Sheet1!$B$35 - Sheet1!$B$34)</f>
        <v>0.1419624692</v>
      </c>
      <c r="E17" s="3">
        <f>(Sheet1!E17 - Sheet1!$B$34) / (Sheet1!$B$35 - Sheet1!$B$34)</f>
        <v>0.1691274252</v>
      </c>
      <c r="F17" s="3">
        <f>(Sheet1!F17 - Sheet1!$B$34) / (Sheet1!$B$35 - Sheet1!$B$34)</f>
        <v>0.1643536673</v>
      </c>
      <c r="G17" s="3">
        <f>(Sheet1!G17 - Sheet1!$B$34) / (Sheet1!$B$35 - Sheet1!$B$34)</f>
        <v>1</v>
      </c>
      <c r="H17" s="3">
        <f>(Sheet1!H17 - Sheet1!$B$34) / (Sheet1!$B$35 - Sheet1!$B$34)</f>
        <v>0.2003841739</v>
      </c>
      <c r="I17" s="3">
        <f>(Sheet1!I17 - Sheet1!$B$34) / (Sheet1!$B$35 - Sheet1!$B$34)</f>
        <v>0.1283231607</v>
      </c>
      <c r="J17" s="3">
        <f>(Sheet1!J17 - Sheet1!$B$34) / (Sheet1!$B$35 - Sheet1!$B$34)</f>
        <v>0.2377786113</v>
      </c>
      <c r="K17" s="3">
        <f>(Sheet1!K17 - Sheet1!$B$34) / (Sheet1!$B$35 - Sheet1!$B$34)</f>
        <v>0.279605824</v>
      </c>
      <c r="L17" s="3">
        <f>(Sheet1!L17 - Sheet1!$B$34) / (Sheet1!$B$35 - Sheet1!$B$34)</f>
        <v>0.2699446471</v>
      </c>
      <c r="M17" s="3">
        <f>(Sheet1!M17 - Sheet1!$B$34) / (Sheet1!$B$35 - Sheet1!$B$34)</f>
        <v>0.2099316898</v>
      </c>
      <c r="P17" s="3">
        <f>IFERROR(__xludf.DUMMYFUNCTION("""COMPUTED_VALUE"""),0.6528682329139247)</f>
        <v>0.6528682329</v>
      </c>
    </row>
    <row r="18">
      <c r="A18" s="1" t="s">
        <v>28</v>
      </c>
      <c r="B18" s="3">
        <f>(Sheet1!B18 - Sheet1!$B$34) / (Sheet1!$B$35 - Sheet1!$B$34)</f>
        <v>0.30802105</v>
      </c>
      <c r="C18" s="3">
        <f>(Sheet1!C18 - Sheet1!$B$34) / (Sheet1!$B$35 - Sheet1!$B$34)</f>
        <v>0.2290267217</v>
      </c>
      <c r="D18" s="3">
        <f>(Sheet1!D18 - Sheet1!$B$34) / (Sheet1!$B$35 - Sheet1!$B$34)</f>
        <v>0.2508496153</v>
      </c>
      <c r="E18" s="3">
        <f>(Sheet1!E18 - Sheet1!$B$34) / (Sheet1!$B$35 - Sheet1!$B$34)</f>
        <v>0.3982678078</v>
      </c>
      <c r="F18" s="3">
        <f>(Sheet1!F18 - Sheet1!$B$34) / (Sheet1!$B$35 - Sheet1!$B$34)</f>
        <v>0.4693058729</v>
      </c>
      <c r="G18" s="3">
        <f>(Sheet1!G18 - Sheet1!$B$34) / (Sheet1!$B$35 - Sheet1!$B$34)</f>
        <v>0.4838544686</v>
      </c>
      <c r="H18" s="3">
        <f>(Sheet1!H18 - Sheet1!$B$34) / (Sheet1!$B$35 - Sheet1!$B$34)</f>
        <v>0.3590547959</v>
      </c>
      <c r="I18" s="3">
        <f>(Sheet1!I18 - Sheet1!$B$34) / (Sheet1!$B$35 - Sheet1!$B$34)</f>
        <v>0.3267750992</v>
      </c>
      <c r="J18" s="3">
        <f>(Sheet1!J18 - Sheet1!$B$34) / (Sheet1!$B$35 - Sheet1!$B$34)</f>
        <v>0.159920892</v>
      </c>
      <c r="K18" s="3">
        <f>(Sheet1!K18 - Sheet1!$B$34) / (Sheet1!$B$35 - Sheet1!$B$34)</f>
        <v>0.1561700822</v>
      </c>
      <c r="L18" s="3">
        <f>(Sheet1!L18 - Sheet1!$B$34) / (Sheet1!$B$35 - Sheet1!$B$34)</f>
        <v>0.2253895727</v>
      </c>
      <c r="M18" s="3">
        <f>(Sheet1!M18 - Sheet1!$B$34) / (Sheet1!$B$35 - Sheet1!$B$34)</f>
        <v>0.1443493482</v>
      </c>
      <c r="P18" s="3">
        <f>IFERROR(__xludf.DUMMYFUNCTION("""COMPUTED_VALUE"""),0.11627510485218402)</f>
        <v>0.1162751049</v>
      </c>
    </row>
    <row r="19">
      <c r="A19" s="1" t="s">
        <v>29</v>
      </c>
      <c r="B19" s="3">
        <f>(Sheet1!B19 - Sheet1!$B$34) / (Sheet1!$B$35 - Sheet1!$B$34)</f>
        <v>0.3881519874</v>
      </c>
      <c r="C19" s="3">
        <f>(Sheet1!C19 - Sheet1!$B$34) / (Sheet1!$B$35 - Sheet1!$B$34)</f>
        <v>0.3971311988</v>
      </c>
      <c r="D19" s="3">
        <f>(Sheet1!D19 - Sheet1!$B$34) / (Sheet1!$B$35 - Sheet1!$B$34)</f>
        <v>0.2768779623</v>
      </c>
      <c r="E19" s="3">
        <f>(Sheet1!E19 - Sheet1!$B$34) / (Sheet1!$B$35 - Sheet1!$B$34)</f>
        <v>0.2642616019</v>
      </c>
      <c r="F19" s="3">
        <f>(Sheet1!F19 - Sheet1!$B$34) / (Sheet1!$B$35 - Sheet1!$B$34)</f>
        <v>0.4295245564</v>
      </c>
      <c r="G19" s="3">
        <f>(Sheet1!G19 - Sheet1!$B$34) / (Sheet1!$B$35 - Sheet1!$B$34)</f>
        <v>0.04841954513</v>
      </c>
      <c r="H19" s="3">
        <f>(Sheet1!H19 - Sheet1!$B$34) / (Sheet1!$B$35 - Sheet1!$B$34)</f>
        <v>0.2498266671</v>
      </c>
      <c r="I19" s="3">
        <f>(Sheet1!I19 - Sheet1!$B$34) / (Sheet1!$B$35 - Sheet1!$B$34)</f>
        <v>0.4354349234</v>
      </c>
      <c r="J19" s="3">
        <f>(Sheet1!J19 - Sheet1!$B$34) / (Sheet1!$B$35 - Sheet1!$B$34)</f>
        <v>0.3811050113</v>
      </c>
      <c r="K19" s="3">
        <f>(Sheet1!K19 - Sheet1!$B$34) / (Sheet1!$B$35 - Sheet1!$B$34)</f>
        <v>0.2906309317</v>
      </c>
      <c r="L19" s="3">
        <f>(Sheet1!L19 - Sheet1!$B$34) / (Sheet1!$B$35 - Sheet1!$B$34)</f>
        <v>0.234596106</v>
      </c>
      <c r="M19" s="3">
        <f>(Sheet1!M19 - Sheet1!$B$34) / (Sheet1!$B$35 - Sheet1!$B$34)</f>
        <v>0.477489458</v>
      </c>
      <c r="P19" s="3">
        <f>IFERROR(__xludf.DUMMYFUNCTION("""COMPUTED_VALUE"""),0.7314079176185768)</f>
        <v>0.7314079176</v>
      </c>
    </row>
    <row r="20">
      <c r="A20" s="1" t="s">
        <v>30</v>
      </c>
      <c r="B20" s="3">
        <f>(Sheet1!B20 - Sheet1!$B$34) / (Sheet1!$B$35 - Sheet1!$B$34)</f>
        <v>0.5277275775</v>
      </c>
      <c r="C20" s="3">
        <f>(Sheet1!C20 - Sheet1!$B$34) / (Sheet1!$B$35 - Sheet1!$B$34)</f>
        <v>0.576942749</v>
      </c>
      <c r="D20" s="3">
        <f>(Sheet1!D20 - Sheet1!$B$34) / (Sheet1!$B$35 - Sheet1!$B$34)</f>
        <v>0.51420193</v>
      </c>
      <c r="E20" s="3">
        <f>(Sheet1!E20 - Sheet1!$B$34) / (Sheet1!$B$35 - Sheet1!$B$34)</f>
        <v>0.5889908048</v>
      </c>
      <c r="F20" s="3">
        <f>(Sheet1!F20 - Sheet1!$B$34) / (Sheet1!$B$35 - Sheet1!$B$34)</f>
        <v>0.6441163433</v>
      </c>
      <c r="G20" s="3">
        <f>(Sheet1!G20 - Sheet1!$B$34) / (Sheet1!$B$35 - Sheet1!$B$34)</f>
        <v>0.3204100885</v>
      </c>
      <c r="H20" s="3">
        <f>(Sheet1!H20 - Sheet1!$B$34) / (Sheet1!$B$35 - Sheet1!$B$34)</f>
        <v>0.5113604074</v>
      </c>
      <c r="I20" s="3">
        <f>(Sheet1!I20 - Sheet1!$B$34) / (Sheet1!$B$35 - Sheet1!$B$34)</f>
        <v>0.4203180232</v>
      </c>
      <c r="J20" s="3">
        <f>(Sheet1!J20 - Sheet1!$B$34) / (Sheet1!$B$35 - Sheet1!$B$34)</f>
        <v>0.07978995465</v>
      </c>
      <c r="K20" s="3">
        <f>(Sheet1!K20 - Sheet1!$B$34) / (Sheet1!$B$35 - Sheet1!$B$34)</f>
        <v>0.2104999943</v>
      </c>
      <c r="L20" s="3">
        <f>(Sheet1!L20 - Sheet1!$B$34) / (Sheet1!$B$35 - Sheet1!$B$34)</f>
        <v>0.2518725634</v>
      </c>
      <c r="M20" s="3">
        <f>(Sheet1!M20 - Sheet1!$B$34) / (Sheet1!$B$35 - Sheet1!$B$34)</f>
        <v>0.3512121935</v>
      </c>
      <c r="P20" s="3">
        <f>IFERROR(__xludf.DUMMYFUNCTION("""COMPUTED_VALUE"""),0.4499835191689116)</f>
        <v>0.4499835192</v>
      </c>
    </row>
    <row r="21">
      <c r="A21" s="1" t="s">
        <v>31</v>
      </c>
      <c r="B21" s="3">
        <f>(Sheet1!B21 - Sheet1!$B$34) / (Sheet1!$B$35 - Sheet1!$B$34)</f>
        <v>0.1103647378</v>
      </c>
      <c r="C21" s="3">
        <f>(Sheet1!C21 - Sheet1!$B$34) / (Sheet1!$B$35 - Sheet1!$B$34)</f>
        <v>0.09933963015</v>
      </c>
      <c r="D21" s="3">
        <f>(Sheet1!D21 - Sheet1!$B$34) / (Sheet1!$B$35 - Sheet1!$B$34)</f>
        <v>0.08660960889</v>
      </c>
      <c r="E21" s="3">
        <f>(Sheet1!E21 - Sheet1!$B$34) / (Sheet1!$B$35 - Sheet1!$B$34)</f>
        <v>0.08035825917</v>
      </c>
      <c r="F21" s="3">
        <f>(Sheet1!F21 - Sheet1!$B$34) / (Sheet1!$B$35 - Sheet1!$B$34)</f>
        <v>0.09070140144</v>
      </c>
      <c r="G21" s="3">
        <f>(Sheet1!G21 - Sheet1!$B$34) / (Sheet1!$B$35 - Sheet1!$B$34)</f>
        <v>0.1111603642</v>
      </c>
      <c r="H21" s="3">
        <f>(Sheet1!H21 - Sheet1!$B$34) / (Sheet1!$B$35 - Sheet1!$B$34)</f>
        <v>0.1019538309</v>
      </c>
      <c r="I21" s="3">
        <f>(Sheet1!I21 - Sheet1!$B$34) / (Sheet1!$B$35 - Sheet1!$B$34)</f>
        <v>0.1025221355</v>
      </c>
      <c r="J21" s="3">
        <f>(Sheet1!J21 - Sheet1!$B$34) / (Sheet1!$B$35 - Sheet1!$B$34)</f>
        <v>0</v>
      </c>
      <c r="K21" s="3">
        <f>(Sheet1!K21 - Sheet1!$B$34) / (Sheet1!$B$35 - Sheet1!$B$34)</f>
        <v>0.2307316352</v>
      </c>
      <c r="L21" s="3">
        <f>(Sheet1!L21 - Sheet1!$B$34) / (Sheet1!$B$35 - Sheet1!$B$34)</f>
        <v>0.1419624692</v>
      </c>
      <c r="M21" s="3">
        <f>(Sheet1!M21 - Sheet1!$B$34) / (Sheet1!$B$35 - Sheet1!$B$34)</f>
        <v>0.1410531819</v>
      </c>
      <c r="P21" s="3">
        <f>IFERROR(__xludf.DUMMYFUNCTION("""COMPUTED_VALUE"""),0.5506870801650358)</f>
        <v>0.5506870802</v>
      </c>
    </row>
    <row r="22">
      <c r="A22" s="1" t="s">
        <v>32</v>
      </c>
      <c r="B22" s="3">
        <f>(Sheet1!B22 - Sheet1!$B$34) / (Sheet1!$B$35 - Sheet1!$B$34)</f>
        <v>0.227435469</v>
      </c>
      <c r="C22" s="3">
        <f>(Sheet1!C22 - Sheet1!$B$34) / (Sheet1!$B$35 - Sheet1!$B$34)</f>
        <v>0.2275491299</v>
      </c>
      <c r="D22" s="3">
        <f>(Sheet1!D22 - Sheet1!$B$34) / (Sheet1!$B$35 - Sheet1!$B$34)</f>
        <v>0.2282310954</v>
      </c>
      <c r="E22" s="3">
        <f>(Sheet1!E22 - Sheet1!$B$34) / (Sheet1!$B$35 - Sheet1!$B$34)</f>
        <v>0.2273218081</v>
      </c>
      <c r="F22" s="3">
        <f>(Sheet1!F22 - Sheet1!$B$34) / (Sheet1!$B$35 - Sheet1!$B$34)</f>
        <v>0.1987929212</v>
      </c>
      <c r="G22" s="3">
        <f>(Sheet1!G22 - Sheet1!$B$34) / (Sheet1!$B$35 - Sheet1!$B$34)</f>
        <v>0</v>
      </c>
      <c r="H22" s="3">
        <f>(Sheet1!H22 - Sheet1!$B$34) / (Sheet1!$B$35 - Sheet1!$B$34)</f>
        <v>0</v>
      </c>
      <c r="I22" s="3">
        <f>(Sheet1!I22 - Sheet1!$B$34) / (Sheet1!$B$35 - Sheet1!$B$34)</f>
        <v>0</v>
      </c>
      <c r="J22" s="3">
        <f>(Sheet1!J22 - Sheet1!$B$34) / (Sheet1!$B$35 - Sheet1!$B$34)</f>
        <v>0.2285720781</v>
      </c>
      <c r="K22" s="3">
        <f>(Sheet1!K22 - Sheet1!$B$34) / (Sheet1!$B$35 - Sheet1!$B$34)</f>
        <v>0.2305043134</v>
      </c>
      <c r="L22" s="3">
        <f>(Sheet1!L22 - Sheet1!$B$34) / (Sheet1!$B$35 - Sheet1!$B$34)</f>
        <v>0.2297086871</v>
      </c>
      <c r="M22" s="3">
        <f>(Sheet1!M22 - Sheet1!$B$34) / (Sheet1!$B$35 - Sheet1!$B$34)</f>
        <v>0.2336868187</v>
      </c>
      <c r="P22" s="3">
        <f>IFERROR(__xludf.DUMMYFUNCTION("""COMPUTED_VALUE"""),0.44680101385526433)</f>
        <v>0.4468010139</v>
      </c>
    </row>
    <row r="23">
      <c r="A23" s="1" t="s">
        <v>33</v>
      </c>
      <c r="B23" s="3">
        <f>(Sheet1!B23 - Sheet1!$B$34) / (Sheet1!$B$35 - Sheet1!$B$34)</f>
        <v>0.3757629488</v>
      </c>
      <c r="C23" s="3">
        <f>(Sheet1!C23 - Sheet1!$B$34) / (Sheet1!$B$35 - Sheet1!$B$34)</f>
        <v>0.3439378957</v>
      </c>
      <c r="D23" s="3">
        <f>(Sheet1!D23 - Sheet1!$B$34) / (Sheet1!$B$35 - Sheet1!$B$34)</f>
        <v>0.3379138678</v>
      </c>
      <c r="E23" s="3">
        <f>(Sheet1!E23 - Sheet1!$B$34) / (Sheet1!$B$35 - Sheet1!$B$34)</f>
        <v>0.7497073232</v>
      </c>
      <c r="F23" s="3">
        <f>(Sheet1!F23 - Sheet1!$B$34) / (Sheet1!$B$35 - Sheet1!$B$34)</f>
        <v>0.610131733</v>
      </c>
      <c r="G23" s="3">
        <f>(Sheet1!G23 - Sheet1!$B$34) / (Sheet1!$B$35 - Sheet1!$B$34)</f>
        <v>0.4162262307</v>
      </c>
      <c r="H23" s="3">
        <f>(Sheet1!H23 - Sheet1!$B$34) / (Sheet1!$B$35 - Sheet1!$B$34)</f>
        <v>0.2042486446</v>
      </c>
      <c r="I23" s="3">
        <f>(Sheet1!I23 - Sheet1!$B$34) / (Sheet1!$B$35 - Sheet1!$B$34)</f>
        <v>0.419408736</v>
      </c>
      <c r="J23" s="3">
        <f>(Sheet1!J23 - Sheet1!$B$34) / (Sheet1!$B$35 - Sheet1!$B$34)</f>
        <v>0.0392130119</v>
      </c>
      <c r="K23" s="3">
        <f>(Sheet1!K23 - Sheet1!$B$34) / (Sheet1!$B$35 - Sheet1!$B$34)</f>
        <v>0.1804935156</v>
      </c>
      <c r="L23" s="3">
        <f>(Sheet1!L23 - Sheet1!$B$34) / (Sheet1!$B$35 - Sheet1!$B$34)</f>
        <v>0.1807208375</v>
      </c>
      <c r="M23" s="3">
        <f>(Sheet1!M23 - Sheet1!$B$34) / (Sheet1!$B$35 - Sheet1!$B$34)</f>
        <v>0.1122969732</v>
      </c>
      <c r="P23" s="3">
        <f>IFERROR(__xludf.DUMMYFUNCTION("""COMPUTED_VALUE"""),0.405996749298144)</f>
        <v>0.4059967493</v>
      </c>
    </row>
    <row r="24">
      <c r="A24" s="1" t="s">
        <v>34</v>
      </c>
      <c r="B24" s="3">
        <f>(Sheet1!B24 - Sheet1!$B$34) / (Sheet1!$B$35 - Sheet1!$B$34)</f>
        <v>0.09433855037</v>
      </c>
      <c r="C24" s="3">
        <f>(Sheet1!C24 - Sheet1!$B$34) / (Sheet1!$B$35 - Sheet1!$B$34)</f>
        <v>0.02784692149</v>
      </c>
      <c r="D24" s="3">
        <f>(Sheet1!D24 - Sheet1!$B$34) / (Sheet1!$B$35 - Sheet1!$B$34)</f>
        <v>0</v>
      </c>
      <c r="E24" s="3">
        <f>(Sheet1!E24 - Sheet1!$B$34) / (Sheet1!$B$35 - Sheet1!$B$34)</f>
        <v>0</v>
      </c>
      <c r="F24" s="3">
        <f>(Sheet1!F24 - Sheet1!$B$34) / (Sheet1!$B$35 - Sheet1!$B$34)</f>
        <v>0</v>
      </c>
      <c r="G24" s="3">
        <f>(Sheet1!G24 - Sheet1!$B$34) / (Sheet1!$B$35 - Sheet1!$B$34)</f>
        <v>0</v>
      </c>
      <c r="H24" s="3">
        <f>(Sheet1!H24 - Sheet1!$B$34) / (Sheet1!$B$35 - Sheet1!$B$34)</f>
        <v>0</v>
      </c>
      <c r="I24" s="3">
        <f>(Sheet1!I24 - Sheet1!$B$34) / (Sheet1!$B$35 - Sheet1!$B$34)</f>
        <v>0</v>
      </c>
      <c r="J24" s="3">
        <f>(Sheet1!J24 - Sheet1!$B$34) / (Sheet1!$B$35 - Sheet1!$B$34)</f>
        <v>0</v>
      </c>
      <c r="K24" s="3">
        <f>(Sheet1!K24 - Sheet1!$B$34) / (Sheet1!$B$35 - Sheet1!$B$34)</f>
        <v>0</v>
      </c>
      <c r="L24" s="3">
        <f>(Sheet1!L24 - Sheet1!$B$34) / (Sheet1!$B$35 - Sheet1!$B$34)</f>
        <v>0</v>
      </c>
      <c r="M24" s="3">
        <f>(Sheet1!M24 - Sheet1!$B$34) / (Sheet1!$B$35 - Sheet1!$B$34)</f>
        <v>0.05262499858</v>
      </c>
      <c r="P24" s="3">
        <f>IFERROR(__xludf.DUMMYFUNCTION("""COMPUTED_VALUE"""),0.476580170718678)</f>
        <v>0.4765801707</v>
      </c>
    </row>
    <row r="25">
      <c r="A25" s="1" t="s">
        <v>35</v>
      </c>
      <c r="B25" s="3">
        <f>(Sheet1!B25 - Sheet1!$B$34) / (Sheet1!$B$35 - Sheet1!$B$34)</f>
        <v>1</v>
      </c>
      <c r="C25" s="3">
        <f>(Sheet1!C25 - Sheet1!$B$34) / (Sheet1!$B$35 - Sheet1!$B$34)</f>
        <v>0</v>
      </c>
      <c r="D25" s="3">
        <f>(Sheet1!D25 - Sheet1!$B$34) / (Sheet1!$B$35 - Sheet1!$B$34)</f>
        <v>0.8079017061</v>
      </c>
      <c r="E25" s="3">
        <f>(Sheet1!E25 - Sheet1!$B$34) / (Sheet1!$B$35 - Sheet1!$B$34)</f>
        <v>0.08501835624</v>
      </c>
      <c r="F25" s="3">
        <f>(Sheet1!F25 - Sheet1!$B$34) / (Sheet1!$B$35 - Sheet1!$B$34)</f>
        <v>0.1736738614</v>
      </c>
      <c r="G25" s="3">
        <f>(Sheet1!G25 - Sheet1!$B$34) / (Sheet1!$B$35 - Sheet1!$B$34)</f>
        <v>1</v>
      </c>
      <c r="H25" s="3">
        <f>(Sheet1!H25 - Sheet1!$B$34) / (Sheet1!$B$35 - Sheet1!$B$34)</f>
        <v>0.1273002125</v>
      </c>
      <c r="I25" s="3">
        <f>(Sheet1!I25 - Sheet1!$B$34) / (Sheet1!$B$35 - Sheet1!$B$34)</f>
        <v>0.1045680317</v>
      </c>
      <c r="J25" s="3">
        <f>(Sheet1!J25 - Sheet1!$B$34) / (Sheet1!$B$35 - Sheet1!$B$34)</f>
        <v>0</v>
      </c>
      <c r="K25" s="3">
        <f>(Sheet1!K25 - Sheet1!$B$34) / (Sheet1!$B$35 - Sheet1!$B$34)</f>
        <v>0</v>
      </c>
      <c r="L25" s="3">
        <f>(Sheet1!L25 - Sheet1!$B$34) / (Sheet1!$B$35 - Sheet1!$B$34)</f>
        <v>0</v>
      </c>
      <c r="M25" s="3">
        <f>(Sheet1!M25 - Sheet1!$B$34) / (Sheet1!$B$35 - Sheet1!$B$34)</f>
        <v>0.3069981019</v>
      </c>
      <c r="P25" s="3">
        <f>IFERROR(__xludf.DUMMYFUNCTION("""COMPUTED_VALUE"""),0.47407963082938376)</f>
        <v>0.4740796308</v>
      </c>
    </row>
    <row r="26">
      <c r="A26" s="1" t="s">
        <v>36</v>
      </c>
      <c r="B26" s="3">
        <f>(Sheet1!B26 - Sheet1!$B$34) / (Sheet1!$B$35 - Sheet1!$B$34)</f>
        <v>1</v>
      </c>
      <c r="C26" s="3">
        <f>(Sheet1!C26 - Sheet1!$B$34) / (Sheet1!$B$35 - Sheet1!$B$34)</f>
        <v>0.6222934497</v>
      </c>
      <c r="D26" s="3">
        <f>(Sheet1!D26 - Sheet1!$B$34) / (Sheet1!$B$35 - Sheet1!$B$34)</f>
        <v>1</v>
      </c>
      <c r="E26" s="3">
        <f>(Sheet1!E26 - Sheet1!$B$34) / (Sheet1!$B$35 - Sheet1!$B$34)</f>
        <v>0.3948579807</v>
      </c>
      <c r="F26" s="3">
        <f>(Sheet1!F26 - Sheet1!$B$34) / (Sheet1!$B$35 - Sheet1!$B$34)</f>
        <v>0.3801957241</v>
      </c>
      <c r="G26" s="3">
        <f>(Sheet1!G26 - Sheet1!$B$34) / (Sheet1!$B$35 - Sheet1!$B$34)</f>
        <v>1</v>
      </c>
      <c r="H26" s="3">
        <f>(Sheet1!H26 - Sheet1!$B$34) / (Sheet1!$B$35 - Sheet1!$B$34)</f>
        <v>0.3640558757</v>
      </c>
      <c r="I26" s="3">
        <f>(Sheet1!I26 - Sheet1!$B$34) / (Sheet1!$B$35 - Sheet1!$B$34)</f>
        <v>0.4084972892</v>
      </c>
      <c r="J26" s="3">
        <f>(Sheet1!J26 - Sheet1!$B$34) / (Sheet1!$B$35 - Sheet1!$B$34)</f>
        <v>0.3961082506</v>
      </c>
      <c r="K26" s="3">
        <f>(Sheet1!K26 - Sheet1!$B$34) / (Sheet1!$B$35 - Sheet1!$B$34)</f>
        <v>0.3742853571</v>
      </c>
      <c r="L26" s="3">
        <f>(Sheet1!L26 - Sheet1!$B$34) / (Sheet1!$B$35 - Sheet1!$B$34)</f>
        <v>0.8858730862</v>
      </c>
      <c r="M26" s="3">
        <f>(Sheet1!M26 - Sheet1!$B$34) / (Sheet1!$B$35 - Sheet1!$B$34)</f>
        <v>0.3716711563</v>
      </c>
      <c r="P26" s="3">
        <f>IFERROR(__xludf.DUMMYFUNCTION("""COMPUTED_VALUE"""),0.013525647583000877)</f>
        <v>0.01352564758</v>
      </c>
    </row>
    <row r="27">
      <c r="A27" s="1" t="s">
        <v>37</v>
      </c>
      <c r="B27" s="3">
        <f>(Sheet1!B27 - Sheet1!$B$34) / (Sheet1!$B$35 - Sheet1!$B$34)</f>
        <v>1</v>
      </c>
      <c r="C27" s="3">
        <f>(Sheet1!C27 - Sheet1!$B$34) / (Sheet1!$B$35 - Sheet1!$B$34)</f>
        <v>1</v>
      </c>
      <c r="D27" s="3">
        <f>(Sheet1!D27 - Sheet1!$B$34) / (Sheet1!$B$35 - Sheet1!$B$34)</f>
        <v>1</v>
      </c>
      <c r="E27" s="3">
        <f>(Sheet1!E27 - Sheet1!$B$34) / (Sheet1!$B$35 - Sheet1!$B$34)</f>
        <v>0.8129027858</v>
      </c>
      <c r="F27" s="3">
        <f>(Sheet1!F27 - Sheet1!$B$34) / (Sheet1!$B$35 - Sheet1!$B$34)</f>
        <v>0.4514611109</v>
      </c>
      <c r="G27" s="3">
        <f>(Sheet1!G27 - Sheet1!$B$34) / (Sheet1!$B$35 - Sheet1!$B$34)</f>
        <v>0.7021970653</v>
      </c>
      <c r="H27" s="3">
        <f>(Sheet1!H27 - Sheet1!$B$34) / (Sheet1!$B$35 - Sheet1!$B$34)</f>
        <v>0.3941760153</v>
      </c>
      <c r="I27" s="3">
        <f>(Sheet1!I27 - Sheet1!$B$34) / (Sheet1!$B$35 - Sheet1!$B$34)</f>
        <v>0.2822200248</v>
      </c>
      <c r="J27" s="3">
        <f>(Sheet1!J27 - Sheet1!$B$34) / (Sheet1!$B$35 - Sheet1!$B$34)</f>
        <v>0.5006762824</v>
      </c>
      <c r="K27" s="3">
        <f>(Sheet1!K27 - Sheet1!$B$34) / (Sheet1!$B$35 - Sheet1!$B$34)</f>
        <v>0.2106136552</v>
      </c>
      <c r="L27" s="3">
        <f>(Sheet1!L27 - Sheet1!$B$34) / (Sheet1!$B$35 - Sheet1!$B$34)</f>
        <v>0.2505086325</v>
      </c>
      <c r="M27" s="3">
        <f>(Sheet1!M27 - Sheet1!$B$34) / (Sheet1!$B$35 - Sheet1!$B$34)</f>
        <v>0.1751514532</v>
      </c>
      <c r="P27" s="3">
        <f>IFERROR(__xludf.DUMMYFUNCTION("""COMPUTED_VALUE"""),0.014207613007353863)</f>
        <v>0.01420761301</v>
      </c>
    </row>
    <row r="28">
      <c r="A28" s="1" t="s">
        <v>38</v>
      </c>
      <c r="B28" s="3">
        <f>(Sheet1!B28 - Sheet1!$B$34) / (Sheet1!$B$35 - Sheet1!$B$34)</f>
        <v>0.3323444835</v>
      </c>
      <c r="C28" s="3">
        <f>(Sheet1!C28 - Sheet1!$B$34) / (Sheet1!$B$35 - Sheet1!$B$34)</f>
        <v>0.2886986963</v>
      </c>
      <c r="D28" s="3">
        <f>(Sheet1!D28 - Sheet1!$B$34) / (Sheet1!$B$35 - Sheet1!$B$34)</f>
        <v>0.2328911924</v>
      </c>
      <c r="E28" s="3">
        <f>(Sheet1!E28 - Sheet1!$B$34) / (Sheet1!$B$35 - Sheet1!$B$34)</f>
        <v>0.1856082563</v>
      </c>
      <c r="F28" s="3">
        <f>(Sheet1!F28 - Sheet1!$B$34) / (Sheet1!$B$35 - Sheet1!$B$34)</f>
        <v>0.414634978</v>
      </c>
      <c r="G28" s="3">
        <f>(Sheet1!G28 - Sheet1!$B$34) / (Sheet1!$B$35 - Sheet1!$B$34)</f>
        <v>0.3359816324</v>
      </c>
      <c r="H28" s="3">
        <f>(Sheet1!H28 - Sheet1!$B$34) / (Sheet1!$B$35 - Sheet1!$B$34)</f>
        <v>0.2693763426</v>
      </c>
      <c r="I28" s="3">
        <f>(Sheet1!I28 - Sheet1!$B$34) / (Sheet1!$B$35 - Sheet1!$B$34)</f>
        <v>0.2320955661</v>
      </c>
      <c r="J28" s="3">
        <f>(Sheet1!J28 - Sheet1!$B$34) / (Sheet1!$B$35 - Sheet1!$B$34)</f>
        <v>0</v>
      </c>
      <c r="K28" s="3">
        <f>(Sheet1!K28 - Sheet1!$B$34) / (Sheet1!$B$35 - Sheet1!$B$34)</f>
        <v>0.6730998738</v>
      </c>
      <c r="L28" s="3">
        <f>(Sheet1!L28 - Sheet1!$B$34) / (Sheet1!$B$35 - Sheet1!$B$34)</f>
        <v>0.2842659211</v>
      </c>
      <c r="M28" s="3">
        <f>(Sheet1!M28 - Sheet1!$B$34) / (Sheet1!$B$35 - Sheet1!$B$34)</f>
        <v>0.2882440527</v>
      </c>
      <c r="P28" s="3">
        <f>IFERROR(__xludf.DUMMYFUNCTION("""COMPUTED_VALUE"""),0.03693979381912005)</f>
        <v>0.03693979382</v>
      </c>
    </row>
    <row r="29">
      <c r="A29" s="1" t="s">
        <v>39</v>
      </c>
      <c r="B29" s="3">
        <f>(Sheet1!B29 - Sheet1!$B$34) / (Sheet1!$B$35 - Sheet1!$B$34)</f>
        <v>0.08354076448</v>
      </c>
      <c r="C29" s="3">
        <f>(Sheet1!C29 - Sheet1!$B$34) / (Sheet1!$B$35 - Sheet1!$B$34)</f>
        <v>0.05978563553</v>
      </c>
      <c r="D29" s="3">
        <f>(Sheet1!D29 - Sheet1!$B$34) / (Sheet1!$B$35 - Sheet1!$B$34)</f>
        <v>0.09990793467</v>
      </c>
      <c r="E29" s="3">
        <f>(Sheet1!E29 - Sheet1!$B$34) / (Sheet1!$B$35 - Sheet1!$B$34)</f>
        <v>0.4580534434</v>
      </c>
      <c r="F29" s="3">
        <f>(Sheet1!F29 - Sheet1!$B$34) / (Sheet1!$B$35 - Sheet1!$B$34)</f>
        <v>0</v>
      </c>
      <c r="G29" s="3">
        <f>(Sheet1!G29 - Sheet1!$B$34) / (Sheet1!$B$35 - Sheet1!$B$34)</f>
        <v>0.4820358941</v>
      </c>
      <c r="H29" s="3">
        <f>(Sheet1!H29 - Sheet1!$B$34) / (Sheet1!$B$35 - Sheet1!$B$34)</f>
        <v>0.5400029552</v>
      </c>
      <c r="I29" s="3">
        <f>(Sheet1!I29 - Sheet1!$B$34) / (Sheet1!$B$35 - Sheet1!$B$34)</f>
        <v>0.5227264978</v>
      </c>
      <c r="J29" s="3">
        <f>(Sheet1!J29 - Sheet1!$B$34) / (Sheet1!$B$35 - Sheet1!$B$34)</f>
        <v>0</v>
      </c>
      <c r="K29" s="3">
        <f>(Sheet1!K29 - Sheet1!$B$34) / (Sheet1!$B$35 - Sheet1!$B$34)</f>
        <v>1</v>
      </c>
      <c r="L29" s="3">
        <f>(Sheet1!L29 - Sheet1!$B$34) / (Sheet1!$B$35 - Sheet1!$B$34)</f>
        <v>0.2919948625</v>
      </c>
      <c r="M29" s="3">
        <f>(Sheet1!M29 - Sheet1!$B$34) / (Sheet1!$B$35 - Sheet1!$B$34)</f>
        <v>0</v>
      </c>
      <c r="P29" s="3">
        <f>IFERROR(__xludf.DUMMYFUNCTION("""COMPUTED_VALUE"""),0.014093952103295032)</f>
        <v>0.0140939521</v>
      </c>
    </row>
    <row r="30">
      <c r="A30" s="1" t="s">
        <v>40</v>
      </c>
      <c r="B30" s="3">
        <f>(Sheet1!B30 - Sheet1!$B$34) / (Sheet1!$B$35 - Sheet1!$B$34)</f>
        <v>0.3796274196</v>
      </c>
      <c r="C30" s="3">
        <f>(Sheet1!C30 - Sheet1!$B$34) / (Sheet1!$B$35 - Sheet1!$B$34)</f>
        <v>0.177651993</v>
      </c>
      <c r="D30" s="3">
        <f>(Sheet1!D30 - Sheet1!$B$34) / (Sheet1!$B$35 - Sheet1!$B$34)</f>
        <v>0.2451665701</v>
      </c>
      <c r="E30" s="3">
        <f>(Sheet1!E30 - Sheet1!$B$34) / (Sheet1!$B$35 - Sheet1!$B$34)</f>
        <v>0.1650356327</v>
      </c>
      <c r="F30" s="3">
        <f>(Sheet1!F30 - Sheet1!$B$34) / (Sheet1!$B$35 - Sheet1!$B$34)</f>
        <v>0.07797138018</v>
      </c>
      <c r="G30" s="3">
        <f>(Sheet1!G30 - Sheet1!$B$34) / (Sheet1!$B$35 - Sheet1!$B$34)</f>
        <v>0.07512985758</v>
      </c>
      <c r="H30" s="3">
        <f>(Sheet1!H30 - Sheet1!$B$34) / (Sheet1!$B$35 - Sheet1!$B$34)</f>
        <v>0.1643536673</v>
      </c>
      <c r="I30" s="3">
        <f>(Sheet1!I30 - Sheet1!$B$34) / (Sheet1!$B$35 - Sheet1!$B$34)</f>
        <v>0.1689001034</v>
      </c>
      <c r="J30" s="3">
        <f>(Sheet1!J30 - Sheet1!$B$34) / (Sheet1!$B$35 - Sheet1!$B$34)</f>
        <v>0.1091144679</v>
      </c>
      <c r="K30" s="3">
        <f>(Sheet1!K30 - Sheet1!$B$34) / (Sheet1!$B$35 - Sheet1!$B$34)</f>
        <v>0.1344608495</v>
      </c>
      <c r="L30" s="3">
        <f>(Sheet1!L30 - Sheet1!$B$34) / (Sheet1!$B$35 - Sheet1!$B$34)</f>
        <v>0.1337788841</v>
      </c>
      <c r="M30" s="3">
        <f>(Sheet1!M30 - Sheet1!$B$34) / (Sheet1!$B$35 - Sheet1!$B$34)</f>
        <v>0.1270728907</v>
      </c>
      <c r="P30" s="3">
        <f>IFERROR(__xludf.DUMMYFUNCTION("""COMPUTED_VALUE"""),0.0172764574169423)</f>
        <v>0.01727645742</v>
      </c>
    </row>
    <row r="31">
      <c r="P31" s="3">
        <f>IFERROR(__xludf.DUMMYFUNCTION("""COMPUTED_VALUE"""),0.014207613007353863)</f>
        <v>0.01420761301</v>
      </c>
    </row>
    <row r="32">
      <c r="P32" s="3">
        <f>IFERROR(__xludf.DUMMYFUNCTION("""COMPUTED_VALUE"""),0.026482990645707603)</f>
        <v>0.02648299065</v>
      </c>
    </row>
    <row r="33">
      <c r="P33" s="3">
        <f>IFERROR(__xludf.DUMMYFUNCTION("""COMPUTED_VALUE"""),0.015798865664177496)</f>
        <v>0.01579886566</v>
      </c>
    </row>
    <row r="34">
      <c r="P34" s="3">
        <f>IFERROR(__xludf.DUMMYFUNCTION("""COMPUTED_VALUE"""),0.017390118321001128)</f>
        <v>0.01739011832</v>
      </c>
    </row>
    <row r="35">
      <c r="P35" s="3">
        <f>IFERROR(__xludf.DUMMYFUNCTION("""COMPUTED_VALUE"""),0.01238903854241257)</f>
        <v>0.01238903854</v>
      </c>
    </row>
    <row r="36">
      <c r="P36" s="3">
        <f>IFERROR(__xludf.DUMMYFUNCTION("""COMPUTED_VALUE"""),0.011422920857912505)</f>
        <v>0.01142292086</v>
      </c>
    </row>
    <row r="37">
      <c r="P37" s="3">
        <f>IFERROR(__xludf.DUMMYFUNCTION("""COMPUTED_VALUE"""),0.01500323933576568)</f>
        <v>0.01500323934</v>
      </c>
    </row>
    <row r="38">
      <c r="P38" s="3">
        <f>IFERROR(__xludf.DUMMYFUNCTION("""COMPUTED_VALUE"""),0.020345301826530732)</f>
        <v>0.02034530183</v>
      </c>
    </row>
    <row r="39">
      <c r="P39" s="3">
        <f>IFERROR(__xludf.DUMMYFUNCTION("""COMPUTED_VALUE"""),0.017731101033177623)</f>
        <v>0.01773110103</v>
      </c>
    </row>
    <row r="40">
      <c r="P40" s="3">
        <f>IFERROR(__xludf.DUMMYFUNCTION("""COMPUTED_VALUE"""),0.01125242950182426)</f>
        <v>0.0112524295</v>
      </c>
    </row>
    <row r="41">
      <c r="P41" s="3">
        <f>IFERROR(__xludf.DUMMYFUNCTION("""COMPUTED_VALUE"""),0.011820734022118414)</f>
        <v>0.01182073402</v>
      </c>
    </row>
    <row r="42">
      <c r="P42" s="3">
        <f>IFERROR(__xludf.DUMMYFUNCTION("""COMPUTED_VALUE"""),0.0)</f>
        <v>0</v>
      </c>
    </row>
    <row r="43">
      <c r="P43" s="3">
        <f>IFERROR(__xludf.DUMMYFUNCTION("""COMPUTED_VALUE"""),0.04023596003682614)</f>
        <v>0.04023596004</v>
      </c>
    </row>
    <row r="44">
      <c r="P44" s="3">
        <f>IFERROR(__xludf.DUMMYFUNCTION("""COMPUTED_VALUE"""),0.009774837749059458)</f>
        <v>0.009774837749</v>
      </c>
    </row>
    <row r="45">
      <c r="P45" s="3">
        <f>IFERROR(__xludf.DUMMYFUNCTION("""COMPUTED_VALUE"""),0.011934394926177245)</f>
        <v>0.01193439493</v>
      </c>
    </row>
    <row r="46">
      <c r="P46" s="3">
        <f>IFERROR(__xludf.DUMMYFUNCTION("""COMPUTED_VALUE"""),0.0)</f>
        <v>0</v>
      </c>
    </row>
    <row r="47">
      <c r="P47" s="3">
        <f>IFERROR(__xludf.DUMMYFUNCTION("""COMPUTED_VALUE"""),0.016935474704765804)</f>
        <v>0.0169354747</v>
      </c>
    </row>
    <row r="48">
      <c r="P48" s="3">
        <f>IFERROR(__xludf.DUMMYFUNCTION("""COMPUTED_VALUE"""),0.018640388265648268)</f>
        <v>0.01864038827</v>
      </c>
    </row>
    <row r="49">
      <c r="P49" s="3">
        <f>IFERROR(__xludf.DUMMYFUNCTION("""COMPUTED_VALUE"""),0.020458962730589565)</f>
        <v>0.02045896273</v>
      </c>
    </row>
    <row r="50">
      <c r="P50" s="3">
        <f>IFERROR(__xludf.DUMMYFUNCTION("""COMPUTED_VALUE"""),0.15207828963071576)</f>
        <v>0.1520782896</v>
      </c>
    </row>
    <row r="51">
      <c r="P51" s="3">
        <f>IFERROR(__xludf.DUMMYFUNCTION("""COMPUTED_VALUE"""),0.14275809549789162)</f>
        <v>0.1427580955</v>
      </c>
    </row>
    <row r="52">
      <c r="P52" s="3">
        <f>IFERROR(__xludf.DUMMYFUNCTION("""COMPUTED_VALUE"""),0.11923028835771363)</f>
        <v>0.1192302884</v>
      </c>
    </row>
    <row r="53">
      <c r="P53" s="3">
        <f>IFERROR(__xludf.DUMMYFUNCTION("""COMPUTED_VALUE"""),0.09740739477841809)</f>
        <v>0.09740739478</v>
      </c>
    </row>
    <row r="54">
      <c r="P54" s="3">
        <f>IFERROR(__xludf.DUMMYFUNCTION("""COMPUTED_VALUE"""),0.0)</f>
        <v>0</v>
      </c>
    </row>
    <row r="55">
      <c r="P55" s="3">
        <f>IFERROR(__xludf.DUMMYFUNCTION("""COMPUTED_VALUE"""),0.20504427092213096)</f>
        <v>0.2050442709</v>
      </c>
    </row>
    <row r="56">
      <c r="P56" s="3">
        <f>IFERROR(__xludf.DUMMYFUNCTION("""COMPUTED_VALUE"""),0.06569600254600427)</f>
        <v>0.06569600255</v>
      </c>
    </row>
    <row r="57">
      <c r="P57" s="3">
        <f>IFERROR(__xludf.DUMMYFUNCTION("""COMPUTED_VALUE"""),0.08410906900353488)</f>
        <v>0.084109069</v>
      </c>
    </row>
    <row r="58">
      <c r="P58" s="3">
        <f>IFERROR(__xludf.DUMMYFUNCTION("""COMPUTED_VALUE"""),0.0)</f>
        <v>0</v>
      </c>
    </row>
    <row r="59">
      <c r="P59" s="3">
        <f>IFERROR(__xludf.DUMMYFUNCTION("""COMPUTED_VALUE"""),0.12491333356065518)</f>
        <v>0.1249133336</v>
      </c>
    </row>
    <row r="60">
      <c r="P60" s="3">
        <f>IFERROR(__xludf.DUMMYFUNCTION("""COMPUTED_VALUE"""),0.11422920857912507)</f>
        <v>0.1142292086</v>
      </c>
    </row>
    <row r="61">
      <c r="P61" s="3">
        <f>IFERROR(__xludf.DUMMYFUNCTION("""COMPUTED_VALUE"""),0.12673190802559647)</f>
        <v>0.126731908</v>
      </c>
    </row>
    <row r="62">
      <c r="P62" s="3">
        <f>IFERROR(__xludf.DUMMYFUNCTION("""COMPUTED_VALUE"""),0.35905479592184686)</f>
        <v>0.3590547959</v>
      </c>
    </row>
    <row r="63">
      <c r="P63" s="3">
        <f>IFERROR(__xludf.DUMMYFUNCTION("""COMPUTED_VALUE"""),0.41702185699185057)</f>
        <v>0.417021857</v>
      </c>
    </row>
    <row r="64">
      <c r="P64" s="3">
        <f>IFERROR(__xludf.DUMMYFUNCTION("""COMPUTED_VALUE"""),0.4731703435969131)</f>
        <v>0.4731703436</v>
      </c>
    </row>
    <row r="65">
      <c r="P65" s="3">
        <f>IFERROR(__xludf.DUMMYFUNCTION("""COMPUTED_VALUE"""),0.4847637558109138)</f>
        <v>0.4847637558</v>
      </c>
    </row>
    <row r="66">
      <c r="P66" s="3">
        <f>IFERROR(__xludf.DUMMYFUNCTION("""COMPUTED_VALUE"""),0.5540969072868007)</f>
        <v>0.5540969073</v>
      </c>
    </row>
    <row r="67">
      <c r="P67" s="3">
        <f>IFERROR(__xludf.DUMMYFUNCTION("""COMPUTED_VALUE"""),0.47066980370761874)</f>
        <v>0.4706698037</v>
      </c>
    </row>
    <row r="68">
      <c r="P68" s="3">
        <f>IFERROR(__xludf.DUMMYFUNCTION("""COMPUTED_VALUE"""),0.30824837180754944)</f>
        <v>0.3082483718</v>
      </c>
    </row>
    <row r="69">
      <c r="P69" s="3">
        <f>IFERROR(__xludf.DUMMYFUNCTION("""COMPUTED_VALUE"""),0.49817574248985586)</f>
        <v>0.4981757425</v>
      </c>
    </row>
    <row r="70">
      <c r="P70" s="3">
        <f>IFERROR(__xludf.DUMMYFUNCTION("""COMPUTED_VALUE"""),0.4595310351098534)</f>
        <v>0.4595310351</v>
      </c>
    </row>
    <row r="71">
      <c r="P71" s="3">
        <f>IFERROR(__xludf.DUMMYFUNCTION("""COMPUTED_VALUE"""),0.20868141985201355)</f>
        <v>0.2086814199</v>
      </c>
    </row>
    <row r="72">
      <c r="P72" s="3">
        <f>IFERROR(__xludf.DUMMYFUNCTION("""COMPUTED_VALUE"""),0.22175242381877913)</f>
        <v>0.2217524238</v>
      </c>
    </row>
    <row r="73">
      <c r="P73" s="3">
        <f>IFERROR(__xludf.DUMMYFUNCTION("""COMPUTED_VALUE"""),0.22266171105124974)</f>
        <v>0.2226617111</v>
      </c>
    </row>
    <row r="74">
      <c r="P74" s="3">
        <f>IFERROR(__xludf.DUMMYFUNCTION("""COMPUTED_VALUE"""),0.1567383866971278)</f>
        <v>0.1567383867</v>
      </c>
    </row>
    <row r="75">
      <c r="P75" s="3">
        <f>IFERROR(__xludf.DUMMYFUNCTION("""COMPUTED_VALUE"""),0.34632477466725775)</f>
        <v>0.3463247747</v>
      </c>
    </row>
    <row r="76">
      <c r="P76" s="3">
        <f>IFERROR(__xludf.DUMMYFUNCTION("""COMPUTED_VALUE"""),0.23118627885566206)</f>
        <v>0.2311862789</v>
      </c>
    </row>
    <row r="77">
      <c r="P77" s="3">
        <f>IFERROR(__xludf.DUMMYFUNCTION("""COMPUTED_VALUE"""),0.0)</f>
        <v>0</v>
      </c>
    </row>
    <row r="78">
      <c r="P78" s="3">
        <f>IFERROR(__xludf.DUMMYFUNCTION("""COMPUTED_VALUE"""),0.0)</f>
        <v>0</v>
      </c>
    </row>
    <row r="79">
      <c r="P79" s="3">
        <f>IFERROR(__xludf.DUMMYFUNCTION("""COMPUTED_VALUE"""),0.0)</f>
        <v>0</v>
      </c>
    </row>
    <row r="80">
      <c r="P80" s="3">
        <f>IFERROR(__xludf.DUMMYFUNCTION("""COMPUTED_VALUE"""),1.0)</f>
        <v>1</v>
      </c>
    </row>
    <row r="81">
      <c r="P81" s="3">
        <f>IFERROR(__xludf.DUMMYFUNCTION("""COMPUTED_VALUE"""),1.0)</f>
        <v>1</v>
      </c>
    </row>
    <row r="82">
      <c r="P82" s="3">
        <f>IFERROR(__xludf.DUMMYFUNCTION("""COMPUTED_VALUE"""),0.195610415885248)</f>
        <v>0.1956104159</v>
      </c>
    </row>
    <row r="83">
      <c r="P83" s="3">
        <f>IFERROR(__xludf.DUMMYFUNCTION("""COMPUTED_VALUE"""),0.1997022084313659)</f>
        <v>0.1997022084</v>
      </c>
    </row>
    <row r="84">
      <c r="P84" s="3">
        <f>IFERROR(__xludf.DUMMYFUNCTION("""COMPUTED_VALUE"""),0.3784908105159069)</f>
        <v>0.3784908105</v>
      </c>
    </row>
    <row r="85">
      <c r="P85" s="3">
        <f>IFERROR(__xludf.DUMMYFUNCTION("""COMPUTED_VALUE"""),0.0)</f>
        <v>0</v>
      </c>
    </row>
    <row r="86">
      <c r="P86" s="3">
        <f>IFERROR(__xludf.DUMMYFUNCTION("""COMPUTED_VALUE"""),1.0)</f>
        <v>1</v>
      </c>
    </row>
    <row r="87">
      <c r="P87" s="3">
        <f>IFERROR(__xludf.DUMMYFUNCTION("""COMPUTED_VALUE"""),1.0)</f>
        <v>1</v>
      </c>
    </row>
    <row r="88">
      <c r="P88" s="3">
        <f>IFERROR(__xludf.DUMMYFUNCTION("""COMPUTED_VALUE"""),0.9945329105147704)</f>
        <v>0.9945329105</v>
      </c>
    </row>
    <row r="89">
      <c r="P89" s="3">
        <f>IFERROR(__xludf.DUMMYFUNCTION("""COMPUTED_VALUE"""),0.9590707084484151)</f>
        <v>0.9590707084</v>
      </c>
    </row>
    <row r="90">
      <c r="P90" s="3">
        <f>IFERROR(__xludf.DUMMYFUNCTION("""COMPUTED_VALUE"""),0.3321171616599039)</f>
        <v>0.3321171617</v>
      </c>
    </row>
    <row r="91">
      <c r="P91" s="3">
        <f>IFERROR(__xludf.DUMMYFUNCTION("""COMPUTED_VALUE"""),0.13946192928018553)</f>
        <v>0.1394619293</v>
      </c>
    </row>
    <row r="92">
      <c r="P92" s="3">
        <f>IFERROR(__xludf.DUMMYFUNCTION("""COMPUTED_VALUE"""),0.12332208090383154)</f>
        <v>0.1233220809</v>
      </c>
    </row>
    <row r="93">
      <c r="P93" s="3">
        <f>IFERROR(__xludf.DUMMYFUNCTION("""COMPUTED_VALUE"""),0.22050215387413194)</f>
        <v>0.2205021539</v>
      </c>
    </row>
    <row r="94">
      <c r="P94" s="3">
        <f>IFERROR(__xludf.DUMMYFUNCTION("""COMPUTED_VALUE"""),0.44714199656744086)</f>
        <v>0.4471419966</v>
      </c>
    </row>
    <row r="95">
      <c r="P95" s="3">
        <f>IFERROR(__xludf.DUMMYFUNCTION("""COMPUTED_VALUE"""),0.5472772530432708)</f>
        <v>0.547277253</v>
      </c>
    </row>
    <row r="96">
      <c r="P96" s="3">
        <f>IFERROR(__xludf.DUMMYFUNCTION("""COMPUTED_VALUE"""),0.3705345472317888)</f>
        <v>0.3705345472</v>
      </c>
    </row>
    <row r="97">
      <c r="P97" s="3">
        <f>IFERROR(__xludf.DUMMYFUNCTION("""COMPUTED_VALUE"""),0.12218547186324323)</f>
        <v>0.1221854719</v>
      </c>
    </row>
    <row r="98">
      <c r="P98" s="3">
        <f>IFERROR(__xludf.DUMMYFUNCTION("""COMPUTED_VALUE"""),0.28472056466737145)</f>
        <v>0.2847205647</v>
      </c>
    </row>
    <row r="99">
      <c r="P99" s="3">
        <f>IFERROR(__xludf.DUMMYFUNCTION("""COMPUTED_VALUE"""),0.2771052840954297)</f>
        <v>0.2771052841</v>
      </c>
    </row>
    <row r="100">
      <c r="P100" s="3">
        <f>IFERROR(__xludf.DUMMYFUNCTION("""COMPUTED_VALUE"""),0.273581796069606)</f>
        <v>0.2735817961</v>
      </c>
    </row>
    <row r="101">
      <c r="P101" s="3">
        <f>IFERROR(__xludf.DUMMYFUNCTION("""COMPUTED_VALUE"""),0.26460258464895836)</f>
        <v>0.2646025846</v>
      </c>
    </row>
    <row r="102">
      <c r="P102" s="3">
        <f>IFERROR(__xludf.DUMMYFUNCTION("""COMPUTED_VALUE"""),0.13116468328389086)</f>
        <v>0.1311646833</v>
      </c>
    </row>
    <row r="103">
      <c r="P103" s="3">
        <f>IFERROR(__xludf.DUMMYFUNCTION("""COMPUTED_VALUE"""),0.0)</f>
        <v>0</v>
      </c>
    </row>
    <row r="104">
      <c r="P104" s="3">
        <f>IFERROR(__xludf.DUMMYFUNCTION("""COMPUTED_VALUE"""),0.21175026426160198)</f>
        <v>0.2117502643</v>
      </c>
    </row>
    <row r="105">
      <c r="P105" s="3">
        <f>IFERROR(__xludf.DUMMYFUNCTION("""COMPUTED_VALUE"""),0.21959286664166133)</f>
        <v>0.2195928666</v>
      </c>
    </row>
    <row r="106">
      <c r="P106" s="3">
        <f>IFERROR(__xludf.DUMMYFUNCTION("""COMPUTED_VALUE"""),0.23686932405860361)</f>
        <v>0.2368693241</v>
      </c>
    </row>
    <row r="107">
      <c r="P107" s="3">
        <f>IFERROR(__xludf.DUMMYFUNCTION("""COMPUTED_VALUE"""),0.2349370886896035)</f>
        <v>0.2349370887</v>
      </c>
    </row>
    <row r="108">
      <c r="P108" s="3">
        <f>IFERROR(__xludf.DUMMYFUNCTION("""COMPUTED_VALUE"""),0.0)</f>
        <v>0</v>
      </c>
    </row>
    <row r="109">
      <c r="P109" s="3">
        <f>IFERROR(__xludf.DUMMYFUNCTION("""COMPUTED_VALUE"""),0.0)</f>
        <v>0</v>
      </c>
    </row>
    <row r="110">
      <c r="P110" s="3">
        <f>IFERROR(__xludf.DUMMYFUNCTION("""COMPUTED_VALUE"""),1.0)</f>
        <v>1</v>
      </c>
    </row>
    <row r="111">
      <c r="P111" s="3">
        <f>IFERROR(__xludf.DUMMYFUNCTION("""COMPUTED_VALUE"""),1.0)</f>
        <v>1</v>
      </c>
    </row>
    <row r="112">
      <c r="P112" s="3">
        <f>IFERROR(__xludf.DUMMYFUNCTION("""COMPUTED_VALUE"""),0.9499778361237087)</f>
        <v>0.9499778361</v>
      </c>
    </row>
    <row r="113">
      <c r="P113" s="3">
        <f>IFERROR(__xludf.DUMMYFUNCTION("""COMPUTED_VALUE"""),0.9624805355701802)</f>
        <v>0.9624805356</v>
      </c>
    </row>
    <row r="114">
      <c r="P114" s="3">
        <f>IFERROR(__xludf.DUMMYFUNCTION("""COMPUTED_VALUE"""),1.0)</f>
        <v>1</v>
      </c>
    </row>
    <row r="115">
      <c r="P115" s="3">
        <f>IFERROR(__xludf.DUMMYFUNCTION("""COMPUTED_VALUE"""),0.875188961252998)</f>
        <v>0.8751889613</v>
      </c>
    </row>
    <row r="116">
      <c r="P116" s="3">
        <f>IFERROR(__xludf.DUMMYFUNCTION("""COMPUTED_VALUE"""),0.8534797285777613)</f>
        <v>0.8534797286</v>
      </c>
    </row>
    <row r="117">
      <c r="P117" s="3">
        <f>IFERROR(__xludf.DUMMYFUNCTION("""COMPUTED_VALUE"""),0.8492742751275846)</f>
        <v>0.8492742751</v>
      </c>
    </row>
    <row r="118">
      <c r="P118" s="3">
        <f>IFERROR(__xludf.DUMMYFUNCTION("""COMPUTED_VALUE"""),0.906786692581353)</f>
        <v>0.9067866926</v>
      </c>
    </row>
    <row r="119">
      <c r="P119" s="3">
        <f>IFERROR(__xludf.DUMMYFUNCTION("""COMPUTED_VALUE"""),0.9209943055887069)</f>
        <v>0.9209943056</v>
      </c>
    </row>
    <row r="120">
      <c r="P120" s="3">
        <f>IFERROR(__xludf.DUMMYFUNCTION("""COMPUTED_VALUE"""),0.8454098043895842)</f>
        <v>0.8454098044</v>
      </c>
    </row>
    <row r="121">
      <c r="P121" s="3">
        <f>IFERROR(__xludf.DUMMYFUNCTION("""COMPUTED_VALUE"""),0.8098339414191702)</f>
        <v>0.8098339414</v>
      </c>
    </row>
    <row r="122">
      <c r="P122" s="3">
        <f>IFERROR(__xludf.DUMMYFUNCTION("""COMPUTED_VALUE"""),0.1750377922505996)</f>
        <v>0.1750377923</v>
      </c>
    </row>
    <row r="123">
      <c r="P123" s="3">
        <f>IFERROR(__xludf.DUMMYFUNCTION("""COMPUTED_VALUE"""),0.18072083745354114)</f>
        <v>0.1807208375</v>
      </c>
    </row>
    <row r="124">
      <c r="P124" s="3">
        <f>IFERROR(__xludf.DUMMYFUNCTION("""COMPUTED_VALUE"""),0.18640388265648267)</f>
        <v>0.1864038827</v>
      </c>
    </row>
    <row r="125">
      <c r="P125" s="3">
        <f>IFERROR(__xludf.DUMMYFUNCTION("""COMPUTED_VALUE"""),0.15685204760118665)</f>
        <v>0.1568520476</v>
      </c>
    </row>
    <row r="126">
      <c r="P126" s="3">
        <f>IFERROR(__xludf.DUMMYFUNCTION("""COMPUTED_VALUE"""),0.08524567804412318)</f>
        <v>0.08524567804</v>
      </c>
    </row>
    <row r="127">
      <c r="P127" s="3">
        <f>IFERROR(__xludf.DUMMYFUNCTION("""COMPUTED_VALUE"""),0.0)</f>
        <v>0</v>
      </c>
    </row>
    <row r="128">
      <c r="P128" s="3">
        <f>IFERROR(__xludf.DUMMYFUNCTION("""COMPUTED_VALUE"""),0.17049135608824637)</f>
        <v>0.1704913561</v>
      </c>
    </row>
    <row r="129">
      <c r="P129" s="3">
        <f>IFERROR(__xludf.DUMMYFUNCTION("""COMPUTED_VALUE"""),0.1363930848705971)</f>
        <v>0.1363930849</v>
      </c>
    </row>
    <row r="130">
      <c r="P130" s="3">
        <f>IFERROR(__xludf.DUMMYFUNCTION("""COMPUTED_VALUE"""),0.15912526568236326)</f>
        <v>0.1591252657</v>
      </c>
    </row>
    <row r="131">
      <c r="P131" s="3">
        <f>IFERROR(__xludf.DUMMYFUNCTION("""COMPUTED_VALUE"""),0.32961662177060963)</f>
        <v>0.3296166218</v>
      </c>
    </row>
    <row r="132">
      <c r="P132" s="3">
        <f>IFERROR(__xludf.DUMMYFUNCTION("""COMPUTED_VALUE"""),0.2727861697411942)</f>
        <v>0.2727861697</v>
      </c>
    </row>
    <row r="133">
      <c r="P133" s="3">
        <f>IFERROR(__xludf.DUMMYFUNCTION("""COMPUTED_VALUE"""),0.2727861697411942)</f>
        <v>0.2727861697</v>
      </c>
    </row>
    <row r="134">
      <c r="P134" s="3">
        <f>IFERROR(__xludf.DUMMYFUNCTION("""COMPUTED_VALUE"""),0.8634818881349384)</f>
        <v>0.8634818881</v>
      </c>
    </row>
    <row r="135">
      <c r="P135" s="3">
        <f>IFERROR(__xludf.DUMMYFUNCTION("""COMPUTED_VALUE"""),0.6365010627294531)</f>
        <v>0.6365010627</v>
      </c>
    </row>
    <row r="136">
      <c r="P136" s="3">
        <f>IFERROR(__xludf.DUMMYFUNCTION("""COMPUTED_VALUE"""),0.6429797342608065)</f>
        <v>0.6429797343</v>
      </c>
    </row>
    <row r="137">
      <c r="P137" s="3">
        <f>IFERROR(__xludf.DUMMYFUNCTION("""COMPUTED_VALUE"""),0.6504813539286892)</f>
        <v>0.6504813539</v>
      </c>
    </row>
    <row r="138">
      <c r="P138" s="3">
        <f>IFERROR(__xludf.DUMMYFUNCTION("""COMPUTED_VALUE"""),0.5355701799252112)</f>
        <v>0.5355701799</v>
      </c>
    </row>
    <row r="139">
      <c r="P139" s="3">
        <f>IFERROR(__xludf.DUMMYFUNCTION("""COMPUTED_VALUE"""),0.6518452847773952)</f>
        <v>0.6518452848</v>
      </c>
    </row>
    <row r="140">
      <c r="P140" s="3">
        <f>IFERROR(__xludf.DUMMYFUNCTION("""COMPUTED_VALUE"""),1.0)</f>
        <v>1</v>
      </c>
    </row>
    <row r="141">
      <c r="P141" s="3">
        <f>IFERROR(__xludf.DUMMYFUNCTION("""COMPUTED_VALUE"""),0.5295461520100933)</f>
        <v>0.529546152</v>
      </c>
    </row>
    <row r="142">
      <c r="P142" s="3">
        <f>IFERROR(__xludf.DUMMYFUNCTION("""COMPUTED_VALUE"""),0.5504597583569181)</f>
        <v>0.5504597584</v>
      </c>
    </row>
    <row r="143">
      <c r="P143" s="3">
        <f>IFERROR(__xludf.DUMMYFUNCTION("""COMPUTED_VALUE"""),0.5741012264011549)</f>
        <v>0.5741012264</v>
      </c>
    </row>
    <row r="144">
      <c r="P144" s="3">
        <f>IFERROR(__xludf.DUMMYFUNCTION("""COMPUTED_VALUE"""),0.46760095929803036)</f>
        <v>0.4676009593</v>
      </c>
    </row>
    <row r="145">
      <c r="P145" s="3">
        <f>IFERROR(__xludf.DUMMYFUNCTION("""COMPUTED_VALUE"""),0.38451483843102496)</f>
        <v>0.3845148384</v>
      </c>
    </row>
    <row r="146">
      <c r="P146" s="3">
        <f>IFERROR(__xludf.DUMMYFUNCTION("""COMPUTED_VALUE"""),0.2659665154976643)</f>
        <v>0.2659665155</v>
      </c>
    </row>
    <row r="147">
      <c r="P147" s="3">
        <f>IFERROR(__xludf.DUMMYFUNCTION("""COMPUTED_VALUE"""),0.4660097066412067)</f>
        <v>0.4660097066</v>
      </c>
    </row>
    <row r="148">
      <c r="P148" s="3">
        <f>IFERROR(__xludf.DUMMYFUNCTION("""COMPUTED_VALUE"""),0.4411179686523228)</f>
        <v>0.4411179687</v>
      </c>
    </row>
    <row r="149">
      <c r="P149" s="3">
        <f>IFERROR(__xludf.DUMMYFUNCTION("""COMPUTED_VALUE"""),0.48237687682567837)</f>
        <v>0.4823768768</v>
      </c>
    </row>
    <row r="150">
      <c r="P150" s="3">
        <f>IFERROR(__xludf.DUMMYFUNCTION("""COMPUTED_VALUE"""),0.5312510655709757)</f>
        <v>0.5312510656</v>
      </c>
    </row>
    <row r="151">
      <c r="P151" s="3">
        <f>IFERROR(__xludf.DUMMYFUNCTION("""COMPUTED_VALUE"""),0.5234084631909163)</f>
        <v>0.5234084632</v>
      </c>
    </row>
    <row r="152">
      <c r="P152" s="3">
        <f>IFERROR(__xludf.DUMMYFUNCTION("""COMPUTED_VALUE"""),0.567281572157625)</f>
        <v>0.5672815722</v>
      </c>
    </row>
    <row r="153">
      <c r="P153" s="3">
        <f>IFERROR(__xludf.DUMMYFUNCTION("""COMPUTED_VALUE"""),0.5818301678771554)</f>
        <v>0.5818301679</v>
      </c>
    </row>
    <row r="154">
      <c r="P154" s="3">
        <f>IFERROR(__xludf.DUMMYFUNCTION("""COMPUTED_VALUE"""),0.755504029279049)</f>
        <v>0.7555040293</v>
      </c>
    </row>
    <row r="155">
      <c r="P155" s="3">
        <f>IFERROR(__xludf.DUMMYFUNCTION("""COMPUTED_VALUE"""),0.6093361066593925)</f>
        <v>0.6093361067</v>
      </c>
    </row>
    <row r="156">
      <c r="P156" s="3">
        <f>IFERROR(__xludf.DUMMYFUNCTION("""COMPUTED_VALUE"""),0.5892181266409795)</f>
        <v>0.5892181266</v>
      </c>
    </row>
    <row r="157">
      <c r="P157" s="3">
        <f>IFERROR(__xludf.DUMMYFUNCTION("""COMPUTED_VALUE"""),0.6099044111796866)</f>
        <v>0.6099044112</v>
      </c>
    </row>
    <row r="158">
      <c r="P158" s="3">
        <f>IFERROR(__xludf.DUMMYFUNCTION("""COMPUTED_VALUE"""),0.17776565394801155)</f>
        <v>0.1777656539</v>
      </c>
    </row>
    <row r="159">
      <c r="P159" s="3">
        <f>IFERROR(__xludf.DUMMYFUNCTION("""COMPUTED_VALUE"""),0.19174594514724774)</f>
        <v>0.1917459451</v>
      </c>
    </row>
    <row r="160">
      <c r="P160" s="3">
        <f>IFERROR(__xludf.DUMMYFUNCTION("""COMPUTED_VALUE"""),0.16276241461224586)</f>
        <v>0.1627624146</v>
      </c>
    </row>
    <row r="161">
      <c r="P161" s="3">
        <f>IFERROR(__xludf.DUMMYFUNCTION("""COMPUTED_VALUE"""),0.17822029756424687)</f>
        <v>0.1782202976</v>
      </c>
    </row>
    <row r="162">
      <c r="P162" s="3">
        <f>IFERROR(__xludf.DUMMYFUNCTION("""COMPUTED_VALUE"""),0.17412850501812896)</f>
        <v>0.174128505</v>
      </c>
    </row>
    <row r="163">
      <c r="P163" s="3">
        <f>IFERROR(__xludf.DUMMYFUNCTION("""COMPUTED_VALUE"""),0.16162580557165757)</f>
        <v>0.1616258056</v>
      </c>
    </row>
    <row r="164">
      <c r="P164" s="3">
        <f>IFERROR(__xludf.DUMMYFUNCTION("""COMPUTED_VALUE"""),0.19140496243507124)</f>
        <v>0.1914049624</v>
      </c>
    </row>
    <row r="165">
      <c r="P165" s="3">
        <f>IFERROR(__xludf.DUMMYFUNCTION("""COMPUTED_VALUE"""),0.16151214466759872)</f>
        <v>0.1615121447</v>
      </c>
    </row>
    <row r="166">
      <c r="P166" s="3">
        <f>IFERROR(__xludf.DUMMYFUNCTION("""COMPUTED_VALUE"""),0.16708152896648143)</f>
        <v>0.167081529</v>
      </c>
    </row>
    <row r="167">
      <c r="P167" s="3">
        <f>IFERROR(__xludf.DUMMYFUNCTION("""COMPUTED_VALUE"""),0.16549027630965782)</f>
        <v>0.1654902763</v>
      </c>
    </row>
    <row r="168">
      <c r="P168" s="3">
        <f>IFERROR(__xludf.DUMMYFUNCTION("""COMPUTED_VALUE"""),0.17446948773030543)</f>
        <v>0.1744694877</v>
      </c>
    </row>
    <row r="169">
      <c r="P169" s="3">
        <f>IFERROR(__xludf.DUMMYFUNCTION("""COMPUTED_VALUE"""),0.1702640342801287)</f>
        <v>0.1702640343</v>
      </c>
    </row>
    <row r="170">
      <c r="P170" s="3">
        <f>IFERROR(__xludf.DUMMYFUNCTION("""COMPUTED_VALUE"""),0.29097191439060716)</f>
        <v>0.2909719144</v>
      </c>
    </row>
    <row r="171">
      <c r="P171" s="3">
        <f>IFERROR(__xludf.DUMMYFUNCTION("""COMPUTED_VALUE"""),0.367011059205965)</f>
        <v>0.3670110592</v>
      </c>
    </row>
    <row r="172">
      <c r="P172" s="3">
        <f>IFERROR(__xludf.DUMMYFUNCTION("""COMPUTED_VALUE"""),0.33552698878166887)</f>
        <v>0.3355269888</v>
      </c>
    </row>
    <row r="173">
      <c r="P173" s="3">
        <f>IFERROR(__xludf.DUMMYFUNCTION("""COMPUTED_VALUE"""),0.33143519623555096)</f>
        <v>0.3314351962</v>
      </c>
    </row>
    <row r="174">
      <c r="P174" s="3">
        <f>IFERROR(__xludf.DUMMYFUNCTION("""COMPUTED_VALUE"""),0.3581455086893762)</f>
        <v>0.3581455087</v>
      </c>
    </row>
    <row r="175">
      <c r="P175" s="3">
        <f>IFERROR(__xludf.DUMMYFUNCTION("""COMPUTED_VALUE"""),0.46771462020208915)</f>
        <v>0.4677146202</v>
      </c>
    </row>
    <row r="176">
      <c r="P176" s="3">
        <f>IFERROR(__xludf.DUMMYFUNCTION("""COMPUTED_VALUE"""),0.0)</f>
        <v>0</v>
      </c>
    </row>
    <row r="177">
      <c r="P177" s="3">
        <f>IFERROR(__xludf.DUMMYFUNCTION("""COMPUTED_VALUE"""),0.0)</f>
        <v>0</v>
      </c>
    </row>
    <row r="178">
      <c r="P178" s="3">
        <f>IFERROR(__xludf.DUMMYFUNCTION("""COMPUTED_VALUE"""),0.0)</f>
        <v>0</v>
      </c>
    </row>
    <row r="179">
      <c r="P179" s="3">
        <f>IFERROR(__xludf.DUMMYFUNCTION("""COMPUTED_VALUE"""),0.0)</f>
        <v>0</v>
      </c>
    </row>
    <row r="180">
      <c r="P180" s="3">
        <f>IFERROR(__xludf.DUMMYFUNCTION("""COMPUTED_VALUE"""),0.36030506586649397)</f>
        <v>0.3603050659</v>
      </c>
    </row>
    <row r="181">
      <c r="P181" s="3">
        <f>IFERROR(__xludf.DUMMYFUNCTION("""COMPUTED_VALUE"""),0.3062024755344905)</f>
        <v>0.3062024755</v>
      </c>
    </row>
    <row r="182">
      <c r="P182" s="3">
        <f>IFERROR(__xludf.DUMMYFUNCTION("""COMPUTED_VALUE"""),0.20674918448301344)</f>
        <v>0.2067491845</v>
      </c>
    </row>
    <row r="183">
      <c r="P183" s="3">
        <f>IFERROR(__xludf.DUMMYFUNCTION("""COMPUTED_VALUE"""),0.1825394119184824)</f>
        <v>0.1825394119</v>
      </c>
    </row>
    <row r="184">
      <c r="P184" s="3">
        <f>IFERROR(__xludf.DUMMYFUNCTION("""COMPUTED_VALUE"""),0.1419624691694798)</f>
        <v>0.1419624692</v>
      </c>
    </row>
    <row r="185">
      <c r="P185" s="3">
        <f>IFERROR(__xludf.DUMMYFUNCTION("""COMPUTED_VALUE"""),0.1691274252395404)</f>
        <v>0.1691274252</v>
      </c>
    </row>
    <row r="186">
      <c r="P186" s="3">
        <f>IFERROR(__xludf.DUMMYFUNCTION("""COMPUTED_VALUE"""),0.1643536672690695)</f>
        <v>0.1643536673</v>
      </c>
    </row>
    <row r="187">
      <c r="P187" s="3">
        <f>IFERROR(__xludf.DUMMYFUNCTION("""COMPUTED_VALUE"""),1.0)</f>
        <v>1</v>
      </c>
    </row>
    <row r="188">
      <c r="P188" s="3">
        <f>IFERROR(__xludf.DUMMYFUNCTION("""COMPUTED_VALUE"""),0.20038417385571888)</f>
        <v>0.2003841739</v>
      </c>
    </row>
    <row r="189">
      <c r="P189" s="3">
        <f>IFERROR(__xludf.DUMMYFUNCTION("""COMPUTED_VALUE"""),0.12832316068242008)</f>
        <v>0.1283231607</v>
      </c>
    </row>
    <row r="190">
      <c r="P190" s="3">
        <f>IFERROR(__xludf.DUMMYFUNCTION("""COMPUTED_VALUE"""),0.23777861129107428)</f>
        <v>0.2377786113</v>
      </c>
    </row>
    <row r="191">
      <c r="P191" s="3">
        <f>IFERROR(__xludf.DUMMYFUNCTION("""COMPUTED_VALUE"""),0.27960582398472406)</f>
        <v>0.279605824</v>
      </c>
    </row>
    <row r="192">
      <c r="P192" s="3">
        <f>IFERROR(__xludf.DUMMYFUNCTION("""COMPUTED_VALUE"""),0.26994464713972344)</f>
        <v>0.2699446471</v>
      </c>
    </row>
    <row r="193">
      <c r="P193" s="3">
        <f>IFERROR(__xludf.DUMMYFUNCTION("""COMPUTED_VALUE"""),0.2099316897966607)</f>
        <v>0.2099316898</v>
      </c>
    </row>
    <row r="194">
      <c r="P194" s="3">
        <f>IFERROR(__xludf.DUMMYFUNCTION("""COMPUTED_VALUE"""),0.3080210499994318)</f>
        <v>0.30802105</v>
      </c>
    </row>
    <row r="195">
      <c r="P195" s="3">
        <f>IFERROR(__xludf.DUMMYFUNCTION("""COMPUTED_VALUE"""),0.22902672167854426)</f>
        <v>0.2290267217</v>
      </c>
    </row>
    <row r="196">
      <c r="P196" s="3">
        <f>IFERROR(__xludf.DUMMYFUNCTION("""COMPUTED_VALUE"""),0.25084961525783983)</f>
        <v>0.2508496153</v>
      </c>
    </row>
    <row r="197">
      <c r="P197" s="3">
        <f>IFERROR(__xludf.DUMMYFUNCTION("""COMPUTED_VALUE"""),0.3982678078221435)</f>
        <v>0.3982678078</v>
      </c>
    </row>
    <row r="198">
      <c r="P198" s="3">
        <f>IFERROR(__xludf.DUMMYFUNCTION("""COMPUTED_VALUE"""),0.46930587285891284)</f>
        <v>0.4693058729</v>
      </c>
    </row>
    <row r="199">
      <c r="P199" s="3">
        <f>IFERROR(__xludf.DUMMYFUNCTION("""COMPUTED_VALUE"""),0.48385446857844316)</f>
        <v>0.4838544686</v>
      </c>
    </row>
    <row r="200">
      <c r="P200" s="3">
        <f>IFERROR(__xludf.DUMMYFUNCTION("""COMPUTED_VALUE"""),0.35905479592184686)</f>
        <v>0.3590547959</v>
      </c>
    </row>
    <row r="201">
      <c r="P201" s="3">
        <f>IFERROR(__xludf.DUMMYFUNCTION("""COMPUTED_VALUE"""),0.3267750991691389)</f>
        <v>0.3267750992</v>
      </c>
    </row>
    <row r="202">
      <c r="P202" s="3">
        <f>IFERROR(__xludf.DUMMYFUNCTION("""COMPUTED_VALUE"""),0.15992089201077508)</f>
        <v>0.159920892</v>
      </c>
    </row>
    <row r="203">
      <c r="P203" s="3">
        <f>IFERROR(__xludf.DUMMYFUNCTION("""COMPUTED_VALUE"""),0.15617008217683367)</f>
        <v>0.1561700822</v>
      </c>
    </row>
    <row r="204">
      <c r="P204" s="3">
        <f>IFERROR(__xludf.DUMMYFUNCTION("""COMPUTED_VALUE"""),0.22538957274866167)</f>
        <v>0.2253895727</v>
      </c>
    </row>
    <row r="205">
      <c r="P205" s="3">
        <f>IFERROR(__xludf.DUMMYFUNCTION("""COMPUTED_VALUE"""),0.14434934815471526)</f>
        <v>0.1443493482</v>
      </c>
    </row>
    <row r="206">
      <c r="P206" s="3">
        <f>IFERROR(__xludf.DUMMYFUNCTION("""COMPUTED_VALUE"""),0.38815198736090756)</f>
        <v>0.3881519874</v>
      </c>
    </row>
    <row r="207">
      <c r="P207" s="3">
        <f>IFERROR(__xludf.DUMMYFUNCTION("""COMPUTED_VALUE"""),0.3971311987815552)</f>
        <v>0.3971311988</v>
      </c>
    </row>
    <row r="208">
      <c r="P208" s="3">
        <f>IFERROR(__xludf.DUMMYFUNCTION("""COMPUTED_VALUE"""),0.2768779622873121)</f>
        <v>0.2768779623</v>
      </c>
    </row>
    <row r="209">
      <c r="P209" s="3">
        <f>IFERROR(__xludf.DUMMYFUNCTION("""COMPUTED_VALUE"""),0.2642616019367819)</f>
        <v>0.2642616019</v>
      </c>
    </row>
    <row r="210">
      <c r="P210" s="3">
        <f>IFERROR(__xludf.DUMMYFUNCTION("""COMPUTED_VALUE"""),0.429524556438322)</f>
        <v>0.4295245564</v>
      </c>
    </row>
    <row r="211">
      <c r="P211" s="3">
        <f>IFERROR(__xludf.DUMMYFUNCTION("""COMPUTED_VALUE"""),0.048419545129061964)</f>
        <v>0.04841954513</v>
      </c>
    </row>
    <row r="212">
      <c r="P212" s="3">
        <f>IFERROR(__xludf.DUMMYFUNCTION("""COMPUTED_VALUE"""),0.24982666712131035)</f>
        <v>0.2498266671</v>
      </c>
    </row>
    <row r="213">
      <c r="P213" s="3">
        <f>IFERROR(__xludf.DUMMYFUNCTION("""COMPUTED_VALUE"""),0.43543492344938123)</f>
        <v>0.4354349234</v>
      </c>
    </row>
    <row r="214">
      <c r="P214" s="3">
        <f>IFERROR(__xludf.DUMMYFUNCTION("""COMPUTED_VALUE"""),0.38110501130926006)</f>
        <v>0.3811050113</v>
      </c>
    </row>
    <row r="215">
      <c r="P215" s="3">
        <f>IFERROR(__xludf.DUMMYFUNCTION("""COMPUTED_VALUE"""),0.2906309316784306)</f>
        <v>0.2906309317</v>
      </c>
    </row>
    <row r="216">
      <c r="P216" s="3">
        <f>IFERROR(__xludf.DUMMYFUNCTION("""COMPUTED_VALUE"""),0.234596105977427)</f>
        <v>0.234596106</v>
      </c>
    </row>
    <row r="217">
      <c r="P217" s="3">
        <f>IFERROR(__xludf.DUMMYFUNCTION("""COMPUTED_VALUE"""),0.4774894579511486)</f>
        <v>0.477489458</v>
      </c>
    </row>
    <row r="218">
      <c r="P218" s="3">
        <f>IFERROR(__xludf.DUMMYFUNCTION("""COMPUTED_VALUE"""),0.5277275775451519)</f>
        <v>0.5277275775</v>
      </c>
    </row>
    <row r="219">
      <c r="P219" s="3">
        <f>IFERROR(__xludf.DUMMYFUNCTION("""COMPUTED_VALUE"""),0.5769427490026257)</f>
        <v>0.576942749</v>
      </c>
    </row>
    <row r="220">
      <c r="P220" s="3">
        <f>IFERROR(__xludf.DUMMYFUNCTION("""COMPUTED_VALUE"""),0.5142019299621511)</f>
        <v>0.51420193</v>
      </c>
    </row>
    <row r="221">
      <c r="P221" s="3">
        <f>IFERROR(__xludf.DUMMYFUNCTION("""COMPUTED_VALUE"""),0.5889908048328618)</f>
        <v>0.5889908048</v>
      </c>
    </row>
    <row r="222">
      <c r="P222" s="3">
        <f>IFERROR(__xludf.DUMMYFUNCTION("""COMPUTED_VALUE"""),0.6441163433013948)</f>
        <v>0.6441163433</v>
      </c>
    </row>
    <row r="223">
      <c r="P223" s="3">
        <f>IFERROR(__xludf.DUMMYFUNCTION("""COMPUTED_VALUE"""),0.32041008854184433)</f>
        <v>0.3204100885</v>
      </c>
    </row>
    <row r="224">
      <c r="P224" s="3">
        <f>IFERROR(__xludf.DUMMYFUNCTION("""COMPUTED_VALUE"""),0.5113604073606803)</f>
        <v>0.5113604074</v>
      </c>
    </row>
    <row r="225">
      <c r="P225" s="3">
        <f>IFERROR(__xludf.DUMMYFUNCTION("""COMPUTED_VALUE"""),0.4203180232095567)</f>
        <v>0.4203180232</v>
      </c>
    </row>
    <row r="226">
      <c r="P226" s="3">
        <f>IFERROR(__xludf.DUMMYFUNCTION("""COMPUTED_VALUE"""),0.07978995464929929)</f>
        <v>0.07978995465</v>
      </c>
    </row>
    <row r="227">
      <c r="P227" s="3">
        <f>IFERROR(__xludf.DUMMYFUNCTION("""COMPUTED_VALUE"""),0.21049999431695485)</f>
        <v>0.2104999943</v>
      </c>
    </row>
    <row r="228">
      <c r="P228" s="3">
        <f>IFERROR(__xludf.DUMMYFUNCTION("""COMPUTED_VALUE"""),0.2518725633943693)</f>
        <v>0.2518725634</v>
      </c>
    </row>
    <row r="229">
      <c r="P229" s="3">
        <f>IFERROR(__xludf.DUMMYFUNCTION("""COMPUTED_VALUE"""),0.3512121935417875)</f>
        <v>0.3512121935</v>
      </c>
    </row>
    <row r="230">
      <c r="P230" s="3">
        <f>IFERROR(__xludf.DUMMYFUNCTION("""COMPUTED_VALUE"""),0.11036473784112483)</f>
        <v>0.1103647378</v>
      </c>
    </row>
    <row r="231">
      <c r="P231" s="3">
        <f>IFERROR(__xludf.DUMMYFUNCTION("""COMPUTED_VALUE"""),0.09933963014741821)</f>
        <v>0.09933963015</v>
      </c>
    </row>
    <row r="232">
      <c r="P232" s="3">
        <f>IFERROR(__xludf.DUMMYFUNCTION("""COMPUTED_VALUE"""),0.08660960889282915)</f>
        <v>0.08660960889</v>
      </c>
    </row>
    <row r="233">
      <c r="P233" s="3">
        <f>IFERROR(__xludf.DUMMYFUNCTION("""COMPUTED_VALUE"""),0.08035825916959345)</f>
        <v>0.08035825917</v>
      </c>
    </row>
    <row r="234">
      <c r="P234" s="3">
        <f>IFERROR(__xludf.DUMMYFUNCTION("""COMPUTED_VALUE"""),0.09070140143894707)</f>
        <v>0.09070140144</v>
      </c>
    </row>
    <row r="235">
      <c r="P235" s="3">
        <f>IFERROR(__xludf.DUMMYFUNCTION("""COMPUTED_VALUE"""),0.11116036416953662)</f>
        <v>0.1111603642</v>
      </c>
    </row>
    <row r="236">
      <c r="P236" s="3">
        <f>IFERROR(__xludf.DUMMYFUNCTION("""COMPUTED_VALUE"""),0.10195383094077133)</f>
        <v>0.1019538309</v>
      </c>
    </row>
    <row r="237">
      <c r="P237" s="3">
        <f>IFERROR(__xludf.DUMMYFUNCTION("""COMPUTED_VALUE"""),0.10252213546106548)</f>
        <v>0.1025221355</v>
      </c>
    </row>
    <row r="238">
      <c r="P238" s="3">
        <f>IFERROR(__xludf.DUMMYFUNCTION("""COMPUTED_VALUE"""),0.0)</f>
        <v>0</v>
      </c>
    </row>
    <row r="239">
      <c r="P239" s="3">
        <f>IFERROR(__xludf.DUMMYFUNCTION("""COMPUTED_VALUE"""),0.23073163523942675)</f>
        <v>0.2307316352</v>
      </c>
    </row>
    <row r="240">
      <c r="P240" s="3">
        <f>IFERROR(__xludf.DUMMYFUNCTION("""COMPUTED_VALUE"""),0.1419624691694798)</f>
        <v>0.1419624692</v>
      </c>
    </row>
    <row r="241">
      <c r="P241" s="3">
        <f>IFERROR(__xludf.DUMMYFUNCTION("""COMPUTED_VALUE"""),0.14105318193700916)</f>
        <v>0.1410531819</v>
      </c>
    </row>
    <row r="242">
      <c r="P242" s="3">
        <f>IFERROR(__xludf.DUMMYFUNCTION("""COMPUTED_VALUE"""),0.22743546902172065)</f>
        <v>0.227435469</v>
      </c>
    </row>
    <row r="243">
      <c r="P243" s="3">
        <f>IFERROR(__xludf.DUMMYFUNCTION("""COMPUTED_VALUE"""),0.22754912992577947)</f>
        <v>0.2275491299</v>
      </c>
    </row>
    <row r="244">
      <c r="P244" s="3">
        <f>IFERROR(__xludf.DUMMYFUNCTION("""COMPUTED_VALUE"""),0.22823109535013245)</f>
        <v>0.2282310954</v>
      </c>
    </row>
    <row r="245">
      <c r="P245" s="3">
        <f>IFERROR(__xludf.DUMMYFUNCTION("""COMPUTED_VALUE"""),0.2273218081176618)</f>
        <v>0.2273218081</v>
      </c>
    </row>
    <row r="246">
      <c r="P246" s="3">
        <f>IFERROR(__xludf.DUMMYFUNCTION("""COMPUTED_VALUE"""),0.19879292119889524)</f>
        <v>0.1987929212</v>
      </c>
    </row>
    <row r="247">
      <c r="P247" s="3">
        <f>IFERROR(__xludf.DUMMYFUNCTION("""COMPUTED_VALUE"""),0.0)</f>
        <v>0</v>
      </c>
    </row>
    <row r="248">
      <c r="P248" s="3">
        <f>IFERROR(__xludf.DUMMYFUNCTION("""COMPUTED_VALUE"""),0.0)</f>
        <v>0</v>
      </c>
    </row>
    <row r="249">
      <c r="P249" s="3">
        <f>IFERROR(__xludf.DUMMYFUNCTION("""COMPUTED_VALUE"""),0.0)</f>
        <v>0</v>
      </c>
    </row>
    <row r="250">
      <c r="P250" s="3">
        <f>IFERROR(__xludf.DUMMYFUNCTION("""COMPUTED_VALUE"""),0.22857207806230895)</f>
        <v>0.2285720781</v>
      </c>
    </row>
    <row r="251">
      <c r="P251" s="3">
        <f>IFERROR(__xludf.DUMMYFUNCTION("""COMPUTED_VALUE"""),0.2305043134313091)</f>
        <v>0.2305043134</v>
      </c>
    </row>
    <row r="252">
      <c r="P252" s="3">
        <f>IFERROR(__xludf.DUMMYFUNCTION("""COMPUTED_VALUE"""),0.22970868710289727)</f>
        <v>0.2297086871</v>
      </c>
    </row>
    <row r="253">
      <c r="P253" s="3">
        <f>IFERROR(__xludf.DUMMYFUNCTION("""COMPUTED_VALUE"""),0.23368681874495634)</f>
        <v>0.2336868187</v>
      </c>
    </row>
    <row r="254">
      <c r="P254" s="3">
        <f>IFERROR(__xludf.DUMMYFUNCTION("""COMPUTED_VALUE"""),0.37576294881849504)</f>
        <v>0.3757629488</v>
      </c>
    </row>
    <row r="255">
      <c r="P255" s="3">
        <f>IFERROR(__xludf.DUMMYFUNCTION("""COMPUTED_VALUE"""),0.3439378956820224)</f>
        <v>0.3439378957</v>
      </c>
    </row>
    <row r="256">
      <c r="P256" s="3">
        <f>IFERROR(__xludf.DUMMYFUNCTION("""COMPUTED_VALUE"""),0.3379138677669043)</f>
        <v>0.3379138678</v>
      </c>
    </row>
    <row r="257">
      <c r="P257" s="3">
        <f>IFERROR(__xludf.DUMMYFUNCTION("""COMPUTED_VALUE"""),0.7497073231720486)</f>
        <v>0.7497073232</v>
      </c>
    </row>
    <row r="258">
      <c r="P258" s="3">
        <f>IFERROR(__xludf.DUMMYFUNCTION("""COMPUTED_VALUE"""),0.6101317329878043)</f>
        <v>0.610131733</v>
      </c>
    </row>
    <row r="259">
      <c r="P259" s="3">
        <f>IFERROR(__xludf.DUMMYFUNCTION("""COMPUTED_VALUE"""),0.4162262306634388)</f>
        <v>0.4162262307</v>
      </c>
    </row>
    <row r="260">
      <c r="P260" s="3">
        <f>IFERROR(__xludf.DUMMYFUNCTION("""COMPUTED_VALUE"""),0.20424864459371914)</f>
        <v>0.2042486446</v>
      </c>
    </row>
    <row r="261">
      <c r="P261" s="3">
        <f>IFERROR(__xludf.DUMMYFUNCTION("""COMPUTED_VALUE"""),0.41940873597708606)</f>
        <v>0.419408736</v>
      </c>
    </row>
    <row r="262">
      <c r="P262" s="3">
        <f>IFERROR(__xludf.DUMMYFUNCTION("""COMPUTED_VALUE"""),0.03921301190029666)</f>
        <v>0.0392130119</v>
      </c>
    </row>
    <row r="263">
      <c r="P263" s="3">
        <f>IFERROR(__xludf.DUMMYFUNCTION("""COMPUTED_VALUE"""),0.18049351564542349)</f>
        <v>0.1804935156</v>
      </c>
    </row>
    <row r="264">
      <c r="P264" s="3">
        <f>IFERROR(__xludf.DUMMYFUNCTION("""COMPUTED_VALUE"""),0.18072083745354114)</f>
        <v>0.1807208375</v>
      </c>
    </row>
    <row r="265">
      <c r="P265" s="3">
        <f>IFERROR(__xludf.DUMMYFUNCTION("""COMPUTED_VALUE"""),0.11229697321012495)</f>
        <v>0.1122969732</v>
      </c>
    </row>
    <row r="266">
      <c r="P266" s="3">
        <f>IFERROR(__xludf.DUMMYFUNCTION("""COMPUTED_VALUE"""),0.09433855036882967)</f>
        <v>0.09433855037</v>
      </c>
    </row>
    <row r="267">
      <c r="P267" s="3">
        <f>IFERROR(__xludf.DUMMYFUNCTION("""COMPUTED_VALUE"""),0.027846921494413576)</f>
        <v>0.02784692149</v>
      </c>
    </row>
    <row r="268">
      <c r="P268" s="3">
        <f>IFERROR(__xludf.DUMMYFUNCTION("""COMPUTED_VALUE"""),0.0)</f>
        <v>0</v>
      </c>
    </row>
    <row r="269">
      <c r="P269" s="3">
        <f>IFERROR(__xludf.DUMMYFUNCTION("""COMPUTED_VALUE"""),0.0)</f>
        <v>0</v>
      </c>
    </row>
    <row r="270">
      <c r="P270" s="3">
        <f>IFERROR(__xludf.DUMMYFUNCTION("""COMPUTED_VALUE"""),0.0)</f>
        <v>0</v>
      </c>
    </row>
    <row r="271">
      <c r="P271" s="3">
        <f>IFERROR(__xludf.DUMMYFUNCTION("""COMPUTED_VALUE"""),0.0)</f>
        <v>0</v>
      </c>
    </row>
    <row r="272">
      <c r="P272" s="3">
        <f>IFERROR(__xludf.DUMMYFUNCTION("""COMPUTED_VALUE"""),0.0)</f>
        <v>0</v>
      </c>
    </row>
    <row r="273">
      <c r="P273" s="3">
        <f>IFERROR(__xludf.DUMMYFUNCTION("""COMPUTED_VALUE"""),0.0)</f>
        <v>0</v>
      </c>
    </row>
    <row r="274">
      <c r="P274" s="3">
        <f>IFERROR(__xludf.DUMMYFUNCTION("""COMPUTED_VALUE"""),0.0)</f>
        <v>0</v>
      </c>
    </row>
    <row r="275">
      <c r="P275" s="3">
        <f>IFERROR(__xludf.DUMMYFUNCTION("""COMPUTED_VALUE"""),0.0)</f>
        <v>0</v>
      </c>
    </row>
    <row r="276">
      <c r="P276" s="3">
        <f>IFERROR(__xludf.DUMMYFUNCTION("""COMPUTED_VALUE"""),0.0)</f>
        <v>0</v>
      </c>
    </row>
    <row r="277">
      <c r="P277" s="3">
        <f>IFERROR(__xludf.DUMMYFUNCTION("""COMPUTED_VALUE"""),0.05262499857923871)</f>
        <v>0.05262499858</v>
      </c>
    </row>
    <row r="278">
      <c r="P278" s="3">
        <f>IFERROR(__xludf.DUMMYFUNCTION("""COMPUTED_VALUE"""),1.0)</f>
        <v>1</v>
      </c>
    </row>
    <row r="279">
      <c r="P279" s="3">
        <f>IFERROR(__xludf.DUMMYFUNCTION("""COMPUTED_VALUE"""),0.0)</f>
        <v>0</v>
      </c>
    </row>
    <row r="280">
      <c r="P280" s="3">
        <f>IFERROR(__xludf.DUMMYFUNCTION("""COMPUTED_VALUE"""),0.8079017060501701)</f>
        <v>0.8079017061</v>
      </c>
    </row>
    <row r="281">
      <c r="P281" s="3">
        <f>IFERROR(__xludf.DUMMYFUNCTION("""COMPUTED_VALUE"""),0.08501835623600552)</f>
        <v>0.08501835624</v>
      </c>
    </row>
    <row r="282">
      <c r="P282" s="3">
        <f>IFERROR(__xludf.DUMMYFUNCTION("""COMPUTED_VALUE"""),0.17367386140189361)</f>
        <v>0.1736738614</v>
      </c>
    </row>
    <row r="283">
      <c r="P283" s="3">
        <f>IFERROR(__xludf.DUMMYFUNCTION("""COMPUTED_VALUE"""),1.0)</f>
        <v>1</v>
      </c>
    </row>
    <row r="284">
      <c r="P284" s="3">
        <f>IFERROR(__xludf.DUMMYFUNCTION("""COMPUTED_VALUE"""),0.1273002125458906)</f>
        <v>0.1273002125</v>
      </c>
    </row>
    <row r="285">
      <c r="P285" s="3">
        <f>IFERROR(__xludf.DUMMYFUNCTION("""COMPUTED_VALUE"""),0.10456803173412443)</f>
        <v>0.1045680317</v>
      </c>
    </row>
    <row r="286">
      <c r="P286" s="3">
        <f>IFERROR(__xludf.DUMMYFUNCTION("""COMPUTED_VALUE"""),0.0)</f>
        <v>0</v>
      </c>
    </row>
    <row r="287">
      <c r="P287" s="3">
        <f>IFERROR(__xludf.DUMMYFUNCTION("""COMPUTED_VALUE"""),0.0)</f>
        <v>0</v>
      </c>
    </row>
    <row r="288">
      <c r="P288" s="3">
        <f>IFERROR(__xludf.DUMMYFUNCTION("""COMPUTED_VALUE"""),0.0)</f>
        <v>0</v>
      </c>
    </row>
    <row r="289">
      <c r="P289" s="3">
        <f>IFERROR(__xludf.DUMMYFUNCTION("""COMPUTED_VALUE"""),0.30699810186290233)</f>
        <v>0.3069981019</v>
      </c>
    </row>
    <row r="290">
      <c r="P290" s="3">
        <f>IFERROR(__xludf.DUMMYFUNCTION("""COMPUTED_VALUE"""),1.0)</f>
        <v>1</v>
      </c>
    </row>
    <row r="291">
      <c r="P291" s="3">
        <f>IFERROR(__xludf.DUMMYFUNCTION("""COMPUTED_VALUE"""),0.6222934497220992)</f>
        <v>0.6222934497</v>
      </c>
    </row>
    <row r="292">
      <c r="P292" s="3">
        <f>IFERROR(__xludf.DUMMYFUNCTION("""COMPUTED_VALUE"""),1.0)</f>
        <v>1</v>
      </c>
    </row>
    <row r="293">
      <c r="P293" s="3">
        <f>IFERROR(__xludf.DUMMYFUNCTION("""COMPUTED_VALUE"""),0.3948579807003786)</f>
        <v>0.3948579807</v>
      </c>
    </row>
    <row r="294">
      <c r="P294" s="3">
        <f>IFERROR(__xludf.DUMMYFUNCTION("""COMPUTED_VALUE"""),0.3801957240767894)</f>
        <v>0.3801957241</v>
      </c>
    </row>
    <row r="295">
      <c r="P295" s="3">
        <f>IFERROR(__xludf.DUMMYFUNCTION("""COMPUTED_VALUE"""),1.0)</f>
        <v>1</v>
      </c>
    </row>
    <row r="296">
      <c r="P296" s="3">
        <f>IFERROR(__xludf.DUMMYFUNCTION("""COMPUTED_VALUE"""),0.3640558757004354)</f>
        <v>0.3640558757</v>
      </c>
    </row>
    <row r="297">
      <c r="P297" s="3">
        <f>IFERROR(__xludf.DUMMYFUNCTION("""COMPUTED_VALUE"""),0.4084972891874383)</f>
        <v>0.4084972892</v>
      </c>
    </row>
    <row r="298">
      <c r="P298" s="3">
        <f>IFERROR(__xludf.DUMMYFUNCTION("""COMPUTED_VALUE"""),0.39610825064502575)</f>
        <v>0.3961082506</v>
      </c>
    </row>
    <row r="299">
      <c r="P299" s="3">
        <f>IFERROR(__xludf.DUMMYFUNCTION("""COMPUTED_VALUE"""),0.3742853570657302)</f>
        <v>0.3742853571</v>
      </c>
    </row>
    <row r="300">
      <c r="P300" s="3">
        <f>IFERROR(__xludf.DUMMYFUNCTION("""COMPUTED_VALUE"""),0.8858730862345281)</f>
        <v>0.8858730862</v>
      </c>
    </row>
    <row r="301">
      <c r="P301" s="3">
        <f>IFERROR(__xludf.DUMMYFUNCTION("""COMPUTED_VALUE"""),0.3716711562723771)</f>
        <v>0.3716711563</v>
      </c>
    </row>
    <row r="302">
      <c r="P302" s="3">
        <f>IFERROR(__xludf.DUMMYFUNCTION("""COMPUTED_VALUE"""),1.0)</f>
        <v>1</v>
      </c>
    </row>
    <row r="303">
      <c r="P303" s="3">
        <f>IFERROR(__xludf.DUMMYFUNCTION("""COMPUTED_VALUE"""),1.0)</f>
        <v>1</v>
      </c>
    </row>
    <row r="304">
      <c r="P304" s="3">
        <f>IFERROR(__xludf.DUMMYFUNCTION("""COMPUTED_VALUE"""),1.0)</f>
        <v>1</v>
      </c>
    </row>
    <row r="305">
      <c r="P305" s="3">
        <f>IFERROR(__xludf.DUMMYFUNCTION("""COMPUTED_VALUE"""),0.8129027858287586)</f>
        <v>0.8129027858</v>
      </c>
    </row>
    <row r="306">
      <c r="P306" s="3">
        <f>IFERROR(__xludf.DUMMYFUNCTION("""COMPUTED_VALUE"""),0.45146111092167635)</f>
        <v>0.4514611109</v>
      </c>
    </row>
    <row r="307">
      <c r="P307" s="3">
        <f>IFERROR(__xludf.DUMMYFUNCTION("""COMPUTED_VALUE"""),0.7021970652754573)</f>
        <v>0.7021970653</v>
      </c>
    </row>
    <row r="308">
      <c r="P308" s="3">
        <f>IFERROR(__xludf.DUMMYFUNCTION("""COMPUTED_VALUE"""),0.3941760152760256)</f>
        <v>0.3941760153</v>
      </c>
    </row>
    <row r="309">
      <c r="P309" s="3">
        <f>IFERROR(__xludf.DUMMYFUNCTION("""COMPUTED_VALUE"""),0.2822200247780771)</f>
        <v>0.2822200248</v>
      </c>
    </row>
    <row r="310">
      <c r="P310" s="3">
        <f>IFERROR(__xludf.DUMMYFUNCTION("""COMPUTED_VALUE"""),0.5006762823791501)</f>
        <v>0.5006762824</v>
      </c>
    </row>
    <row r="311">
      <c r="P311" s="3">
        <f>IFERROR(__xludf.DUMMYFUNCTION("""COMPUTED_VALUE"""),0.2106136552210137)</f>
        <v>0.2106136552</v>
      </c>
    </row>
    <row r="312">
      <c r="P312" s="3">
        <f>IFERROR(__xludf.DUMMYFUNCTION("""COMPUTED_VALUE"""),0.2505086325456633)</f>
        <v>0.2505086325</v>
      </c>
    </row>
    <row r="313">
      <c r="P313" s="3">
        <f>IFERROR(__xludf.DUMMYFUNCTION("""COMPUTED_VALUE"""),0.17515145315465844)</f>
        <v>0.1751514532</v>
      </c>
    </row>
    <row r="314">
      <c r="P314" s="3">
        <f>IFERROR(__xludf.DUMMYFUNCTION("""COMPUTED_VALUE"""),0.33234448346802153)</f>
        <v>0.3323444835</v>
      </c>
    </row>
    <row r="315">
      <c r="P315" s="3">
        <f>IFERROR(__xludf.DUMMYFUNCTION("""COMPUTED_VALUE"""),0.2886986963094305)</f>
        <v>0.2886986963</v>
      </c>
    </row>
    <row r="316">
      <c r="P316" s="3">
        <f>IFERROR(__xludf.DUMMYFUNCTION("""COMPUTED_VALUE"""),0.23289119241654452)</f>
        <v>0.2328911924</v>
      </c>
    </row>
    <row r="317">
      <c r="P317" s="3">
        <f>IFERROR(__xludf.DUMMYFUNCTION("""COMPUTED_VALUE"""),0.18560825632807085)</f>
        <v>0.1856082563</v>
      </c>
    </row>
    <row r="318">
      <c r="P318" s="3">
        <f>IFERROR(__xludf.DUMMYFUNCTION("""COMPUTED_VALUE"""),0.41463497800661514)</f>
        <v>0.414634978</v>
      </c>
    </row>
    <row r="319">
      <c r="P319" s="3">
        <f>IFERROR(__xludf.DUMMYFUNCTION("""COMPUTED_VALUE"""),0.33598163239790413)</f>
        <v>0.3359816324</v>
      </c>
    </row>
    <row r="320">
      <c r="P320" s="3">
        <f>IFERROR(__xludf.DUMMYFUNCTION("""COMPUTED_VALUE"""),0.2693763426194292)</f>
        <v>0.2693763426</v>
      </c>
    </row>
    <row r="321">
      <c r="P321" s="3">
        <f>IFERROR(__xludf.DUMMYFUNCTION("""COMPUTED_VALUE"""),0.23209556608813273)</f>
        <v>0.2320955661</v>
      </c>
    </row>
    <row r="322">
      <c r="P322" s="3">
        <f>IFERROR(__xludf.DUMMYFUNCTION("""COMPUTED_VALUE"""),0.0)</f>
        <v>0</v>
      </c>
    </row>
    <row r="323">
      <c r="P323" s="3">
        <f>IFERROR(__xludf.DUMMYFUNCTION("""COMPUTED_VALUE"""),0.6730998738363966)</f>
        <v>0.6730998738</v>
      </c>
    </row>
    <row r="324">
      <c r="P324" s="3">
        <f>IFERROR(__xludf.DUMMYFUNCTION("""COMPUTED_VALUE"""),0.28426592105113613)</f>
        <v>0.2842659211</v>
      </c>
    </row>
    <row r="325">
      <c r="P325" s="3">
        <f>IFERROR(__xludf.DUMMYFUNCTION("""COMPUTED_VALUE"""),0.2882440526931952)</f>
        <v>0.2882440527</v>
      </c>
    </row>
    <row r="326">
      <c r="P326" s="3">
        <f>IFERROR(__xludf.DUMMYFUNCTION("""COMPUTED_VALUE"""),0.08354076448324071)</f>
        <v>0.08354076448</v>
      </c>
    </row>
    <row r="327">
      <c r="P327" s="3">
        <f>IFERROR(__xludf.DUMMYFUNCTION("""COMPUTED_VALUE"""),0.05978563553494506)</f>
        <v>0.05978563553</v>
      </c>
    </row>
    <row r="328">
      <c r="P328" s="3">
        <f>IFERROR(__xludf.DUMMYFUNCTION("""COMPUTED_VALUE"""),0.09990793466771236)</f>
        <v>0.09990793467</v>
      </c>
    </row>
    <row r="329">
      <c r="P329" s="3">
        <f>IFERROR(__xludf.DUMMYFUNCTION("""COMPUTED_VALUE"""),0.45805344335708853)</f>
        <v>0.4580534434</v>
      </c>
    </row>
    <row r="330">
      <c r="P330" s="3">
        <f>IFERROR(__xludf.DUMMYFUNCTION("""COMPUTED_VALUE"""),0.0)</f>
        <v>0</v>
      </c>
    </row>
    <row r="331">
      <c r="P331" s="3">
        <f>IFERROR(__xludf.DUMMYFUNCTION("""COMPUTED_VALUE"""),0.48203589411350184)</f>
        <v>0.4820358941</v>
      </c>
    </row>
    <row r="332">
      <c r="P332" s="3">
        <f>IFERROR(__xludf.DUMMYFUNCTION("""COMPUTED_VALUE"""),0.5400029551835056)</f>
        <v>0.5400029552</v>
      </c>
    </row>
    <row r="333">
      <c r="P333" s="3">
        <f>IFERROR(__xludf.DUMMYFUNCTION("""COMPUTED_VALUE"""),0.5227264977665633)</f>
        <v>0.5227264978</v>
      </c>
    </row>
    <row r="334">
      <c r="P334" s="3">
        <f>IFERROR(__xludf.DUMMYFUNCTION("""COMPUTED_VALUE"""),0.0)</f>
        <v>0</v>
      </c>
    </row>
    <row r="335">
      <c r="P335" s="3">
        <f>IFERROR(__xludf.DUMMYFUNCTION("""COMPUTED_VALUE"""),1.0)</f>
        <v>1</v>
      </c>
    </row>
    <row r="336">
      <c r="P336" s="3">
        <f>IFERROR(__xludf.DUMMYFUNCTION("""COMPUTED_VALUE"""),0.29199486252713663)</f>
        <v>0.2919948625</v>
      </c>
    </row>
    <row r="337">
      <c r="P337" s="3">
        <f>IFERROR(__xludf.DUMMYFUNCTION("""COMPUTED_VALUE"""),0.0)</f>
        <v>0</v>
      </c>
    </row>
    <row r="338">
      <c r="P338" s="3">
        <f>IFERROR(__xludf.DUMMYFUNCTION("""COMPUTED_VALUE"""),0.3796274195564952)</f>
        <v>0.3796274196</v>
      </c>
    </row>
    <row r="339">
      <c r="P339" s="3">
        <f>IFERROR(__xludf.DUMMYFUNCTION("""COMPUTED_VALUE"""),0.1776519930439527)</f>
        <v>0.177651993</v>
      </c>
    </row>
    <row r="340">
      <c r="P340" s="3">
        <f>IFERROR(__xludf.DUMMYFUNCTION("""COMPUTED_VALUE"""),0.24516657005489828)</f>
        <v>0.2451665701</v>
      </c>
    </row>
    <row r="341">
      <c r="P341" s="3">
        <f>IFERROR(__xludf.DUMMYFUNCTION("""COMPUTED_VALUE"""),0.16503563269342247)</f>
        <v>0.1650356327</v>
      </c>
    </row>
    <row r="342">
      <c r="P342" s="3">
        <f>IFERROR(__xludf.DUMMYFUNCTION("""COMPUTED_VALUE"""),0.07797138018435801)</f>
        <v>0.07797138018</v>
      </c>
    </row>
    <row r="343">
      <c r="P343" s="3">
        <f>IFERROR(__xludf.DUMMYFUNCTION("""COMPUTED_VALUE"""),0.07512985758288723)</f>
        <v>0.07512985758</v>
      </c>
    </row>
    <row r="344">
      <c r="P344" s="3">
        <f>IFERROR(__xludf.DUMMYFUNCTION("""COMPUTED_VALUE"""),0.1643536672690695)</f>
        <v>0.1643536673</v>
      </c>
    </row>
    <row r="345">
      <c r="P345" s="3">
        <f>IFERROR(__xludf.DUMMYFUNCTION("""COMPUTED_VALUE"""),0.16890010343142273)</f>
        <v>0.1689001034</v>
      </c>
    </row>
    <row r="346">
      <c r="P346" s="3">
        <f>IFERROR(__xludf.DUMMYFUNCTION("""COMPUTED_VALUE"""),0.10911446789647766)</f>
        <v>0.1091144679</v>
      </c>
    </row>
    <row r="347">
      <c r="P347" s="3">
        <f>IFERROR(__xludf.DUMMYFUNCTION("""COMPUTED_VALUE"""),0.13446084950159698)</f>
        <v>0.1344608495</v>
      </c>
    </row>
    <row r="348">
      <c r="P348" s="3">
        <f>IFERROR(__xludf.DUMMYFUNCTION("""COMPUTED_VALUE"""),0.13377888407724398)</f>
        <v>0.1337788841</v>
      </c>
    </row>
    <row r="349">
      <c r="P349" s="3">
        <f>IFERROR(__xludf.DUMMYFUNCTION("""COMPUTED_VALUE"""),0.12707289073777295)</f>
        <v>0.1270728907</v>
      </c>
    </row>
  </sheetData>
  <drawing r:id="rId1"/>
</worksheet>
</file>