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ormalised" sheetId="2" r:id="rId6"/>
  </sheets>
  <definedNames/>
  <calcPr/>
</workbook>
</file>

<file path=xl/sharedStrings.xml><?xml version="1.0" encoding="utf-8"?>
<sst xmlns="http://schemas.openxmlformats.org/spreadsheetml/2006/main" count="89" uniqueCount="46">
  <si>
    <t>(P/E)2025</t>
  </si>
  <si>
    <t>(P/E)2024</t>
  </si>
  <si>
    <t>(P/E)2023</t>
  </si>
  <si>
    <t>(P/E)2022</t>
  </si>
  <si>
    <t>(P/E)2021</t>
  </si>
  <si>
    <t>(P/E)2020</t>
  </si>
  <si>
    <t>(P/E)2019</t>
  </si>
  <si>
    <t>(P/E)2018</t>
  </si>
  <si>
    <t>(P/E)2017</t>
  </si>
  <si>
    <t>(P/E)2016</t>
  </si>
  <si>
    <t>(P/E)2015</t>
  </si>
  <si>
    <t>(P/E)2014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</si>
  <si>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</si>
  <si>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</si>
  <si>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</si>
  <si>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</si>
  <si>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</si>
  <si>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</si>
  <si>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</si>
  <si>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</si>
  <si>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</si>
  <si>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</si>
  <si>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</si>
  <si>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</si>
  <si>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</si>
  <si>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</si>
  <si>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</si>
  <si>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</si>
  <si>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</si>
  <si>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</si>
  <si>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</si>
  <si>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</si>
  <si>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</si>
  <si>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</si>
  <si>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</si>
  <si>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</si>
  <si>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</si>
  <si>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</si>
  <si>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</si>
  <si>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</si>
  <si>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</si>
  <si>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Global min</t>
  </si>
  <si>
    <t>Global Max</t>
  </si>
  <si>
    <t>percentile min</t>
  </si>
  <si>
    <t>percentile max</t>
  </si>
  <si>
    <t>flattened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</si>
</sst>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  <font>
      <color rgb="FF181A1B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top style="thin">
        <color rgb="FF000000"/>
      </top>
      <bottom style="thin">
        <color rgb="FF363A3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right" vertical="bottom"/>
    </xf>
    <xf borderId="1" fillId="0" fontId="4" numFmtId="0" xfId="0" applyAlignment="1" applyBorder="1" applyFont="1">
      <alignment horizontal="right"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36</xdr:row>
      <xdr:rowOff>171450</xdr:rowOff>
    </xdr:from>
    <xdr:ext cx="10810875" cy="6677025"/>
    <xdr:pic>
      <xdr:nvPicPr>
        <xdr:cNvPr id="201229266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</row>
    <row r="2">
      <c r="A2" s="1" t="s">
        <v>12</v>
      </c>
      <c r="B2" s="3">
        <v>23.0195</v>
      </c>
      <c r="C2" s="3">
        <v>35.731</v>
      </c>
      <c r="D2" s="3">
        <v>25.7038</v>
      </c>
      <c r="E2" s="3">
        <v>34.5735</v>
      </c>
      <c r="F2" s="3">
        <v>28.5903</v>
      </c>
      <c r="G2" s="3">
        <v>13.6948</v>
      </c>
      <c r="H2" s="3">
        <v>19.616</v>
      </c>
      <c r="I2" s="3">
        <v>19.9915</v>
      </c>
      <c r="J2" s="3">
        <v>17.9884</v>
      </c>
      <c r="K2" s="3">
        <v>17.7055</v>
      </c>
      <c r="L2" s="3">
        <v>27.5537</v>
      </c>
      <c r="M2" s="3">
        <v>22.1893</v>
      </c>
      <c r="N2" s="3">
        <v>63.79729999999998</v>
      </c>
    </row>
    <row r="3">
      <c r="A3" s="1" t="s">
        <v>13</v>
      </c>
      <c r="B3" s="3">
        <v>34.9725</v>
      </c>
      <c r="C3" s="3">
        <v>49.9737</v>
      </c>
      <c r="D3" s="3">
        <v>64.4793</v>
      </c>
      <c r="E3" s="3">
        <v>97.5546</v>
      </c>
      <c r="F3" s="3">
        <v>77.5053</v>
      </c>
      <c r="G3" s="3">
        <v>59.1028</v>
      </c>
      <c r="H3" s="3">
        <v>66.3657</v>
      </c>
      <c r="I3" s="3">
        <v>52.714</v>
      </c>
      <c r="J3" s="3">
        <v>52.9773</v>
      </c>
      <c r="K3" s="3">
        <v>47.757</v>
      </c>
      <c r="L3" s="3">
        <v>55.6224</v>
      </c>
      <c r="M3" s="3">
        <v>42.9976</v>
      </c>
      <c r="N3" s="3">
        <v>63.79729999999998</v>
      </c>
    </row>
    <row r="4">
      <c r="A4" s="1" t="s">
        <v>14</v>
      </c>
      <c r="B4" s="3">
        <v>12.1462</v>
      </c>
      <c r="C4" s="3">
        <v>12.2436</v>
      </c>
      <c r="D4" s="3">
        <v>24.3878</v>
      </c>
      <c r="E4" s="3">
        <v>16.5215</v>
      </c>
      <c r="F4" s="3">
        <v>28.8342</v>
      </c>
      <c r="G4" s="3">
        <v>55.5344</v>
      </c>
      <c r="H4" s="3">
        <v>39.5767</v>
      </c>
      <c r="I4" s="3">
        <v>121.41018499999996</v>
      </c>
      <c r="J4" s="3">
        <v>29.6735</v>
      </c>
      <c r="K4" s="3">
        <v>12.658</v>
      </c>
      <c r="L4" s="3">
        <v>17.7567</v>
      </c>
      <c r="M4" s="3">
        <v>10.8559</v>
      </c>
      <c r="N4" s="3">
        <v>63.79729999999998</v>
      </c>
    </row>
    <row r="5">
      <c r="A5" s="1" t="s">
        <v>15</v>
      </c>
      <c r="B5" s="3">
        <v>121.41018499999996</v>
      </c>
      <c r="C5" s="3">
        <v>121.41018499999996</v>
      </c>
      <c r="D5" s="3">
        <v>121.41018499999996</v>
      </c>
      <c r="E5" s="3">
        <v>25.3549</v>
      </c>
      <c r="F5" s="3">
        <v>18.33</v>
      </c>
      <c r="G5" s="3">
        <v>10.4679</v>
      </c>
      <c r="H5" s="3">
        <v>14.9523</v>
      </c>
      <c r="I5" s="3">
        <v>10.6291</v>
      </c>
      <c r="J5" s="3">
        <v>8.2625</v>
      </c>
      <c r="K5" s="3">
        <v>59.1734</v>
      </c>
      <c r="L5" s="3">
        <v>38.5711</v>
      </c>
      <c r="M5" s="3">
        <v>18.4541</v>
      </c>
      <c r="N5" s="3">
        <v>63.79729999999998</v>
      </c>
    </row>
    <row r="6">
      <c r="A6" s="1" t="s">
        <v>16</v>
      </c>
      <c r="B6" s="3">
        <v>7.4587</v>
      </c>
      <c r="C6" s="3">
        <v>6.9385</v>
      </c>
      <c r="D6" s="3">
        <v>6.6465</v>
      </c>
      <c r="E6" s="3">
        <v>121.41018499999996</v>
      </c>
      <c r="F6" s="3">
        <v>121.41018499999996</v>
      </c>
      <c r="G6" s="3">
        <v>51.1279</v>
      </c>
      <c r="H6" s="3">
        <v>101.4777</v>
      </c>
      <c r="I6" s="3">
        <v>108.9304</v>
      </c>
      <c r="J6" s="3">
        <v>120.1941</v>
      </c>
      <c r="K6" s="3">
        <v>7.031</v>
      </c>
      <c r="L6" s="3">
        <v>7.7217</v>
      </c>
      <c r="M6" s="3">
        <v>6.184415000000001</v>
      </c>
      <c r="N6" s="3">
        <v>63.79729999999998</v>
      </c>
    </row>
    <row r="7">
      <c r="A7" s="1" t="s">
        <v>17</v>
      </c>
      <c r="B7" s="3">
        <v>41.3736</v>
      </c>
      <c r="C7" s="3">
        <v>36.9633</v>
      </c>
      <c r="D7" s="3">
        <v>23.8509</v>
      </c>
      <c r="E7" s="3">
        <v>21.4061</v>
      </c>
      <c r="F7" s="3">
        <v>14.5128</v>
      </c>
      <c r="G7" s="3">
        <v>9.9266</v>
      </c>
      <c r="H7" s="3">
        <v>12.0543</v>
      </c>
      <c r="I7" s="3">
        <v>24.3654</v>
      </c>
      <c r="J7" s="3">
        <v>26.3215</v>
      </c>
      <c r="K7" s="3">
        <v>121.41018499999996</v>
      </c>
      <c r="L7" s="3">
        <v>22.3672</v>
      </c>
      <c r="M7" s="3">
        <v>9.6262</v>
      </c>
      <c r="N7" s="3">
        <v>63.79729999999998</v>
      </c>
    </row>
    <row r="8">
      <c r="A8" s="1" t="s">
        <v>18</v>
      </c>
      <c r="B8" s="3">
        <v>29.844</v>
      </c>
      <c r="C8" s="3">
        <v>93.8923</v>
      </c>
      <c r="D8" s="4">
        <v>50.6081</v>
      </c>
      <c r="E8" s="3">
        <v>98.4876</v>
      </c>
      <c r="F8" s="3">
        <v>6.184415000000001</v>
      </c>
      <c r="G8" s="3">
        <v>6.184415000000001</v>
      </c>
      <c r="H8" s="3">
        <v>121.41018499999996</v>
      </c>
      <c r="I8" s="4">
        <v>121.41018499999996</v>
      </c>
      <c r="J8" s="3">
        <v>36.7981</v>
      </c>
      <c r="K8" s="3">
        <v>23.0703</v>
      </c>
      <c r="L8" s="3">
        <v>34.0744</v>
      </c>
      <c r="M8" s="3">
        <v>45.4274</v>
      </c>
      <c r="N8" s="3">
        <v>63.79729999999998</v>
      </c>
    </row>
    <row r="9">
      <c r="A9" s="1" t="s">
        <v>19</v>
      </c>
      <c r="B9" s="3">
        <v>24.7966</v>
      </c>
      <c r="C9" s="3">
        <v>26.6132</v>
      </c>
      <c r="D9" s="3">
        <v>19.8031</v>
      </c>
      <c r="E9" s="3">
        <v>23.3745</v>
      </c>
      <c r="F9" s="3">
        <v>23.9457</v>
      </c>
      <c r="G9" s="3">
        <v>10.7178</v>
      </c>
      <c r="H9" s="3">
        <v>14.7866</v>
      </c>
      <c r="I9" s="3">
        <v>15.5793</v>
      </c>
      <c r="J9" s="3">
        <v>14.4712</v>
      </c>
      <c r="K9" s="3">
        <v>20.4612</v>
      </c>
      <c r="L9" s="3">
        <v>18.8069</v>
      </c>
      <c r="M9" s="3">
        <v>14.9227</v>
      </c>
      <c r="N9" s="3">
        <v>63.79729999999998</v>
      </c>
    </row>
    <row r="10">
      <c r="A10" s="1" t="s">
        <v>20</v>
      </c>
      <c r="B10" s="3">
        <v>20.7102</v>
      </c>
      <c r="C10" s="3">
        <v>16.8729</v>
      </c>
      <c r="D10" s="3">
        <v>20.3123</v>
      </c>
      <c r="E10" s="3">
        <v>22.0052</v>
      </c>
      <c r="F10" s="3">
        <v>26.3971</v>
      </c>
      <c r="G10" s="3">
        <v>17.9546</v>
      </c>
      <c r="H10" s="3">
        <v>29.4533</v>
      </c>
      <c r="I10" s="3">
        <v>27.914</v>
      </c>
      <c r="J10" s="3">
        <v>25.2239</v>
      </c>
      <c r="K10" s="3">
        <v>21.9328</v>
      </c>
      <c r="L10" s="3">
        <v>24.2669</v>
      </c>
      <c r="M10" s="3">
        <v>21.1122</v>
      </c>
      <c r="N10" s="3">
        <v>63.79729999999998</v>
      </c>
    </row>
    <row r="11">
      <c r="A11" s="1" t="s">
        <v>21</v>
      </c>
      <c r="B11" s="3">
        <v>49.8533</v>
      </c>
      <c r="C11" s="3">
        <v>51.8576</v>
      </c>
      <c r="D11" s="3">
        <v>59.4091</v>
      </c>
      <c r="E11" s="3">
        <v>54.2167</v>
      </c>
      <c r="F11" s="3">
        <v>71.4311</v>
      </c>
      <c r="G11" s="3">
        <v>73.7295</v>
      </c>
      <c r="H11" s="3">
        <v>61.0583</v>
      </c>
      <c r="I11" s="3">
        <v>55.4545</v>
      </c>
      <c r="J11" s="3">
        <v>43.9918</v>
      </c>
      <c r="K11" s="3">
        <v>45.5236</v>
      </c>
      <c r="L11" s="3">
        <v>43.2771</v>
      </c>
      <c r="M11" s="3">
        <v>33.0948</v>
      </c>
      <c r="N11" s="3">
        <v>63.79729999999998</v>
      </c>
    </row>
    <row r="12">
      <c r="A12" s="1" t="s">
        <v>22</v>
      </c>
      <c r="B12" s="3">
        <v>18.6217</v>
      </c>
      <c r="C12" s="3">
        <v>17.3421</v>
      </c>
      <c r="D12" s="3">
        <v>17.9533</v>
      </c>
      <c r="E12" s="3">
        <v>20.1671</v>
      </c>
      <c r="F12" s="3">
        <v>21.3225</v>
      </c>
      <c r="G12" s="3">
        <v>21.9109</v>
      </c>
      <c r="H12" s="3">
        <v>60.3404</v>
      </c>
      <c r="I12" s="3">
        <v>23.1614</v>
      </c>
      <c r="J12" s="3">
        <v>17.4167</v>
      </c>
      <c r="K12" s="3">
        <v>13.494</v>
      </c>
      <c r="L12" s="3">
        <v>14.8937</v>
      </c>
      <c r="M12" s="3">
        <v>13.0209</v>
      </c>
      <c r="N12" s="3">
        <v>63.79729999999998</v>
      </c>
    </row>
    <row r="13">
      <c r="A13" s="1" t="s">
        <v>23</v>
      </c>
      <c r="B13" s="3">
        <v>24.3473</v>
      </c>
      <c r="C13" s="3">
        <v>23.6441</v>
      </c>
      <c r="D13" s="3">
        <v>23.9007</v>
      </c>
      <c r="E13" s="3">
        <v>36.3138</v>
      </c>
      <c r="F13" s="3">
        <v>29.9879</v>
      </c>
      <c r="G13" s="3">
        <v>16.4306</v>
      </c>
      <c r="H13" s="3">
        <v>20.9453</v>
      </c>
      <c r="I13" s="3">
        <v>15.9617</v>
      </c>
      <c r="J13" s="3">
        <v>16.2548</v>
      </c>
      <c r="K13" s="3">
        <v>20.6362</v>
      </c>
      <c r="L13" s="3">
        <v>20.4748</v>
      </c>
      <c r="M13" s="3">
        <v>17.5819</v>
      </c>
      <c r="N13" s="3">
        <v>63.79729999999998</v>
      </c>
    </row>
    <row r="14">
      <c r="A14" s="1" t="s">
        <v>24</v>
      </c>
      <c r="B14" s="3">
        <v>14.7463</v>
      </c>
      <c r="C14" s="3">
        <v>26.0993</v>
      </c>
      <c r="D14" s="3">
        <v>24.7387</v>
      </c>
      <c r="E14" s="3">
        <v>20.2749</v>
      </c>
      <c r="F14" s="3">
        <v>20.4206</v>
      </c>
      <c r="G14" s="3">
        <v>13.7931</v>
      </c>
      <c r="H14" s="3">
        <v>28.8058</v>
      </c>
      <c r="I14" s="3">
        <v>27.635</v>
      </c>
      <c r="J14" s="3">
        <v>32.9941</v>
      </c>
      <c r="K14" s="3">
        <v>42.329</v>
      </c>
      <c r="L14" s="3">
        <v>26.8745</v>
      </c>
      <c r="M14" s="3">
        <v>31.4572</v>
      </c>
      <c r="N14" s="3">
        <v>63.79729999999998</v>
      </c>
    </row>
    <row r="15">
      <c r="A15" s="1" t="s">
        <v>25</v>
      </c>
      <c r="B15" s="3">
        <v>19.5103</v>
      </c>
      <c r="C15" s="3">
        <v>19.5276</v>
      </c>
      <c r="D15" s="3">
        <v>23.1257</v>
      </c>
      <c r="E15" s="3">
        <v>28.8792</v>
      </c>
      <c r="F15" s="3">
        <v>34.7121</v>
      </c>
      <c r="G15" s="3">
        <v>28.9817</v>
      </c>
      <c r="H15" s="3">
        <v>35.356</v>
      </c>
      <c r="I15" s="3">
        <v>32.0673</v>
      </c>
      <c r="J15" s="3">
        <v>32.4321</v>
      </c>
      <c r="K15" s="3">
        <v>36.0127</v>
      </c>
      <c r="L15" s="3">
        <v>33.2527</v>
      </c>
      <c r="M15" s="3">
        <v>24.169</v>
      </c>
      <c r="N15" s="3">
        <v>63.79729999999998</v>
      </c>
    </row>
    <row r="16">
      <c r="A16" s="1" t="s">
        <v>26</v>
      </c>
      <c r="B16" s="3">
        <v>31.9221</v>
      </c>
      <c r="C16" s="3">
        <v>40.1671</v>
      </c>
      <c r="D16" s="3">
        <v>29.0531</v>
      </c>
      <c r="E16" s="3">
        <v>28.6412</v>
      </c>
      <c r="F16" s="3">
        <v>17.1942</v>
      </c>
      <c r="G16" s="3">
        <v>11.8585</v>
      </c>
      <c r="H16" s="3">
        <v>21.7926</v>
      </c>
      <c r="I16" s="3">
        <v>24.9316</v>
      </c>
      <c r="J16" s="3">
        <v>36.5185</v>
      </c>
      <c r="K16" s="3">
        <v>26.7414</v>
      </c>
      <c r="L16" s="3">
        <v>33.4892</v>
      </c>
      <c r="M16" s="3">
        <v>24.0259</v>
      </c>
      <c r="N16" s="3">
        <v>63.79729999999998</v>
      </c>
    </row>
    <row r="17">
      <c r="A17" s="1" t="s">
        <v>27</v>
      </c>
      <c r="B17" s="3">
        <v>23.0036</v>
      </c>
      <c r="C17" s="3">
        <v>18.9969</v>
      </c>
      <c r="D17" s="3">
        <v>12.5371</v>
      </c>
      <c r="E17" s="3">
        <v>13.6115</v>
      </c>
      <c r="F17" s="3">
        <v>48.6895</v>
      </c>
      <c r="G17" s="3">
        <v>6.184415000000001</v>
      </c>
      <c r="H17" s="3">
        <v>13.7354</v>
      </c>
      <c r="I17" s="3">
        <v>10.6965</v>
      </c>
      <c r="J17" s="3">
        <v>37.6083</v>
      </c>
      <c r="K17" s="3">
        <v>21.3079</v>
      </c>
      <c r="L17" s="3">
        <v>22.3485</v>
      </c>
      <c r="M17" s="3">
        <v>12.4039</v>
      </c>
      <c r="N17" s="3">
        <v>63.79729999999998</v>
      </c>
    </row>
    <row r="18">
      <c r="A18" s="1" t="s">
        <v>28</v>
      </c>
      <c r="B18" s="3">
        <v>24.9815</v>
      </c>
      <c r="C18" s="3">
        <v>29.4005</v>
      </c>
      <c r="D18" s="3">
        <v>30.5079</v>
      </c>
      <c r="E18" s="3">
        <v>58.864</v>
      </c>
      <c r="F18" s="3">
        <v>47.2109</v>
      </c>
      <c r="G18" s="3">
        <v>22.8132</v>
      </c>
      <c r="H18" s="3">
        <v>26.3433</v>
      </c>
      <c r="I18" s="3">
        <v>33.974</v>
      </c>
      <c r="J18" s="3">
        <v>24.229</v>
      </c>
      <c r="K18" s="3">
        <v>20.4369</v>
      </c>
      <c r="L18" s="3">
        <v>29.3498</v>
      </c>
      <c r="M18" s="3">
        <v>20.8746</v>
      </c>
      <c r="N18" s="3">
        <v>63.79729999999998</v>
      </c>
    </row>
    <row r="19">
      <c r="A19" s="1" t="s">
        <v>29</v>
      </c>
      <c r="B19" s="3">
        <v>17.5836</v>
      </c>
      <c r="C19" s="3">
        <v>15.6547</v>
      </c>
      <c r="D19" s="3">
        <v>10.0487</v>
      </c>
      <c r="E19" s="3">
        <v>7.8459</v>
      </c>
      <c r="F19" s="3">
        <v>7.1587</v>
      </c>
      <c r="G19" s="3">
        <v>7.1843</v>
      </c>
      <c r="H19" s="3">
        <v>9.7514</v>
      </c>
      <c r="I19" s="3">
        <v>15.9193</v>
      </c>
      <c r="J19" s="3">
        <v>12.7654</v>
      </c>
      <c r="K19" s="3">
        <v>9.8321</v>
      </c>
      <c r="L19" s="3">
        <v>12.1676</v>
      </c>
      <c r="M19" s="3">
        <v>8.6732</v>
      </c>
      <c r="N19" s="3">
        <v>63.79729999999998</v>
      </c>
    </row>
    <row r="20">
      <c r="A20" s="1" t="s">
        <v>30</v>
      </c>
      <c r="B20" s="3">
        <v>17.4026</v>
      </c>
      <c r="C20" s="3">
        <v>15.9591</v>
      </c>
      <c r="D20" s="3">
        <v>10.2127</v>
      </c>
      <c r="E20" s="3">
        <v>8.9905</v>
      </c>
      <c r="F20" s="3">
        <v>9.372</v>
      </c>
      <c r="G20" s="3">
        <v>7.5213</v>
      </c>
      <c r="H20" s="3">
        <v>10.3285</v>
      </c>
      <c r="I20" s="3">
        <v>12.3629</v>
      </c>
      <c r="J20" s="3">
        <v>13.8483</v>
      </c>
      <c r="K20" s="3">
        <v>12.2125</v>
      </c>
      <c r="L20" s="3">
        <v>15.0622</v>
      </c>
      <c r="M20" s="3">
        <v>11.0929</v>
      </c>
      <c r="N20" s="3">
        <v>63.79729999999998</v>
      </c>
    </row>
    <row r="21">
      <c r="A21" s="1" t="s">
        <v>31</v>
      </c>
      <c r="B21" s="3">
        <v>24.7717</v>
      </c>
      <c r="C21" s="3">
        <v>28.9291</v>
      </c>
      <c r="D21" s="3">
        <v>23.6439</v>
      </c>
      <c r="E21" s="3">
        <v>28.6299</v>
      </c>
      <c r="F21" s="3">
        <v>26.2302</v>
      </c>
      <c r="G21" s="3">
        <v>17.6383</v>
      </c>
      <c r="H21" s="3">
        <v>20.3988</v>
      </c>
      <c r="I21" s="3">
        <v>14.4864</v>
      </c>
      <c r="J21" s="3">
        <v>13.0188</v>
      </c>
      <c r="K21" s="3">
        <v>10.3521</v>
      </c>
      <c r="L21" s="3">
        <v>10.2946</v>
      </c>
      <c r="M21" s="3">
        <v>12.1424</v>
      </c>
      <c r="N21" s="3">
        <v>63.79729999999998</v>
      </c>
    </row>
    <row r="22">
      <c r="A22" s="1" t="s">
        <v>32</v>
      </c>
      <c r="B22" s="3">
        <v>8.8781</v>
      </c>
      <c r="C22" s="3">
        <v>10.012</v>
      </c>
      <c r="D22" s="3">
        <v>8.3994</v>
      </c>
      <c r="E22" s="3">
        <v>12.447</v>
      </c>
      <c r="F22" s="3">
        <v>14.5102</v>
      </c>
      <c r="G22" s="3">
        <v>8.8916</v>
      </c>
      <c r="H22" s="3">
        <v>121.41018499999996</v>
      </c>
      <c r="I22" s="3">
        <v>6.184415000000001</v>
      </c>
      <c r="J22" s="3">
        <v>121.41018499999996</v>
      </c>
      <c r="K22" s="3">
        <v>12.1818</v>
      </c>
      <c r="L22" s="3">
        <v>11.7311</v>
      </c>
      <c r="M22" s="3">
        <v>10.1043</v>
      </c>
      <c r="N22" s="3">
        <v>63.79729999999998</v>
      </c>
    </row>
    <row r="23">
      <c r="A23" s="1" t="s">
        <v>33</v>
      </c>
      <c r="B23" s="3">
        <v>38.0581</v>
      </c>
      <c r="C23" s="3">
        <v>40.614</v>
      </c>
      <c r="D23" s="3">
        <v>27.8499</v>
      </c>
      <c r="E23" s="3">
        <v>67.2647</v>
      </c>
      <c r="F23" s="3">
        <v>49.3884</v>
      </c>
      <c r="G23" s="3">
        <v>22.4331</v>
      </c>
      <c r="H23" s="3">
        <v>43.1757</v>
      </c>
      <c r="I23" s="3">
        <v>55.0444</v>
      </c>
      <c r="J23" s="3">
        <v>23.7138</v>
      </c>
      <c r="K23" s="3">
        <v>43.3571</v>
      </c>
      <c r="L23" s="3">
        <v>30.336</v>
      </c>
      <c r="M23" s="3">
        <v>37.7204</v>
      </c>
      <c r="N23" s="3">
        <v>63.79729999999998</v>
      </c>
    </row>
    <row r="24">
      <c r="A24" s="1" t="s">
        <v>34</v>
      </c>
      <c r="B24" s="3">
        <v>8.5539</v>
      </c>
      <c r="C24" s="3">
        <v>12.1171</v>
      </c>
      <c r="D24" s="3">
        <v>66.868</v>
      </c>
      <c r="E24" s="3">
        <v>6.184415000000001</v>
      </c>
      <c r="F24" s="3">
        <v>6.184415000000001</v>
      </c>
      <c r="G24" s="3">
        <v>6.184415000000001</v>
      </c>
      <c r="H24" s="3">
        <v>6.184415000000001</v>
      </c>
      <c r="I24" s="3">
        <v>12.3753</v>
      </c>
      <c r="J24" s="3">
        <v>21.2375</v>
      </c>
      <c r="K24" s="3">
        <v>11.2788</v>
      </c>
      <c r="L24" s="3">
        <v>12.66</v>
      </c>
      <c r="M24" s="3">
        <v>9.1554</v>
      </c>
      <c r="N24" s="3">
        <v>63.79729999999998</v>
      </c>
    </row>
    <row r="25">
      <c r="A25" s="1" t="s">
        <v>35</v>
      </c>
      <c r="B25" s="3">
        <v>56.2956</v>
      </c>
      <c r="C25" s="3">
        <v>6.184415000000001</v>
      </c>
      <c r="D25" s="3">
        <v>14.5746</v>
      </c>
      <c r="E25" s="3">
        <v>6.184415000000001</v>
      </c>
      <c r="F25" s="3">
        <v>12.7305</v>
      </c>
      <c r="G25" s="3">
        <v>22.7445</v>
      </c>
      <c r="H25" s="3">
        <v>6.184415000000001</v>
      </c>
      <c r="I25" s="3">
        <v>6.184415000000001</v>
      </c>
      <c r="J25" s="3">
        <v>6.184415000000001</v>
      </c>
      <c r="K25" s="3">
        <v>6.184415000000001</v>
      </c>
      <c r="L25" s="3">
        <v>6.184415000000001</v>
      </c>
      <c r="M25" s="3">
        <v>11.1921</v>
      </c>
      <c r="N25" s="3">
        <v>63.79729999999998</v>
      </c>
    </row>
    <row r="26">
      <c r="A26" s="1" t="s">
        <v>36</v>
      </c>
      <c r="B26" s="3">
        <v>26.8608</v>
      </c>
      <c r="C26" s="3">
        <v>30.8512</v>
      </c>
      <c r="D26" s="3">
        <v>27.8305</v>
      </c>
      <c r="E26" s="3">
        <v>36.0818</v>
      </c>
      <c r="F26" s="3">
        <v>36.6463</v>
      </c>
      <c r="G26" s="3">
        <v>21.1515</v>
      </c>
      <c r="H26" s="3">
        <v>24.0867</v>
      </c>
      <c r="I26" s="3">
        <v>21.2333</v>
      </c>
      <c r="J26" s="3">
        <v>18.2228</v>
      </c>
      <c r="K26" s="3">
        <v>20.4258</v>
      </c>
      <c r="L26" s="3">
        <v>25.1312</v>
      </c>
      <c r="M26" s="3">
        <v>21.7902</v>
      </c>
      <c r="N26" s="3">
        <v>63.79729999999998</v>
      </c>
    </row>
    <row r="27">
      <c r="A27" s="1" t="s">
        <v>37</v>
      </c>
      <c r="B27" s="3">
        <v>29.5417</v>
      </c>
      <c r="C27" s="3">
        <v>46.9017</v>
      </c>
      <c r="D27" s="3">
        <v>20.1214</v>
      </c>
      <c r="E27" s="3">
        <v>23.6781</v>
      </c>
      <c r="F27" s="3">
        <v>19.5744</v>
      </c>
      <c r="G27" s="3">
        <v>12.2257</v>
      </c>
      <c r="H27" s="3">
        <v>16.014</v>
      </c>
      <c r="I27" s="3">
        <v>14.8373</v>
      </c>
      <c r="J27" s="3">
        <v>14.2999</v>
      </c>
      <c r="K27" s="3">
        <v>13.7772</v>
      </c>
      <c r="L27" s="3">
        <v>22.9224</v>
      </c>
      <c r="M27" s="3">
        <v>13.7777</v>
      </c>
      <c r="N27" s="3">
        <v>63.79729999999998</v>
      </c>
    </row>
    <row r="28">
      <c r="A28" s="1" t="s">
        <v>38</v>
      </c>
      <c r="B28" s="3">
        <v>81.4407</v>
      </c>
      <c r="C28" s="3">
        <v>96.5673</v>
      </c>
      <c r="D28" s="3">
        <v>68.6998</v>
      </c>
      <c r="E28" s="3">
        <v>103.559</v>
      </c>
      <c r="F28" s="3">
        <v>121.41018499999996</v>
      </c>
      <c r="G28" s="3">
        <v>55.204</v>
      </c>
      <c r="H28" s="3">
        <v>71.9027</v>
      </c>
      <c r="I28" s="3">
        <v>73.8196</v>
      </c>
      <c r="J28" s="3">
        <v>56.4627</v>
      </c>
      <c r="K28" s="3">
        <v>44.5789</v>
      </c>
      <c r="L28" s="3">
        <v>42.6551</v>
      </c>
      <c r="M28" s="3">
        <v>31.6969</v>
      </c>
      <c r="N28" s="3">
        <v>63.79729999999998</v>
      </c>
    </row>
    <row r="29">
      <c r="A29" s="1" t="s">
        <v>39</v>
      </c>
      <c r="B29" s="3">
        <v>121.41018499999996</v>
      </c>
      <c r="C29" s="3">
        <v>94.4154</v>
      </c>
      <c r="D29" s="3">
        <v>109.92</v>
      </c>
      <c r="E29" s="3">
        <v>121.41018499999996</v>
      </c>
      <c r="F29" s="3">
        <v>6.184415000000001</v>
      </c>
      <c r="G29" s="3">
        <v>121.41018499999996</v>
      </c>
      <c r="H29" s="3">
        <v>121.41018499999996</v>
      </c>
      <c r="I29" s="3">
        <v>121.41018499999996</v>
      </c>
      <c r="J29" s="3">
        <v>104.177</v>
      </c>
      <c r="K29" s="3">
        <v>121.41018499999996</v>
      </c>
      <c r="L29" s="3">
        <v>37.7274</v>
      </c>
      <c r="M29" s="3">
        <v>6.184415000000001</v>
      </c>
      <c r="N29" s="3">
        <v>63.79729999999998</v>
      </c>
    </row>
    <row r="30">
      <c r="A30" s="1" t="s">
        <v>40</v>
      </c>
      <c r="B30" s="3">
        <v>56.0375</v>
      </c>
      <c r="C30" s="3">
        <v>40.0948</v>
      </c>
      <c r="D30" s="3">
        <v>43.3867</v>
      </c>
      <c r="E30" s="3">
        <v>25.9274</v>
      </c>
      <c r="F30" s="3">
        <v>35.5718</v>
      </c>
      <c r="G30" s="3">
        <v>16.3079</v>
      </c>
      <c r="H30" s="3">
        <v>47.5964</v>
      </c>
      <c r="I30" s="3">
        <v>48.775</v>
      </c>
      <c r="J30" s="3">
        <v>40.3351</v>
      </c>
      <c r="K30" s="3">
        <v>35.7364</v>
      </c>
      <c r="L30" s="3">
        <v>37.5915</v>
      </c>
      <c r="M30" s="3">
        <v>27.2082</v>
      </c>
      <c r="N30" s="3">
        <v>63.79729999999998</v>
      </c>
    </row>
    <row r="34">
      <c r="A34" s="5" t="s">
        <v>41</v>
      </c>
      <c r="B34" s="3">
        <f>MIN(B2:N30)</f>
        <v>6.184415</v>
      </c>
    </row>
    <row r="35">
      <c r="A35" s="5" t="s">
        <v>42</v>
      </c>
      <c r="B35" s="3">
        <f>MAX(B2:N30)</f>
        <v>121.410185</v>
      </c>
    </row>
    <row r="38">
      <c r="A38" s="5" t="s">
        <v>43</v>
      </c>
      <c r="B38" s="3">
        <f>PERCENTILE(B2:M30, 0.05)</f>
        <v>6.34614475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5" t="s">
        <v>44</v>
      </c>
      <c r="B39" s="3">
        <f>PERCENTILE(B2:M30, 0.95)</f>
        <v>120.9845553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5"/>
      <c r="B42" s="3">
        <f t="shared" ref="B42:N42" si="1">MEDIAN(B2, $B$38, $B$39)</f>
        <v>23.0195</v>
      </c>
      <c r="C42" s="3">
        <f t="shared" si="1"/>
        <v>35.731</v>
      </c>
      <c r="D42" s="3">
        <f t="shared" si="1"/>
        <v>25.7038</v>
      </c>
      <c r="E42" s="3">
        <f t="shared" si="1"/>
        <v>34.5735</v>
      </c>
      <c r="F42" s="3">
        <f t="shared" si="1"/>
        <v>28.5903</v>
      </c>
      <c r="G42" s="3">
        <f t="shared" si="1"/>
        <v>13.6948</v>
      </c>
      <c r="H42" s="3">
        <f t="shared" si="1"/>
        <v>19.616</v>
      </c>
      <c r="I42" s="3">
        <f t="shared" si="1"/>
        <v>19.9915</v>
      </c>
      <c r="J42" s="3">
        <f t="shared" si="1"/>
        <v>17.9884</v>
      </c>
      <c r="K42" s="3">
        <f t="shared" si="1"/>
        <v>17.7055</v>
      </c>
      <c r="L42" s="3">
        <f t="shared" si="1"/>
        <v>27.5537</v>
      </c>
      <c r="M42" s="3">
        <f t="shared" si="1"/>
        <v>22.1893</v>
      </c>
      <c r="N42" s="3">
        <f t="shared" si="1"/>
        <v>63.7973</v>
      </c>
    </row>
    <row r="43">
      <c r="A43" s="5"/>
      <c r="B43" s="3">
        <f t="shared" ref="B43:N43" si="2">MEDIAN(B3, $B$38, $B$39)</f>
        <v>34.9725</v>
      </c>
      <c r="C43" s="3">
        <f t="shared" si="2"/>
        <v>49.9737</v>
      </c>
      <c r="D43" s="3">
        <f t="shared" si="2"/>
        <v>64.4793</v>
      </c>
      <c r="E43" s="3">
        <f t="shared" si="2"/>
        <v>97.5546</v>
      </c>
      <c r="F43" s="3">
        <f t="shared" si="2"/>
        <v>77.5053</v>
      </c>
      <c r="G43" s="3">
        <f t="shared" si="2"/>
        <v>59.1028</v>
      </c>
      <c r="H43" s="3">
        <f t="shared" si="2"/>
        <v>66.3657</v>
      </c>
      <c r="I43" s="3">
        <f t="shared" si="2"/>
        <v>52.714</v>
      </c>
      <c r="J43" s="3">
        <f t="shared" si="2"/>
        <v>52.9773</v>
      </c>
      <c r="K43" s="3">
        <f t="shared" si="2"/>
        <v>47.757</v>
      </c>
      <c r="L43" s="3">
        <f t="shared" si="2"/>
        <v>55.6224</v>
      </c>
      <c r="M43" s="3">
        <f t="shared" si="2"/>
        <v>42.9976</v>
      </c>
      <c r="N43" s="3">
        <f t="shared" si="2"/>
        <v>63.7973</v>
      </c>
    </row>
    <row r="44">
      <c r="A44" s="5"/>
      <c r="B44" s="3">
        <f t="shared" ref="B44:N44" si="3">MEDIAN(B4, $B$38, $B$39)</f>
        <v>12.1462</v>
      </c>
      <c r="C44" s="3">
        <f t="shared" si="3"/>
        <v>12.2436</v>
      </c>
      <c r="D44" s="3">
        <f t="shared" si="3"/>
        <v>24.3878</v>
      </c>
      <c r="E44" s="3">
        <f t="shared" si="3"/>
        <v>16.5215</v>
      </c>
      <c r="F44" s="3">
        <f t="shared" si="3"/>
        <v>28.8342</v>
      </c>
      <c r="G44" s="3">
        <f t="shared" si="3"/>
        <v>55.5344</v>
      </c>
      <c r="H44" s="3">
        <f t="shared" si="3"/>
        <v>39.5767</v>
      </c>
      <c r="I44" s="3">
        <f t="shared" si="3"/>
        <v>120.9845553</v>
      </c>
      <c r="J44" s="3">
        <f t="shared" si="3"/>
        <v>29.6735</v>
      </c>
      <c r="K44" s="3">
        <f t="shared" si="3"/>
        <v>12.658</v>
      </c>
      <c r="L44" s="3">
        <f t="shared" si="3"/>
        <v>17.7567</v>
      </c>
      <c r="M44" s="3">
        <f t="shared" si="3"/>
        <v>10.8559</v>
      </c>
      <c r="N44" s="3">
        <f t="shared" si="3"/>
        <v>63.7973</v>
      </c>
    </row>
    <row r="45">
      <c r="A45" s="5"/>
      <c r="B45" s="3">
        <f t="shared" ref="B45:N45" si="4">MEDIAN(B5, $B$38, $B$39)</f>
        <v>120.9845553</v>
      </c>
      <c r="C45" s="3">
        <f t="shared" si="4"/>
        <v>120.9845553</v>
      </c>
      <c r="D45" s="3">
        <f t="shared" si="4"/>
        <v>120.9845553</v>
      </c>
      <c r="E45" s="3">
        <f t="shared" si="4"/>
        <v>25.3549</v>
      </c>
      <c r="F45" s="3">
        <f t="shared" si="4"/>
        <v>18.33</v>
      </c>
      <c r="G45" s="3">
        <f t="shared" si="4"/>
        <v>10.4679</v>
      </c>
      <c r="H45" s="3">
        <f t="shared" si="4"/>
        <v>14.9523</v>
      </c>
      <c r="I45" s="3">
        <f t="shared" si="4"/>
        <v>10.6291</v>
      </c>
      <c r="J45" s="3">
        <f t="shared" si="4"/>
        <v>8.2625</v>
      </c>
      <c r="K45" s="3">
        <f t="shared" si="4"/>
        <v>59.1734</v>
      </c>
      <c r="L45" s="3">
        <f t="shared" si="4"/>
        <v>38.5711</v>
      </c>
      <c r="M45" s="3">
        <f t="shared" si="4"/>
        <v>18.4541</v>
      </c>
      <c r="N45" s="3">
        <f t="shared" si="4"/>
        <v>63.7973</v>
      </c>
    </row>
    <row r="46">
      <c r="A46" s="5"/>
      <c r="B46" s="3">
        <f t="shared" ref="B46:N46" si="5">MEDIAN(B6, $B$38, $B$39)</f>
        <v>7.4587</v>
      </c>
      <c r="C46" s="3">
        <f t="shared" si="5"/>
        <v>6.9385</v>
      </c>
      <c r="D46" s="3">
        <f t="shared" si="5"/>
        <v>6.6465</v>
      </c>
      <c r="E46" s="3">
        <f t="shared" si="5"/>
        <v>120.9845553</v>
      </c>
      <c r="F46" s="3">
        <f t="shared" si="5"/>
        <v>120.9845553</v>
      </c>
      <c r="G46" s="3">
        <f t="shared" si="5"/>
        <v>51.1279</v>
      </c>
      <c r="H46" s="3">
        <f t="shared" si="5"/>
        <v>101.4777</v>
      </c>
      <c r="I46" s="3">
        <f t="shared" si="5"/>
        <v>108.9304</v>
      </c>
      <c r="J46" s="3">
        <f t="shared" si="5"/>
        <v>120.1941</v>
      </c>
      <c r="K46" s="3">
        <f t="shared" si="5"/>
        <v>7.031</v>
      </c>
      <c r="L46" s="3">
        <f t="shared" si="5"/>
        <v>7.7217</v>
      </c>
      <c r="M46" s="3">
        <f t="shared" si="5"/>
        <v>6.34614475</v>
      </c>
      <c r="N46" s="3">
        <f t="shared" si="5"/>
        <v>63.7973</v>
      </c>
    </row>
    <row r="47">
      <c r="A47" s="5"/>
      <c r="B47" s="3">
        <f t="shared" ref="B47:N47" si="6">MEDIAN(B7, $B$38, $B$39)</f>
        <v>41.3736</v>
      </c>
      <c r="C47" s="3">
        <f t="shared" si="6"/>
        <v>36.9633</v>
      </c>
      <c r="D47" s="3">
        <f t="shared" si="6"/>
        <v>23.8509</v>
      </c>
      <c r="E47" s="3">
        <f t="shared" si="6"/>
        <v>21.4061</v>
      </c>
      <c r="F47" s="3">
        <f t="shared" si="6"/>
        <v>14.5128</v>
      </c>
      <c r="G47" s="3">
        <f t="shared" si="6"/>
        <v>9.9266</v>
      </c>
      <c r="H47" s="3">
        <f t="shared" si="6"/>
        <v>12.0543</v>
      </c>
      <c r="I47" s="3">
        <f t="shared" si="6"/>
        <v>24.3654</v>
      </c>
      <c r="J47" s="3">
        <f t="shared" si="6"/>
        <v>26.3215</v>
      </c>
      <c r="K47" s="3">
        <f t="shared" si="6"/>
        <v>120.9845553</v>
      </c>
      <c r="L47" s="3">
        <f t="shared" si="6"/>
        <v>22.3672</v>
      </c>
      <c r="M47" s="3">
        <f t="shared" si="6"/>
        <v>9.6262</v>
      </c>
      <c r="N47" s="3">
        <f t="shared" si="6"/>
        <v>63.7973</v>
      </c>
    </row>
    <row r="48">
      <c r="A48" s="5"/>
      <c r="B48" s="3">
        <f t="shared" ref="B48:N48" si="7">MEDIAN(B8, $B$38, $B$39)</f>
        <v>29.844</v>
      </c>
      <c r="C48" s="3">
        <f t="shared" si="7"/>
        <v>93.8923</v>
      </c>
      <c r="D48" s="4">
        <f t="shared" si="7"/>
        <v>50.6081</v>
      </c>
      <c r="E48" s="3">
        <f t="shared" si="7"/>
        <v>98.4876</v>
      </c>
      <c r="F48" s="3">
        <f t="shared" si="7"/>
        <v>6.34614475</v>
      </c>
      <c r="G48" s="3">
        <f t="shared" si="7"/>
        <v>6.34614475</v>
      </c>
      <c r="H48" s="3">
        <f t="shared" si="7"/>
        <v>120.9845553</v>
      </c>
      <c r="I48" s="4">
        <f t="shared" si="7"/>
        <v>120.9845553</v>
      </c>
      <c r="J48" s="3">
        <f t="shared" si="7"/>
        <v>36.7981</v>
      </c>
      <c r="K48" s="3">
        <f t="shared" si="7"/>
        <v>23.0703</v>
      </c>
      <c r="L48" s="3">
        <f t="shared" si="7"/>
        <v>34.0744</v>
      </c>
      <c r="M48" s="3">
        <f t="shared" si="7"/>
        <v>45.4274</v>
      </c>
      <c r="N48" s="3">
        <f t="shared" si="7"/>
        <v>63.7973</v>
      </c>
    </row>
    <row r="49">
      <c r="A49" s="5"/>
      <c r="B49" s="3">
        <f t="shared" ref="B49:N49" si="8">MEDIAN(B9, $B$38, $B$39)</f>
        <v>24.7966</v>
      </c>
      <c r="C49" s="3">
        <f t="shared" si="8"/>
        <v>26.6132</v>
      </c>
      <c r="D49" s="3">
        <f t="shared" si="8"/>
        <v>19.8031</v>
      </c>
      <c r="E49" s="3">
        <f t="shared" si="8"/>
        <v>23.3745</v>
      </c>
      <c r="F49" s="3">
        <f t="shared" si="8"/>
        <v>23.9457</v>
      </c>
      <c r="G49" s="3">
        <f t="shared" si="8"/>
        <v>10.7178</v>
      </c>
      <c r="H49" s="3">
        <f t="shared" si="8"/>
        <v>14.7866</v>
      </c>
      <c r="I49" s="3">
        <f t="shared" si="8"/>
        <v>15.5793</v>
      </c>
      <c r="J49" s="3">
        <f t="shared" si="8"/>
        <v>14.4712</v>
      </c>
      <c r="K49" s="3">
        <f t="shared" si="8"/>
        <v>20.4612</v>
      </c>
      <c r="L49" s="3">
        <f t="shared" si="8"/>
        <v>18.8069</v>
      </c>
      <c r="M49" s="3">
        <f t="shared" si="8"/>
        <v>14.9227</v>
      </c>
      <c r="N49" s="3">
        <f t="shared" si="8"/>
        <v>63.7973</v>
      </c>
    </row>
    <row r="50">
      <c r="A50" s="5"/>
      <c r="B50" s="3">
        <f t="shared" ref="B50:N50" si="9">MEDIAN(B10, $B$38, $B$39)</f>
        <v>20.7102</v>
      </c>
      <c r="C50" s="3">
        <f t="shared" si="9"/>
        <v>16.8729</v>
      </c>
      <c r="D50" s="3">
        <f t="shared" si="9"/>
        <v>20.3123</v>
      </c>
      <c r="E50" s="3">
        <f t="shared" si="9"/>
        <v>22.0052</v>
      </c>
      <c r="F50" s="3">
        <f t="shared" si="9"/>
        <v>26.3971</v>
      </c>
      <c r="G50" s="3">
        <f t="shared" si="9"/>
        <v>17.9546</v>
      </c>
      <c r="H50" s="3">
        <f t="shared" si="9"/>
        <v>29.4533</v>
      </c>
      <c r="I50" s="3">
        <f t="shared" si="9"/>
        <v>27.914</v>
      </c>
      <c r="J50" s="3">
        <f t="shared" si="9"/>
        <v>25.2239</v>
      </c>
      <c r="K50" s="3">
        <f t="shared" si="9"/>
        <v>21.9328</v>
      </c>
      <c r="L50" s="3">
        <f t="shared" si="9"/>
        <v>24.2669</v>
      </c>
      <c r="M50" s="3">
        <f t="shared" si="9"/>
        <v>21.1122</v>
      </c>
      <c r="N50" s="3">
        <f t="shared" si="9"/>
        <v>63.7973</v>
      </c>
    </row>
    <row r="51">
      <c r="A51" s="5"/>
      <c r="B51" s="3">
        <f t="shared" ref="B51:N51" si="10">MEDIAN(B11, $B$38, $B$39)</f>
        <v>49.8533</v>
      </c>
      <c r="C51" s="3">
        <f t="shared" si="10"/>
        <v>51.8576</v>
      </c>
      <c r="D51" s="3">
        <f t="shared" si="10"/>
        <v>59.4091</v>
      </c>
      <c r="E51" s="3">
        <f t="shared" si="10"/>
        <v>54.2167</v>
      </c>
      <c r="F51" s="3">
        <f t="shared" si="10"/>
        <v>71.4311</v>
      </c>
      <c r="G51" s="3">
        <f t="shared" si="10"/>
        <v>73.7295</v>
      </c>
      <c r="H51" s="3">
        <f t="shared" si="10"/>
        <v>61.0583</v>
      </c>
      <c r="I51" s="3">
        <f t="shared" si="10"/>
        <v>55.4545</v>
      </c>
      <c r="J51" s="3">
        <f t="shared" si="10"/>
        <v>43.9918</v>
      </c>
      <c r="K51" s="3">
        <f t="shared" si="10"/>
        <v>45.5236</v>
      </c>
      <c r="L51" s="3">
        <f t="shared" si="10"/>
        <v>43.2771</v>
      </c>
      <c r="M51" s="3">
        <f t="shared" si="10"/>
        <v>33.0948</v>
      </c>
      <c r="N51" s="3">
        <f t="shared" si="10"/>
        <v>63.7973</v>
      </c>
    </row>
    <row r="52">
      <c r="A52" s="5"/>
      <c r="B52" s="3">
        <f t="shared" ref="B52:N52" si="11">MEDIAN(B12, $B$38, $B$39)</f>
        <v>18.6217</v>
      </c>
      <c r="C52" s="3">
        <f t="shared" si="11"/>
        <v>17.3421</v>
      </c>
      <c r="D52" s="3">
        <f t="shared" si="11"/>
        <v>17.9533</v>
      </c>
      <c r="E52" s="3">
        <f t="shared" si="11"/>
        <v>20.1671</v>
      </c>
      <c r="F52" s="3">
        <f t="shared" si="11"/>
        <v>21.3225</v>
      </c>
      <c r="G52" s="3">
        <f t="shared" si="11"/>
        <v>21.9109</v>
      </c>
      <c r="H52" s="3">
        <f t="shared" si="11"/>
        <v>60.3404</v>
      </c>
      <c r="I52" s="3">
        <f t="shared" si="11"/>
        <v>23.1614</v>
      </c>
      <c r="J52" s="3">
        <f t="shared" si="11"/>
        <v>17.4167</v>
      </c>
      <c r="K52" s="3">
        <f t="shared" si="11"/>
        <v>13.494</v>
      </c>
      <c r="L52" s="3">
        <f t="shared" si="11"/>
        <v>14.8937</v>
      </c>
      <c r="M52" s="3">
        <f t="shared" si="11"/>
        <v>13.0209</v>
      </c>
      <c r="N52" s="3">
        <f t="shared" si="11"/>
        <v>63.7973</v>
      </c>
    </row>
    <row r="53">
      <c r="A53" s="5"/>
      <c r="B53" s="3">
        <f t="shared" ref="B53:N53" si="12">MEDIAN(B13, $B$38, $B$39)</f>
        <v>24.3473</v>
      </c>
      <c r="C53" s="3">
        <f t="shared" si="12"/>
        <v>23.6441</v>
      </c>
      <c r="D53" s="3">
        <f t="shared" si="12"/>
        <v>23.9007</v>
      </c>
      <c r="E53" s="3">
        <f t="shared" si="12"/>
        <v>36.3138</v>
      </c>
      <c r="F53" s="3">
        <f t="shared" si="12"/>
        <v>29.9879</v>
      </c>
      <c r="G53" s="3">
        <f t="shared" si="12"/>
        <v>16.4306</v>
      </c>
      <c r="H53" s="3">
        <f t="shared" si="12"/>
        <v>20.9453</v>
      </c>
      <c r="I53" s="3">
        <f t="shared" si="12"/>
        <v>15.9617</v>
      </c>
      <c r="J53" s="3">
        <f t="shared" si="12"/>
        <v>16.2548</v>
      </c>
      <c r="K53" s="3">
        <f t="shared" si="12"/>
        <v>20.6362</v>
      </c>
      <c r="L53" s="3">
        <f t="shared" si="12"/>
        <v>20.4748</v>
      </c>
      <c r="M53" s="3">
        <f t="shared" si="12"/>
        <v>17.5819</v>
      </c>
      <c r="N53" s="3">
        <f t="shared" si="12"/>
        <v>63.7973</v>
      </c>
    </row>
    <row r="54">
      <c r="A54" s="5"/>
      <c r="B54" s="3">
        <f t="shared" ref="B54:N54" si="13">MEDIAN(B14, $B$38, $B$39)</f>
        <v>14.7463</v>
      </c>
      <c r="C54" s="3">
        <f t="shared" si="13"/>
        <v>26.0993</v>
      </c>
      <c r="D54" s="3">
        <f t="shared" si="13"/>
        <v>24.7387</v>
      </c>
      <c r="E54" s="3">
        <f t="shared" si="13"/>
        <v>20.2749</v>
      </c>
      <c r="F54" s="3">
        <f t="shared" si="13"/>
        <v>20.4206</v>
      </c>
      <c r="G54" s="3">
        <f t="shared" si="13"/>
        <v>13.7931</v>
      </c>
      <c r="H54" s="3">
        <f t="shared" si="13"/>
        <v>28.8058</v>
      </c>
      <c r="I54" s="3">
        <f t="shared" si="13"/>
        <v>27.635</v>
      </c>
      <c r="J54" s="3">
        <f t="shared" si="13"/>
        <v>32.9941</v>
      </c>
      <c r="K54" s="3">
        <f t="shared" si="13"/>
        <v>42.329</v>
      </c>
      <c r="L54" s="3">
        <f t="shared" si="13"/>
        <v>26.8745</v>
      </c>
      <c r="M54" s="3">
        <f t="shared" si="13"/>
        <v>31.4572</v>
      </c>
      <c r="N54" s="3">
        <f t="shared" si="13"/>
        <v>63.7973</v>
      </c>
    </row>
    <row r="55">
      <c r="A55" s="5"/>
      <c r="B55" s="3">
        <f t="shared" ref="B55:N55" si="14">MEDIAN(B15, $B$38, $B$39)</f>
        <v>19.5103</v>
      </c>
      <c r="C55" s="3">
        <f t="shared" si="14"/>
        <v>19.5276</v>
      </c>
      <c r="D55" s="3">
        <f t="shared" si="14"/>
        <v>23.1257</v>
      </c>
      <c r="E55" s="3">
        <f t="shared" si="14"/>
        <v>28.8792</v>
      </c>
      <c r="F55" s="3">
        <f t="shared" si="14"/>
        <v>34.7121</v>
      </c>
      <c r="G55" s="3">
        <f t="shared" si="14"/>
        <v>28.9817</v>
      </c>
      <c r="H55" s="3">
        <f t="shared" si="14"/>
        <v>35.356</v>
      </c>
      <c r="I55" s="3">
        <f t="shared" si="14"/>
        <v>32.0673</v>
      </c>
      <c r="J55" s="3">
        <f t="shared" si="14"/>
        <v>32.4321</v>
      </c>
      <c r="K55" s="3">
        <f t="shared" si="14"/>
        <v>36.0127</v>
      </c>
      <c r="L55" s="3">
        <f t="shared" si="14"/>
        <v>33.2527</v>
      </c>
      <c r="M55" s="3">
        <f t="shared" si="14"/>
        <v>24.169</v>
      </c>
      <c r="N55" s="3">
        <f t="shared" si="14"/>
        <v>63.7973</v>
      </c>
    </row>
    <row r="56">
      <c r="A56" s="5"/>
      <c r="B56" s="3">
        <f t="shared" ref="B56:N56" si="15">MEDIAN(B16, $B$38, $B$39)</f>
        <v>31.9221</v>
      </c>
      <c r="C56" s="3">
        <f t="shared" si="15"/>
        <v>40.1671</v>
      </c>
      <c r="D56" s="3">
        <f t="shared" si="15"/>
        <v>29.0531</v>
      </c>
      <c r="E56" s="3">
        <f t="shared" si="15"/>
        <v>28.6412</v>
      </c>
      <c r="F56" s="3">
        <f t="shared" si="15"/>
        <v>17.1942</v>
      </c>
      <c r="G56" s="3">
        <f t="shared" si="15"/>
        <v>11.8585</v>
      </c>
      <c r="H56" s="3">
        <f t="shared" si="15"/>
        <v>21.7926</v>
      </c>
      <c r="I56" s="3">
        <f t="shared" si="15"/>
        <v>24.9316</v>
      </c>
      <c r="J56" s="3">
        <f t="shared" si="15"/>
        <v>36.5185</v>
      </c>
      <c r="K56" s="3">
        <f t="shared" si="15"/>
        <v>26.7414</v>
      </c>
      <c r="L56" s="3">
        <f t="shared" si="15"/>
        <v>33.4892</v>
      </c>
      <c r="M56" s="3">
        <f t="shared" si="15"/>
        <v>24.0259</v>
      </c>
      <c r="N56" s="3">
        <f t="shared" si="15"/>
        <v>63.7973</v>
      </c>
    </row>
    <row r="57">
      <c r="A57" s="5"/>
      <c r="B57" s="3">
        <f t="shared" ref="B57:N57" si="16">MEDIAN(B17, $B$38, $B$39)</f>
        <v>23.0036</v>
      </c>
      <c r="C57" s="3">
        <f t="shared" si="16"/>
        <v>18.9969</v>
      </c>
      <c r="D57" s="3">
        <f t="shared" si="16"/>
        <v>12.5371</v>
      </c>
      <c r="E57" s="3">
        <f t="shared" si="16"/>
        <v>13.6115</v>
      </c>
      <c r="F57" s="3">
        <f t="shared" si="16"/>
        <v>48.6895</v>
      </c>
      <c r="G57" s="3">
        <f t="shared" si="16"/>
        <v>6.34614475</v>
      </c>
      <c r="H57" s="3">
        <f t="shared" si="16"/>
        <v>13.7354</v>
      </c>
      <c r="I57" s="3">
        <f t="shared" si="16"/>
        <v>10.6965</v>
      </c>
      <c r="J57" s="3">
        <f t="shared" si="16"/>
        <v>37.6083</v>
      </c>
      <c r="K57" s="3">
        <f t="shared" si="16"/>
        <v>21.3079</v>
      </c>
      <c r="L57" s="3">
        <f t="shared" si="16"/>
        <v>22.3485</v>
      </c>
      <c r="M57" s="3">
        <f t="shared" si="16"/>
        <v>12.4039</v>
      </c>
      <c r="N57" s="3">
        <f t="shared" si="16"/>
        <v>63.7973</v>
      </c>
    </row>
    <row r="58">
      <c r="A58" s="5"/>
      <c r="B58" s="3">
        <f t="shared" ref="B58:N58" si="17">MEDIAN(B18, $B$38, $B$39)</f>
        <v>24.9815</v>
      </c>
      <c r="C58" s="3">
        <f t="shared" si="17"/>
        <v>29.4005</v>
      </c>
      <c r="D58" s="3">
        <f t="shared" si="17"/>
        <v>30.5079</v>
      </c>
      <c r="E58" s="3">
        <f t="shared" si="17"/>
        <v>58.864</v>
      </c>
      <c r="F58" s="3">
        <f t="shared" si="17"/>
        <v>47.2109</v>
      </c>
      <c r="G58" s="3">
        <f t="shared" si="17"/>
        <v>22.8132</v>
      </c>
      <c r="H58" s="3">
        <f t="shared" si="17"/>
        <v>26.3433</v>
      </c>
      <c r="I58" s="3">
        <f t="shared" si="17"/>
        <v>33.974</v>
      </c>
      <c r="J58" s="3">
        <f t="shared" si="17"/>
        <v>24.229</v>
      </c>
      <c r="K58" s="3">
        <f t="shared" si="17"/>
        <v>20.4369</v>
      </c>
      <c r="L58" s="3">
        <f t="shared" si="17"/>
        <v>29.3498</v>
      </c>
      <c r="M58" s="3">
        <f t="shared" si="17"/>
        <v>20.8746</v>
      </c>
      <c r="N58" s="3">
        <f t="shared" si="17"/>
        <v>63.7973</v>
      </c>
    </row>
    <row r="59">
      <c r="A59" s="5"/>
      <c r="B59" s="3">
        <f t="shared" ref="B59:N59" si="18">MEDIAN(B19, $B$38, $B$39)</f>
        <v>17.5836</v>
      </c>
      <c r="C59" s="3">
        <f t="shared" si="18"/>
        <v>15.6547</v>
      </c>
      <c r="D59" s="3">
        <f t="shared" si="18"/>
        <v>10.0487</v>
      </c>
      <c r="E59" s="3">
        <f t="shared" si="18"/>
        <v>7.8459</v>
      </c>
      <c r="F59" s="3">
        <f t="shared" si="18"/>
        <v>7.1587</v>
      </c>
      <c r="G59" s="3">
        <f t="shared" si="18"/>
        <v>7.1843</v>
      </c>
      <c r="H59" s="3">
        <f t="shared" si="18"/>
        <v>9.7514</v>
      </c>
      <c r="I59" s="3">
        <f t="shared" si="18"/>
        <v>15.9193</v>
      </c>
      <c r="J59" s="3">
        <f t="shared" si="18"/>
        <v>12.7654</v>
      </c>
      <c r="K59" s="3">
        <f t="shared" si="18"/>
        <v>9.8321</v>
      </c>
      <c r="L59" s="3">
        <f t="shared" si="18"/>
        <v>12.1676</v>
      </c>
      <c r="M59" s="3">
        <f t="shared" si="18"/>
        <v>8.6732</v>
      </c>
      <c r="N59" s="3">
        <f t="shared" si="18"/>
        <v>63.7973</v>
      </c>
    </row>
    <row r="60">
      <c r="A60" s="5"/>
      <c r="B60" s="3">
        <f t="shared" ref="B60:N60" si="19">MEDIAN(B20, $B$38, $B$39)</f>
        <v>17.4026</v>
      </c>
      <c r="C60" s="3">
        <f t="shared" si="19"/>
        <v>15.9591</v>
      </c>
      <c r="D60" s="3">
        <f t="shared" si="19"/>
        <v>10.2127</v>
      </c>
      <c r="E60" s="3">
        <f t="shared" si="19"/>
        <v>8.9905</v>
      </c>
      <c r="F60" s="3">
        <f t="shared" si="19"/>
        <v>9.372</v>
      </c>
      <c r="G60" s="3">
        <f t="shared" si="19"/>
        <v>7.5213</v>
      </c>
      <c r="H60" s="3">
        <f t="shared" si="19"/>
        <v>10.3285</v>
      </c>
      <c r="I60" s="3">
        <f t="shared" si="19"/>
        <v>12.3629</v>
      </c>
      <c r="J60" s="3">
        <f t="shared" si="19"/>
        <v>13.8483</v>
      </c>
      <c r="K60" s="3">
        <f t="shared" si="19"/>
        <v>12.2125</v>
      </c>
      <c r="L60" s="3">
        <f t="shared" si="19"/>
        <v>15.0622</v>
      </c>
      <c r="M60" s="3">
        <f t="shared" si="19"/>
        <v>11.0929</v>
      </c>
      <c r="N60" s="3">
        <f t="shared" si="19"/>
        <v>63.7973</v>
      </c>
    </row>
    <row r="61">
      <c r="A61" s="5"/>
      <c r="B61" s="3">
        <f t="shared" ref="B61:N61" si="20">MEDIAN(B21, $B$38, $B$39)</f>
        <v>24.7717</v>
      </c>
      <c r="C61" s="3">
        <f t="shared" si="20"/>
        <v>28.9291</v>
      </c>
      <c r="D61" s="3">
        <f t="shared" si="20"/>
        <v>23.6439</v>
      </c>
      <c r="E61" s="3">
        <f t="shared" si="20"/>
        <v>28.6299</v>
      </c>
      <c r="F61" s="3">
        <f t="shared" si="20"/>
        <v>26.2302</v>
      </c>
      <c r="G61" s="3">
        <f t="shared" si="20"/>
        <v>17.6383</v>
      </c>
      <c r="H61" s="3">
        <f t="shared" si="20"/>
        <v>20.3988</v>
      </c>
      <c r="I61" s="3">
        <f t="shared" si="20"/>
        <v>14.4864</v>
      </c>
      <c r="J61" s="3">
        <f t="shared" si="20"/>
        <v>13.0188</v>
      </c>
      <c r="K61" s="3">
        <f t="shared" si="20"/>
        <v>10.3521</v>
      </c>
      <c r="L61" s="3">
        <f t="shared" si="20"/>
        <v>10.2946</v>
      </c>
      <c r="M61" s="3">
        <f t="shared" si="20"/>
        <v>12.1424</v>
      </c>
      <c r="N61" s="3">
        <f t="shared" si="20"/>
        <v>63.7973</v>
      </c>
    </row>
    <row r="62">
      <c r="A62" s="5"/>
      <c r="B62" s="3">
        <f t="shared" ref="B62:N62" si="21">MEDIAN(B22, $B$38, $B$39)</f>
        <v>8.8781</v>
      </c>
      <c r="C62" s="3">
        <f t="shared" si="21"/>
        <v>10.012</v>
      </c>
      <c r="D62" s="3">
        <f t="shared" si="21"/>
        <v>8.3994</v>
      </c>
      <c r="E62" s="3">
        <f t="shared" si="21"/>
        <v>12.447</v>
      </c>
      <c r="F62" s="3">
        <f t="shared" si="21"/>
        <v>14.5102</v>
      </c>
      <c r="G62" s="3">
        <f t="shared" si="21"/>
        <v>8.8916</v>
      </c>
      <c r="H62" s="3">
        <f t="shared" si="21"/>
        <v>120.9845553</v>
      </c>
      <c r="I62" s="3">
        <f t="shared" si="21"/>
        <v>6.34614475</v>
      </c>
      <c r="J62" s="3">
        <f t="shared" si="21"/>
        <v>120.9845553</v>
      </c>
      <c r="K62" s="3">
        <f t="shared" si="21"/>
        <v>12.1818</v>
      </c>
      <c r="L62" s="3">
        <f t="shared" si="21"/>
        <v>11.7311</v>
      </c>
      <c r="M62" s="3">
        <f t="shared" si="21"/>
        <v>10.1043</v>
      </c>
      <c r="N62" s="3">
        <f t="shared" si="21"/>
        <v>63.7973</v>
      </c>
    </row>
    <row r="63">
      <c r="A63" s="5"/>
      <c r="B63" s="3">
        <f t="shared" ref="B63:N63" si="22">MEDIAN(B23, $B$38, $B$39)</f>
        <v>38.0581</v>
      </c>
      <c r="C63" s="3">
        <f t="shared" si="22"/>
        <v>40.614</v>
      </c>
      <c r="D63" s="3">
        <f t="shared" si="22"/>
        <v>27.8499</v>
      </c>
      <c r="E63" s="3">
        <f t="shared" si="22"/>
        <v>67.2647</v>
      </c>
      <c r="F63" s="3">
        <f t="shared" si="22"/>
        <v>49.3884</v>
      </c>
      <c r="G63" s="3">
        <f t="shared" si="22"/>
        <v>22.4331</v>
      </c>
      <c r="H63" s="3">
        <f t="shared" si="22"/>
        <v>43.1757</v>
      </c>
      <c r="I63" s="3">
        <f t="shared" si="22"/>
        <v>55.0444</v>
      </c>
      <c r="J63" s="3">
        <f t="shared" si="22"/>
        <v>23.7138</v>
      </c>
      <c r="K63" s="3">
        <f t="shared" si="22"/>
        <v>43.3571</v>
      </c>
      <c r="L63" s="3">
        <f t="shared" si="22"/>
        <v>30.336</v>
      </c>
      <c r="M63" s="3">
        <f t="shared" si="22"/>
        <v>37.7204</v>
      </c>
      <c r="N63" s="3">
        <f t="shared" si="22"/>
        <v>63.7973</v>
      </c>
    </row>
    <row r="64">
      <c r="A64" s="5"/>
      <c r="B64" s="3">
        <f t="shared" ref="B64:N64" si="23">MEDIAN(B24, $B$38, $B$39)</f>
        <v>8.5539</v>
      </c>
      <c r="C64" s="3">
        <f t="shared" si="23"/>
        <v>12.1171</v>
      </c>
      <c r="D64" s="3">
        <f t="shared" si="23"/>
        <v>66.868</v>
      </c>
      <c r="E64" s="3">
        <f t="shared" si="23"/>
        <v>6.34614475</v>
      </c>
      <c r="F64" s="3">
        <f t="shared" si="23"/>
        <v>6.34614475</v>
      </c>
      <c r="G64" s="3">
        <f t="shared" si="23"/>
        <v>6.34614475</v>
      </c>
      <c r="H64" s="3">
        <f t="shared" si="23"/>
        <v>6.34614475</v>
      </c>
      <c r="I64" s="3">
        <f t="shared" si="23"/>
        <v>12.3753</v>
      </c>
      <c r="J64" s="3">
        <f t="shared" si="23"/>
        <v>21.2375</v>
      </c>
      <c r="K64" s="3">
        <f t="shared" si="23"/>
        <v>11.2788</v>
      </c>
      <c r="L64" s="3">
        <f t="shared" si="23"/>
        <v>12.66</v>
      </c>
      <c r="M64" s="3">
        <f t="shared" si="23"/>
        <v>9.1554</v>
      </c>
      <c r="N64" s="3">
        <f t="shared" si="23"/>
        <v>63.7973</v>
      </c>
    </row>
    <row r="65">
      <c r="A65" s="5"/>
      <c r="B65" s="3">
        <f t="shared" ref="B65:N65" si="24">MEDIAN(B25, $B$38, $B$39)</f>
        <v>56.2956</v>
      </c>
      <c r="C65" s="3">
        <f t="shared" si="24"/>
        <v>6.34614475</v>
      </c>
      <c r="D65" s="3">
        <f t="shared" si="24"/>
        <v>14.5746</v>
      </c>
      <c r="E65" s="3">
        <f t="shared" si="24"/>
        <v>6.34614475</v>
      </c>
      <c r="F65" s="3">
        <f t="shared" si="24"/>
        <v>12.7305</v>
      </c>
      <c r="G65" s="3">
        <f t="shared" si="24"/>
        <v>22.7445</v>
      </c>
      <c r="H65" s="3">
        <f t="shared" si="24"/>
        <v>6.34614475</v>
      </c>
      <c r="I65" s="3">
        <f t="shared" si="24"/>
        <v>6.34614475</v>
      </c>
      <c r="J65" s="3">
        <f t="shared" si="24"/>
        <v>6.34614475</v>
      </c>
      <c r="K65" s="3">
        <f t="shared" si="24"/>
        <v>6.34614475</v>
      </c>
      <c r="L65" s="3">
        <f t="shared" si="24"/>
        <v>6.34614475</v>
      </c>
      <c r="M65" s="3">
        <f t="shared" si="24"/>
        <v>11.1921</v>
      </c>
      <c r="N65" s="3">
        <f t="shared" si="24"/>
        <v>63.7973</v>
      </c>
    </row>
    <row r="66">
      <c r="A66" s="5"/>
      <c r="B66" s="3">
        <f t="shared" ref="B66:N66" si="25">MEDIAN(B26, $B$38, $B$39)</f>
        <v>26.8608</v>
      </c>
      <c r="C66" s="3">
        <f t="shared" si="25"/>
        <v>30.8512</v>
      </c>
      <c r="D66" s="3">
        <f t="shared" si="25"/>
        <v>27.8305</v>
      </c>
      <c r="E66" s="3">
        <f t="shared" si="25"/>
        <v>36.0818</v>
      </c>
      <c r="F66" s="3">
        <f t="shared" si="25"/>
        <v>36.6463</v>
      </c>
      <c r="G66" s="3">
        <f t="shared" si="25"/>
        <v>21.1515</v>
      </c>
      <c r="H66" s="3">
        <f t="shared" si="25"/>
        <v>24.0867</v>
      </c>
      <c r="I66" s="3">
        <f t="shared" si="25"/>
        <v>21.2333</v>
      </c>
      <c r="J66" s="3">
        <f t="shared" si="25"/>
        <v>18.2228</v>
      </c>
      <c r="K66" s="3">
        <f t="shared" si="25"/>
        <v>20.4258</v>
      </c>
      <c r="L66" s="3">
        <f t="shared" si="25"/>
        <v>25.1312</v>
      </c>
      <c r="M66" s="3">
        <f t="shared" si="25"/>
        <v>21.7902</v>
      </c>
      <c r="N66" s="3">
        <f t="shared" si="25"/>
        <v>63.7973</v>
      </c>
    </row>
    <row r="67">
      <c r="A67" s="5"/>
      <c r="B67" s="3">
        <f t="shared" ref="B67:N67" si="26">MEDIAN(B27, $B$38, $B$39)</f>
        <v>29.5417</v>
      </c>
      <c r="C67" s="3">
        <f t="shared" si="26"/>
        <v>46.9017</v>
      </c>
      <c r="D67" s="3">
        <f t="shared" si="26"/>
        <v>20.1214</v>
      </c>
      <c r="E67" s="3">
        <f t="shared" si="26"/>
        <v>23.6781</v>
      </c>
      <c r="F67" s="3">
        <f t="shared" si="26"/>
        <v>19.5744</v>
      </c>
      <c r="G67" s="3">
        <f t="shared" si="26"/>
        <v>12.2257</v>
      </c>
      <c r="H67" s="3">
        <f t="shared" si="26"/>
        <v>16.014</v>
      </c>
      <c r="I67" s="3">
        <f t="shared" si="26"/>
        <v>14.8373</v>
      </c>
      <c r="J67" s="3">
        <f t="shared" si="26"/>
        <v>14.2999</v>
      </c>
      <c r="K67" s="3">
        <f t="shared" si="26"/>
        <v>13.7772</v>
      </c>
      <c r="L67" s="3">
        <f t="shared" si="26"/>
        <v>22.9224</v>
      </c>
      <c r="M67" s="3">
        <f t="shared" si="26"/>
        <v>13.7777</v>
      </c>
      <c r="N67" s="3">
        <f t="shared" si="26"/>
        <v>63.7973</v>
      </c>
    </row>
    <row r="68">
      <c r="A68" s="5"/>
      <c r="B68" s="3">
        <f t="shared" ref="B68:N68" si="27">MEDIAN(B28, $B$38, $B$39)</f>
        <v>81.4407</v>
      </c>
      <c r="C68" s="3">
        <f t="shared" si="27"/>
        <v>96.5673</v>
      </c>
      <c r="D68" s="3">
        <f t="shared" si="27"/>
        <v>68.6998</v>
      </c>
      <c r="E68" s="3">
        <f t="shared" si="27"/>
        <v>103.559</v>
      </c>
      <c r="F68" s="3">
        <f t="shared" si="27"/>
        <v>120.9845553</v>
      </c>
      <c r="G68" s="3">
        <f t="shared" si="27"/>
        <v>55.204</v>
      </c>
      <c r="H68" s="3">
        <f t="shared" si="27"/>
        <v>71.9027</v>
      </c>
      <c r="I68" s="3">
        <f t="shared" si="27"/>
        <v>73.8196</v>
      </c>
      <c r="J68" s="3">
        <f t="shared" si="27"/>
        <v>56.4627</v>
      </c>
      <c r="K68" s="3">
        <f t="shared" si="27"/>
        <v>44.5789</v>
      </c>
      <c r="L68" s="3">
        <f t="shared" si="27"/>
        <v>42.6551</v>
      </c>
      <c r="M68" s="3">
        <f t="shared" si="27"/>
        <v>31.6969</v>
      </c>
      <c r="N68" s="3">
        <f t="shared" si="27"/>
        <v>63.7973</v>
      </c>
    </row>
    <row r="69">
      <c r="A69" s="5"/>
      <c r="B69" s="3">
        <f t="shared" ref="B69:N69" si="28">MEDIAN(B29, $B$38, $B$39)</f>
        <v>120.9845553</v>
      </c>
      <c r="C69" s="3">
        <f t="shared" si="28"/>
        <v>94.4154</v>
      </c>
      <c r="D69" s="3">
        <f t="shared" si="28"/>
        <v>109.92</v>
      </c>
      <c r="E69" s="3">
        <f t="shared" si="28"/>
        <v>120.9845553</v>
      </c>
      <c r="F69" s="3">
        <f t="shared" si="28"/>
        <v>6.34614475</v>
      </c>
      <c r="G69" s="3">
        <f t="shared" si="28"/>
        <v>120.9845553</v>
      </c>
      <c r="H69" s="3">
        <f t="shared" si="28"/>
        <v>120.9845553</v>
      </c>
      <c r="I69" s="3">
        <f t="shared" si="28"/>
        <v>120.9845553</v>
      </c>
      <c r="J69" s="3">
        <f t="shared" si="28"/>
        <v>104.177</v>
      </c>
      <c r="K69" s="3">
        <f t="shared" si="28"/>
        <v>120.9845553</v>
      </c>
      <c r="L69" s="3">
        <f t="shared" si="28"/>
        <v>37.7274</v>
      </c>
      <c r="M69" s="3">
        <f t="shared" si="28"/>
        <v>6.34614475</v>
      </c>
      <c r="N69" s="3">
        <f t="shared" si="28"/>
        <v>63.7973</v>
      </c>
    </row>
    <row r="70">
      <c r="A70" s="5"/>
      <c r="B70" s="3">
        <f t="shared" ref="B70:N70" si="29">MEDIAN(B30, $B$38, $B$39)</f>
        <v>56.0375</v>
      </c>
      <c r="C70" s="3">
        <f t="shared" si="29"/>
        <v>40.0948</v>
      </c>
      <c r="D70" s="3">
        <f t="shared" si="29"/>
        <v>43.3867</v>
      </c>
      <c r="E70" s="3">
        <f t="shared" si="29"/>
        <v>25.9274</v>
      </c>
      <c r="F70" s="3">
        <f t="shared" si="29"/>
        <v>35.5718</v>
      </c>
      <c r="G70" s="3">
        <f t="shared" si="29"/>
        <v>16.3079</v>
      </c>
      <c r="H70" s="3">
        <f t="shared" si="29"/>
        <v>47.5964</v>
      </c>
      <c r="I70" s="3">
        <f t="shared" si="29"/>
        <v>48.775</v>
      </c>
      <c r="J70" s="3">
        <f t="shared" si="29"/>
        <v>40.3351</v>
      </c>
      <c r="K70" s="3">
        <f t="shared" si="29"/>
        <v>35.7364</v>
      </c>
      <c r="L70" s="3">
        <f t="shared" si="29"/>
        <v>37.5915</v>
      </c>
      <c r="M70" s="3">
        <f t="shared" si="29"/>
        <v>27.2082</v>
      </c>
      <c r="N70" s="3">
        <f t="shared" si="29"/>
        <v>63.7973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P1" s="6" t="s">
        <v>45</v>
      </c>
    </row>
    <row r="2">
      <c r="A2" s="1" t="s">
        <v>12</v>
      </c>
      <c r="B2" s="7">
        <f>(Sheet1!$B$35 - Sheet1!B2) / (Sheet1!$B$35 - Sheet1!$B$34)</f>
        <v>0.8538947928</v>
      </c>
      <c r="C2" s="7">
        <f>(Sheet1!$B$35 - Sheet1!C2) / (Sheet1!$B$35 - Sheet1!$B$34)</f>
        <v>0.7435765888</v>
      </c>
      <c r="D2" s="7">
        <f>(Sheet1!$B$35 - Sheet1!D2) / (Sheet1!$B$35 - Sheet1!$B$34)</f>
        <v>0.8305987888</v>
      </c>
      <c r="E2" s="7">
        <f>(Sheet1!$B$35 - Sheet1!E2) / (Sheet1!$B$35 - Sheet1!$B$34)</f>
        <v>0.7536220847</v>
      </c>
      <c r="F2" s="7">
        <f>(Sheet1!$B$35 - Sheet1!F2) / (Sheet1!$B$35 - Sheet1!$B$34)</f>
        <v>0.805547969</v>
      </c>
      <c r="G2" s="7">
        <f>(Sheet1!$B$35 - Sheet1!G2) / (Sheet1!$B$35 - Sheet1!$B$34)</f>
        <v>0.9348202663</v>
      </c>
      <c r="H2" s="7">
        <f>(Sheet1!$B$35 - Sheet1!H2) / (Sheet1!$B$35 - Sheet1!$B$34)</f>
        <v>0.8834324561</v>
      </c>
      <c r="I2" s="7">
        <f>(Sheet1!$B$35 - Sheet1!I2) / (Sheet1!$B$35 - Sheet1!$B$34)</f>
        <v>0.8801736365</v>
      </c>
      <c r="J2" s="7">
        <f>(Sheet1!$B$35 - Sheet1!J2) / (Sheet1!$B$35 - Sheet1!$B$34)</f>
        <v>0.8975577685</v>
      </c>
      <c r="K2" s="7">
        <f>(Sheet1!$B$35 - Sheet1!K2) / (Sheet1!$B$35 - Sheet1!$B$34)</f>
        <v>0.9000129485</v>
      </c>
      <c r="L2" s="7">
        <f>(Sheet1!$B$35 - Sheet1!L2) / (Sheet1!$B$35 - Sheet1!$B$34)</f>
        <v>0.8145442204</v>
      </c>
      <c r="M2" s="7">
        <f>(Sheet1!$B$35 - Sheet1!M2) / (Sheet1!$B$35 - Sheet1!$B$34)</f>
        <v>0.8610997783</v>
      </c>
      <c r="N2" s="7"/>
      <c r="P2" s="8">
        <f>IFERROR(__xludf.DUMMYFUNCTION("FLATTEN(B2:M30)"),0.8538947928054635)</f>
        <v>0.8538947928</v>
      </c>
    </row>
    <row r="3">
      <c r="A3" s="1" t="s">
        <v>13</v>
      </c>
      <c r="B3" s="7">
        <f>(Sheet1!$B$35 - Sheet1!B3) / (Sheet1!$B$35 - Sheet1!$B$34)</f>
        <v>0.7501593177</v>
      </c>
      <c r="C3" s="7">
        <f>(Sheet1!$B$35 - Sheet1!C3) / (Sheet1!$B$35 - Sheet1!$B$34)</f>
        <v>0.6199696908</v>
      </c>
      <c r="D3" s="7">
        <f>(Sheet1!$B$35 - Sheet1!D3) / (Sheet1!$B$35 - Sheet1!$B$34)</f>
        <v>0.4940811851</v>
      </c>
      <c r="E3" s="7">
        <f>(Sheet1!$B$35 - Sheet1!E3) / (Sheet1!$B$35 - Sheet1!$B$34)</f>
        <v>0.207033418</v>
      </c>
      <c r="F3" s="7">
        <f>(Sheet1!$B$35 - Sheet1!F3) / (Sheet1!$B$35 - Sheet1!$B$34)</f>
        <v>0.381033557</v>
      </c>
      <c r="G3" s="7">
        <f>(Sheet1!$B$35 - Sheet1!G3) / (Sheet1!$B$35 - Sheet1!$B$34)</f>
        <v>0.5407417542</v>
      </c>
      <c r="H3" s="7">
        <f>(Sheet1!$B$35 - Sheet1!H3) / (Sheet1!$B$35 - Sheet1!$B$34)</f>
        <v>0.4777098474</v>
      </c>
      <c r="I3" s="7">
        <f>(Sheet1!$B$35 - Sheet1!I3) / (Sheet1!$B$35 - Sheet1!$B$34)</f>
        <v>0.5961876844</v>
      </c>
      <c r="J3" s="7">
        <f>(Sheet1!$B$35 - Sheet1!J3) / (Sheet1!$B$35 - Sheet1!$B$34)</f>
        <v>0.5939026053</v>
      </c>
      <c r="K3" s="7">
        <f>(Sheet1!$B$35 - Sheet1!K3) / (Sheet1!$B$35 - Sheet1!$B$34)</f>
        <v>0.6392075748</v>
      </c>
      <c r="L3" s="7">
        <f>(Sheet1!$B$35 - Sheet1!L3) / (Sheet1!$B$35 - Sheet1!$B$34)</f>
        <v>0.570946803</v>
      </c>
      <c r="M3" s="7">
        <f>(Sheet1!$B$35 - Sheet1!M3) / (Sheet1!$B$35 - Sheet1!$B$34)</f>
        <v>0.6805125711</v>
      </c>
      <c r="N3" s="7"/>
      <c r="P3" s="9">
        <f>IFERROR(__xludf.DUMMYFUNCTION("""COMPUTED_VALUE"""),0.7435765888134225)</f>
        <v>0.7435765888</v>
      </c>
    </row>
    <row r="4">
      <c r="A4" s="1" t="s">
        <v>14</v>
      </c>
      <c r="B4" s="7">
        <f>(Sheet1!$B$35 - Sheet1!B4) / (Sheet1!$B$35 - Sheet1!$B$34)</f>
        <v>0.9482599682</v>
      </c>
      <c r="C4" s="7">
        <f>(Sheet1!$B$35 - Sheet1!C4) / (Sheet1!$B$35 - Sheet1!$B$34)</f>
        <v>0.9474146712</v>
      </c>
      <c r="D4" s="7">
        <f>(Sheet1!$B$35 - Sheet1!D4) / (Sheet1!$B$35 - Sheet1!$B$34)</f>
        <v>0.842019845</v>
      </c>
      <c r="E4" s="7">
        <f>(Sheet1!$B$35 - Sheet1!E4) / (Sheet1!$B$35 - Sheet1!$B$34)</f>
        <v>0.9102884277</v>
      </c>
      <c r="F4" s="7">
        <f>(Sheet1!$B$35 - Sheet1!F4) / (Sheet1!$B$35 - Sheet1!$B$34)</f>
        <v>0.803431255</v>
      </c>
      <c r="G4" s="7">
        <f>(Sheet1!$B$35 - Sheet1!G4) / (Sheet1!$B$35 - Sheet1!$B$34)</f>
        <v>0.571710521</v>
      </c>
      <c r="H4" s="7">
        <f>(Sheet1!$B$35 - Sheet1!H4) / (Sheet1!$B$35 - Sheet1!$B$34)</f>
        <v>0.7102012423</v>
      </c>
      <c r="I4" s="7">
        <f>(Sheet1!$B$35 - Sheet1!I4) / (Sheet1!$B$35 - Sheet1!$B$34)</f>
        <v>0</v>
      </c>
      <c r="J4" s="7">
        <f>(Sheet1!$B$35 - Sheet1!J4) / (Sheet1!$B$35 - Sheet1!$B$34)</f>
        <v>0.7961472941</v>
      </c>
      <c r="K4" s="7">
        <f>(Sheet1!$B$35 - Sheet1!K4) / (Sheet1!$B$35 - Sheet1!$B$34)</f>
        <v>0.9438182535</v>
      </c>
      <c r="L4" s="7">
        <f>(Sheet1!$B$35 - Sheet1!L4) / (Sheet1!$B$35 - Sheet1!$B$34)</f>
        <v>0.8995686034</v>
      </c>
      <c r="M4" s="7">
        <f>(Sheet1!$B$35 - Sheet1!M4) / (Sheet1!$B$35 - Sheet1!$B$34)</f>
        <v>0.9594579841</v>
      </c>
      <c r="N4" s="7"/>
      <c r="P4" s="9">
        <f>IFERROR(__xludf.DUMMYFUNCTION("""COMPUTED_VALUE"""),0.8305987887952495)</f>
        <v>0.8305987888</v>
      </c>
    </row>
    <row r="5">
      <c r="A5" s="1" t="s">
        <v>15</v>
      </c>
      <c r="B5" s="7">
        <f>(Sheet1!$B$35 - Sheet1!B5) / (Sheet1!$B$35 - Sheet1!$B$34)</f>
        <v>0</v>
      </c>
      <c r="C5" s="7">
        <f>(Sheet1!$B$35 - Sheet1!C5) / (Sheet1!$B$35 - Sheet1!$B$34)</f>
        <v>0</v>
      </c>
      <c r="D5" s="7">
        <f>(Sheet1!$B$35 - Sheet1!D5) / (Sheet1!$B$35 - Sheet1!$B$34)</f>
        <v>0</v>
      </c>
      <c r="E5" s="7">
        <f>(Sheet1!$B$35 - Sheet1!E5) / (Sheet1!$B$35 - Sheet1!$B$34)</f>
        <v>0.8336267573</v>
      </c>
      <c r="F5" s="7">
        <f>(Sheet1!$B$35 - Sheet1!F5) / (Sheet1!$B$35 - Sheet1!$B$34)</f>
        <v>0.8945931539</v>
      </c>
      <c r="G5" s="7">
        <f>(Sheet1!$B$35 - Sheet1!G5) / (Sheet1!$B$35 - Sheet1!$B$34)</f>
        <v>0.9628252864</v>
      </c>
      <c r="H5" s="7">
        <f>(Sheet1!$B$35 - Sheet1!H5) / (Sheet1!$B$35 - Sheet1!$B$34)</f>
        <v>0.923906909</v>
      </c>
      <c r="I5" s="7">
        <f>(Sheet1!$B$35 - Sheet1!I5) / (Sheet1!$B$35 - Sheet1!$B$34)</f>
        <v>0.9614262938</v>
      </c>
      <c r="J5" s="7">
        <f>(Sheet1!$B$35 - Sheet1!J5) / (Sheet1!$B$35 - Sheet1!$B$34)</f>
        <v>0.9819651021</v>
      </c>
      <c r="K5" s="7">
        <f>(Sheet1!$B$35 - Sheet1!K5) / (Sheet1!$B$35 - Sheet1!$B$34)</f>
        <v>0.540129044</v>
      </c>
      <c r="L5" s="7">
        <f>(Sheet1!$B$35 - Sheet1!L5) / (Sheet1!$B$35 - Sheet1!$B$34)</f>
        <v>0.7189284567</v>
      </c>
      <c r="M5" s="7">
        <f>(Sheet1!$B$35 - Sheet1!M5) / (Sheet1!$B$35 - Sheet1!$B$34)</f>
        <v>0.8935161379</v>
      </c>
      <c r="N5" s="7"/>
      <c r="P5" s="9">
        <f>IFERROR(__xludf.DUMMYFUNCTION("""COMPUTED_VALUE"""),0.7536220847124736)</f>
        <v>0.7536220847</v>
      </c>
    </row>
    <row r="6">
      <c r="A6" s="1" t="s">
        <v>16</v>
      </c>
      <c r="B6" s="7">
        <f>(Sheet1!$B$35 - Sheet1!B6) / (Sheet1!$B$35 - Sheet1!$B$34)</f>
        <v>0.9889409721</v>
      </c>
      <c r="C6" s="7">
        <f>(Sheet1!$B$35 - Sheet1!C6) / (Sheet1!$B$35 - Sheet1!$B$34)</f>
        <v>0.9934555872</v>
      </c>
      <c r="D6" s="7">
        <f>(Sheet1!$B$35 - Sheet1!D6) / (Sheet1!$B$35 - Sheet1!$B$34)</f>
        <v>0.9959897426</v>
      </c>
      <c r="E6" s="7">
        <f>(Sheet1!$B$35 - Sheet1!E6) / (Sheet1!$B$35 - Sheet1!$B$34)</f>
        <v>0</v>
      </c>
      <c r="F6" s="7">
        <f>(Sheet1!$B$35 - Sheet1!F6) / (Sheet1!$B$35 - Sheet1!$B$34)</f>
        <v>0</v>
      </c>
      <c r="G6" s="7">
        <f>(Sheet1!$B$35 - Sheet1!G6) / (Sheet1!$B$35 - Sheet1!$B$34)</f>
        <v>0.6099528343</v>
      </c>
      <c r="H6" s="7">
        <f>(Sheet1!$B$35 - Sheet1!H6) / (Sheet1!$B$35 - Sheet1!$B$34)</f>
        <v>0.1729863467</v>
      </c>
      <c r="I6" s="7">
        <f>(Sheet1!$B$35 - Sheet1!I6) / (Sheet1!$B$35 - Sheet1!$B$34)</f>
        <v>0.1083072389</v>
      </c>
      <c r="J6" s="7">
        <f>(Sheet1!$B$35 - Sheet1!J6) / (Sheet1!$B$35 - Sheet1!$B$34)</f>
        <v>0.01055393251</v>
      </c>
      <c r="K6" s="7">
        <f>(Sheet1!$B$35 - Sheet1!K6) / (Sheet1!$B$35 - Sheet1!$B$34)</f>
        <v>0.9926528154</v>
      </c>
      <c r="L6" s="7">
        <f>(Sheet1!$B$35 - Sheet1!L6) / (Sheet1!$B$35 - Sheet1!$B$34)</f>
        <v>0.9866584966</v>
      </c>
      <c r="M6" s="7">
        <f>(Sheet1!$B$35 - Sheet1!M6) / (Sheet1!$B$35 - Sheet1!$B$34)</f>
        <v>1</v>
      </c>
      <c r="N6" s="7"/>
      <c r="P6" s="9">
        <f>IFERROR(__xludf.DUMMYFUNCTION("""COMPUTED_VALUE"""),0.8055479690003373)</f>
        <v>0.805547969</v>
      </c>
    </row>
    <row r="7">
      <c r="A7" s="1" t="s">
        <v>17</v>
      </c>
      <c r="B7" s="7">
        <f>(Sheet1!$B$35 - Sheet1!B7) / (Sheet1!$B$35 - Sheet1!$B$34)</f>
        <v>0.6946066405</v>
      </c>
      <c r="C7" s="7">
        <f>(Sheet1!$B$35 - Sheet1!C7) / (Sheet1!$B$35 - Sheet1!$B$34)</f>
        <v>0.7328819326</v>
      </c>
      <c r="D7" s="7">
        <f>(Sheet1!$B$35 - Sheet1!D7) / (Sheet1!$B$35 - Sheet1!$B$34)</f>
        <v>0.846679393</v>
      </c>
      <c r="E7" s="7">
        <f>(Sheet1!$B$35 - Sheet1!E7) / (Sheet1!$B$35 - Sheet1!$B$34)</f>
        <v>0.8678968689</v>
      </c>
      <c r="F7" s="7">
        <f>(Sheet1!$B$35 - Sheet1!F7) / (Sheet1!$B$35 - Sheet1!$B$34)</f>
        <v>0.9277211599</v>
      </c>
      <c r="G7" s="7">
        <f>(Sheet1!$B$35 - Sheet1!G7) / (Sheet1!$B$35 - Sheet1!$B$34)</f>
        <v>0.9675230202</v>
      </c>
      <c r="H7" s="7">
        <f>(Sheet1!$B$35 - Sheet1!H7) / (Sheet1!$B$35 - Sheet1!$B$34)</f>
        <v>0.9490575329</v>
      </c>
      <c r="I7" s="7">
        <f>(Sheet1!$B$35 - Sheet1!I7) / (Sheet1!$B$35 - Sheet1!$B$34)</f>
        <v>0.842214246</v>
      </c>
      <c r="J7" s="7">
        <f>(Sheet1!$B$35 - Sheet1!J7) / (Sheet1!$B$35 - Sheet1!$B$34)</f>
        <v>0.8252380088</v>
      </c>
      <c r="K7" s="7">
        <f>(Sheet1!$B$35 - Sheet1!K7) / (Sheet1!$B$35 - Sheet1!$B$34)</f>
        <v>0</v>
      </c>
      <c r="L7" s="7">
        <f>(Sheet1!$B$35 - Sheet1!L7) / (Sheet1!$B$35 - Sheet1!$B$34)</f>
        <v>0.8595558528</v>
      </c>
      <c r="M7" s="7">
        <f>(Sheet1!$B$35 - Sheet1!M7) / (Sheet1!$B$35 - Sheet1!$B$34)</f>
        <v>0.9701300759</v>
      </c>
      <c r="N7" s="7"/>
      <c r="P7" s="9">
        <f>IFERROR(__xludf.DUMMYFUNCTION("""COMPUTED_VALUE"""),0.9348202663345188)</f>
        <v>0.9348202663</v>
      </c>
    </row>
    <row r="8">
      <c r="A8" s="1" t="s">
        <v>18</v>
      </c>
      <c r="B8" s="7">
        <f>(Sheet1!$B$35 - Sheet1!B8) / (Sheet1!$B$35 - Sheet1!$B$34)</f>
        <v>0.7946675904</v>
      </c>
      <c r="C8" s="7">
        <f>(Sheet1!$B$35 - Sheet1!C8) / (Sheet1!$B$35 - Sheet1!$B$34)</f>
        <v>0.2388171066</v>
      </c>
      <c r="D8" s="7">
        <f>(Sheet1!$B$35 - Sheet1!D8) / (Sheet1!$B$35 - Sheet1!$B$34)</f>
        <v>0.614463978</v>
      </c>
      <c r="E8" s="7">
        <f>(Sheet1!$B$35 - Sheet1!E8) / (Sheet1!$B$35 - Sheet1!$B$34)</f>
        <v>0.1989362709</v>
      </c>
      <c r="F8" s="7">
        <f>(Sheet1!$B$35 - Sheet1!F8) / (Sheet1!$B$35 - Sheet1!$B$34)</f>
        <v>1</v>
      </c>
      <c r="G8" s="7">
        <f>(Sheet1!$B$35 - Sheet1!G8) / (Sheet1!$B$35 - Sheet1!$B$34)</f>
        <v>1</v>
      </c>
      <c r="H8" s="7">
        <f>(Sheet1!$B$35 - Sheet1!H8) / (Sheet1!$B$35 - Sheet1!$B$34)</f>
        <v>0</v>
      </c>
      <c r="I8" s="7">
        <f>(Sheet1!$B$35 - Sheet1!I8) / (Sheet1!$B$35 - Sheet1!$B$34)</f>
        <v>0</v>
      </c>
      <c r="J8" s="7">
        <f>(Sheet1!$B$35 - Sheet1!J8) / (Sheet1!$B$35 - Sheet1!$B$34)</f>
        <v>0.7343156396</v>
      </c>
      <c r="K8" s="7">
        <f>(Sheet1!$B$35 - Sheet1!K8) / (Sheet1!$B$35 - Sheet1!$B$34)</f>
        <v>0.8534539192</v>
      </c>
      <c r="L8" s="7">
        <f>(Sheet1!$B$35 - Sheet1!L8) / (Sheet1!$B$35 - Sheet1!$B$34)</f>
        <v>0.757953581</v>
      </c>
      <c r="M8" s="7">
        <f>(Sheet1!$B$35 - Sheet1!M8) / (Sheet1!$B$35 - Sheet1!$B$34)</f>
        <v>0.6594252744</v>
      </c>
      <c r="N8" s="7"/>
      <c r="P8" s="9">
        <f>IFERROR(__xludf.DUMMYFUNCTION("""COMPUTED_VALUE"""),0.8834324561250491)</f>
        <v>0.8834324561</v>
      </c>
    </row>
    <row r="9">
      <c r="A9" s="1" t="s">
        <v>19</v>
      </c>
      <c r="B9" s="7">
        <f>(Sheet1!$B$35 - Sheet1!B9) / (Sheet1!$B$35 - Sheet1!$B$34)</f>
        <v>0.8384720276</v>
      </c>
      <c r="C9" s="7">
        <f>(Sheet1!$B$35 - Sheet1!C9) / (Sheet1!$B$35 - Sheet1!$B$34)</f>
        <v>0.8227064571</v>
      </c>
      <c r="D9" s="7">
        <f>(Sheet1!$B$35 - Sheet1!D9) / (Sheet1!$B$35 - Sheet1!$B$34)</f>
        <v>0.8818086874</v>
      </c>
      <c r="E9" s="7">
        <f>(Sheet1!$B$35 - Sheet1!E9) / (Sheet1!$B$35 - Sheet1!$B$34)</f>
        <v>0.8508138848</v>
      </c>
      <c r="F9" s="7">
        <f>(Sheet1!$B$35 - Sheet1!F9) / (Sheet1!$B$35 - Sheet1!$B$34)</f>
        <v>0.8458566604</v>
      </c>
      <c r="G9" s="7">
        <f>(Sheet1!$B$35 - Sheet1!G9) / (Sheet1!$B$35 - Sheet1!$B$34)</f>
        <v>0.9606565007</v>
      </c>
      <c r="H9" s="7">
        <f>(Sheet1!$B$35 - Sheet1!H9) / (Sheet1!$B$35 - Sheet1!$B$34)</f>
        <v>0.9253449554</v>
      </c>
      <c r="I9" s="7">
        <f>(Sheet1!$B$35 - Sheet1!I9) / (Sheet1!$B$35 - Sheet1!$B$34)</f>
        <v>0.9184654179</v>
      </c>
      <c r="J9" s="7">
        <f>(Sheet1!$B$35 - Sheet1!J9) / (Sheet1!$B$35 - Sheet1!$B$34)</f>
        <v>0.9280821903</v>
      </c>
      <c r="K9" s="7">
        <f>(Sheet1!$B$35 - Sheet1!K9) / (Sheet1!$B$35 - Sheet1!$B$34)</f>
        <v>0.8760972914</v>
      </c>
      <c r="L9" s="7">
        <f>(Sheet1!$B$35 - Sheet1!L9) / (Sheet1!$B$35 - Sheet1!$B$34)</f>
        <v>0.8904543228</v>
      </c>
      <c r="M9" s="7">
        <f>(Sheet1!$B$35 - Sheet1!M9) / (Sheet1!$B$35 - Sheet1!$B$34)</f>
        <v>0.924163796</v>
      </c>
      <c r="N9" s="7"/>
      <c r="P9" s="9">
        <f>IFERROR(__xludf.DUMMYFUNCTION("""COMPUTED_VALUE"""),0.8801736365050977)</f>
        <v>0.8801736365</v>
      </c>
    </row>
    <row r="10">
      <c r="A10" s="1" t="s">
        <v>20</v>
      </c>
      <c r="B10" s="7">
        <f>(Sheet1!$B$35 - Sheet1!B10) / (Sheet1!$B$35 - Sheet1!$B$34)</f>
        <v>0.8739363165</v>
      </c>
      <c r="C10" s="7">
        <f>(Sheet1!$B$35 - Sheet1!C10) / (Sheet1!$B$35 - Sheet1!$B$34)</f>
        <v>0.9072387626</v>
      </c>
      <c r="D10" s="7">
        <f>(Sheet1!$B$35 - Sheet1!D10) / (Sheet1!$B$35 - Sheet1!$B$34)</f>
        <v>0.8773895371</v>
      </c>
      <c r="E10" s="7">
        <f>(Sheet1!$B$35 - Sheet1!E10) / (Sheet1!$B$35 - Sheet1!$B$34)</f>
        <v>0.8626975112</v>
      </c>
      <c r="F10" s="7">
        <f>(Sheet1!$B$35 - Sheet1!F10) / (Sheet1!$B$35 - Sheet1!$B$34)</f>
        <v>0.8245819056</v>
      </c>
      <c r="G10" s="7">
        <f>(Sheet1!$B$35 - Sheet1!G10) / (Sheet1!$B$35 - Sheet1!$B$34)</f>
        <v>0.8978511057</v>
      </c>
      <c r="H10" s="7">
        <f>(Sheet1!$B$35 - Sheet1!H10) / (Sheet1!$B$35 - Sheet1!$B$34)</f>
        <v>0.798058325</v>
      </c>
      <c r="I10" s="7">
        <f>(Sheet1!$B$35 - Sheet1!I10) / (Sheet1!$B$35 - Sheet1!$B$34)</f>
        <v>0.8114173158</v>
      </c>
      <c r="J10" s="7">
        <f>(Sheet1!$B$35 - Sheet1!J10) / (Sheet1!$B$35 - Sheet1!$B$34)</f>
        <v>0.8347636557</v>
      </c>
      <c r="K10" s="7">
        <f>(Sheet1!$B$35 - Sheet1!K10) / (Sheet1!$B$35 - Sheet1!$B$34)</f>
        <v>0.8633258428</v>
      </c>
      <c r="L10" s="7">
        <f>(Sheet1!$B$35 - Sheet1!L10) / (Sheet1!$B$35 - Sheet1!$B$34)</f>
        <v>0.8430690895</v>
      </c>
      <c r="M10" s="7">
        <f>(Sheet1!$B$35 - Sheet1!M10) / (Sheet1!$B$35 - Sheet1!$B$34)</f>
        <v>0.8704475136</v>
      </c>
      <c r="N10" s="7"/>
      <c r="P10" s="9">
        <f>IFERROR(__xludf.DUMMYFUNCTION("""COMPUTED_VALUE"""),0.8975577685443109)</f>
        <v>0.8975577685</v>
      </c>
    </row>
    <row r="11">
      <c r="A11" s="1" t="s">
        <v>21</v>
      </c>
      <c r="B11" s="7">
        <f>(Sheet1!$B$35 - Sheet1!B11) / (Sheet1!$B$35 - Sheet1!$B$34)</f>
        <v>0.621014596</v>
      </c>
      <c r="C11" s="7">
        <f>(Sheet1!$B$35 - Sheet1!C11) / (Sheet1!$B$35 - Sheet1!$B$34)</f>
        <v>0.6036200496</v>
      </c>
      <c r="D11" s="7">
        <f>(Sheet1!$B$35 - Sheet1!D11) / (Sheet1!$B$35 - Sheet1!$B$34)</f>
        <v>0.5380834947</v>
      </c>
      <c r="E11" s="7">
        <f>(Sheet1!$B$35 - Sheet1!E11) / (Sheet1!$B$35 - Sheet1!$B$34)</f>
        <v>0.5831463309</v>
      </c>
      <c r="F11" s="7">
        <f>(Sheet1!$B$35 - Sheet1!F11) / (Sheet1!$B$35 - Sheet1!$B$34)</f>
        <v>0.4337491952</v>
      </c>
      <c r="G11" s="7">
        <f>(Sheet1!$B$35 - Sheet1!G11) / (Sheet1!$B$35 - Sheet1!$B$34)</f>
        <v>0.4138022684</v>
      </c>
      <c r="H11" s="7">
        <f>(Sheet1!$B$35 - Sheet1!H11) / (Sheet1!$B$35 - Sheet1!$B$34)</f>
        <v>0.5237707242</v>
      </c>
      <c r="I11" s="7">
        <f>(Sheet1!$B$35 - Sheet1!I11) / (Sheet1!$B$35 - Sheet1!$B$34)</f>
        <v>0.5724039423</v>
      </c>
      <c r="J11" s="7">
        <f>(Sheet1!$B$35 - Sheet1!J11) / (Sheet1!$B$35 - Sheet1!$B$34)</f>
        <v>0.6718842929</v>
      </c>
      <c r="K11" s="7">
        <f>(Sheet1!$B$35 - Sheet1!K11) / (Sheet1!$B$35 - Sheet1!$B$34)</f>
        <v>0.6585903917</v>
      </c>
      <c r="L11" s="7">
        <f>(Sheet1!$B$35 - Sheet1!L11) / (Sheet1!$B$35 - Sheet1!$B$34)</f>
        <v>0.6780868984</v>
      </c>
      <c r="M11" s="7">
        <f>(Sheet1!$B$35 - Sheet1!M11) / (Sheet1!$B$35 - Sheet1!$B$34)</f>
        <v>0.7664551515</v>
      </c>
      <c r="N11" s="7"/>
      <c r="P11" s="9">
        <f>IFERROR(__xludf.DUMMYFUNCTION("""COMPUTED_VALUE"""),0.9000129484923381)</f>
        <v>0.9000129485</v>
      </c>
    </row>
    <row r="12">
      <c r="A12" s="1" t="s">
        <v>22</v>
      </c>
      <c r="B12" s="7">
        <f>(Sheet1!$B$35 - Sheet1!B12) / (Sheet1!$B$35 - Sheet1!$B$34)</f>
        <v>0.8920616022</v>
      </c>
      <c r="C12" s="7">
        <f>(Sheet1!$B$35 - Sheet1!C12) / (Sheet1!$B$35 - Sheet1!$B$34)</f>
        <v>0.9031667569</v>
      </c>
      <c r="D12" s="7">
        <f>(Sheet1!$B$35 - Sheet1!D12) / (Sheet1!$B$35 - Sheet1!$B$34)</f>
        <v>0.8978623879</v>
      </c>
      <c r="E12" s="7">
        <f>(Sheet1!$B$35 - Sheet1!E12) / (Sheet1!$B$35 - Sheet1!$B$34)</f>
        <v>0.8786496719</v>
      </c>
      <c r="F12" s="7">
        <f>(Sheet1!$B$35 - Sheet1!F12) / (Sheet1!$B$35 - Sheet1!$B$34)</f>
        <v>0.868622401</v>
      </c>
      <c r="G12" s="7">
        <f>(Sheet1!$B$35 - Sheet1!G12) / (Sheet1!$B$35 - Sheet1!$B$34)</f>
        <v>0.8635159045</v>
      </c>
      <c r="H12" s="7">
        <f>(Sheet1!$B$35 - Sheet1!H12) / (Sheet1!$B$35 - Sheet1!$B$34)</f>
        <v>0.5300011013</v>
      </c>
      <c r="I12" s="7">
        <f>(Sheet1!$B$35 - Sheet1!I12) / (Sheet1!$B$35 - Sheet1!$B$34)</f>
        <v>0.8526632975</v>
      </c>
      <c r="J12" s="7">
        <f>(Sheet1!$B$35 - Sheet1!J12) / (Sheet1!$B$35 - Sheet1!$B$34)</f>
        <v>0.9025193323</v>
      </c>
      <c r="K12" s="7">
        <f>(Sheet1!$B$35 - Sheet1!K12) / (Sheet1!$B$35 - Sheet1!$B$34)</f>
        <v>0.9365629321</v>
      </c>
      <c r="L12" s="7">
        <f>(Sheet1!$B$35 - Sheet1!L12) / (Sheet1!$B$35 - Sheet1!$B$34)</f>
        <v>0.9244154758</v>
      </c>
      <c r="M12" s="7">
        <f>(Sheet1!$B$35 - Sheet1!M12) / (Sheet1!$B$35 - Sheet1!$B$34)</f>
        <v>0.9406687844</v>
      </c>
      <c r="N12" s="7"/>
      <c r="P12" s="9">
        <f>IFERROR(__xludf.DUMMYFUNCTION("""COMPUTED_VALUE"""),0.8145442204465199)</f>
        <v>0.8145442204</v>
      </c>
    </row>
    <row r="13">
      <c r="A13" s="1" t="s">
        <v>23</v>
      </c>
      <c r="B13" s="7">
        <f>(Sheet1!$B$35 - Sheet1!B13) / (Sheet1!$B$35 - Sheet1!$B$34)</f>
        <v>0.8423713289</v>
      </c>
      <c r="C13" s="7">
        <f>(Sheet1!$B$35 - Sheet1!C13) / (Sheet1!$B$35 - Sheet1!$B$34)</f>
        <v>0.8484741304</v>
      </c>
      <c r="D13" s="7">
        <f>(Sheet1!$B$35 - Sheet1!D13) / (Sheet1!$B$35 - Sheet1!$B$34)</f>
        <v>0.846247198</v>
      </c>
      <c r="E13" s="7">
        <f>(Sheet1!$B$35 - Sheet1!E13) / (Sheet1!$B$35 - Sheet1!$B$34)</f>
        <v>0.7385186925</v>
      </c>
      <c r="F13" s="7">
        <f>(Sheet1!$B$35 - Sheet1!F13) / (Sheet1!$B$35 - Sheet1!$B$34)</f>
        <v>0.7934187378</v>
      </c>
      <c r="G13" s="7">
        <f>(Sheet1!$B$35 - Sheet1!G13) / (Sheet1!$B$35 - Sheet1!$B$34)</f>
        <v>0.9110773137</v>
      </c>
      <c r="H13" s="7">
        <f>(Sheet1!$B$35 - Sheet1!H13) / (Sheet1!$B$35 - Sheet1!$B$34)</f>
        <v>0.8718959743</v>
      </c>
      <c r="I13" s="7">
        <f>(Sheet1!$B$35 - Sheet1!I13) / (Sheet1!$B$35 - Sheet1!$B$34)</f>
        <v>0.9151467159</v>
      </c>
      <c r="J13" s="7">
        <f>(Sheet1!$B$35 - Sheet1!J13) / (Sheet1!$B$35 - Sheet1!$B$34)</f>
        <v>0.9126030141</v>
      </c>
      <c r="K13" s="7">
        <f>(Sheet1!$B$35 - Sheet1!K13) / (Sheet1!$B$35 - Sheet1!$B$34)</f>
        <v>0.874578534</v>
      </c>
      <c r="L13" s="7">
        <f>(Sheet1!$B$35 - Sheet1!L13) / (Sheet1!$B$35 - Sheet1!$B$34)</f>
        <v>0.8759792623</v>
      </c>
      <c r="M13" s="7">
        <f>(Sheet1!$B$35 - Sheet1!M13) / (Sheet1!$B$35 - Sheet1!$B$34)</f>
        <v>0.9010856252</v>
      </c>
      <c r="N13" s="7"/>
      <c r="P13" s="9">
        <f>IFERROR(__xludf.DUMMYFUNCTION("""COMPUTED_VALUE"""),0.8610997782874438)</f>
        <v>0.8610997783</v>
      </c>
    </row>
    <row r="14">
      <c r="A14" s="1" t="s">
        <v>24</v>
      </c>
      <c r="B14" s="7">
        <f>(Sheet1!$B$35 - Sheet1!B14) / (Sheet1!$B$35 - Sheet1!$B$34)</f>
        <v>0.9256947035</v>
      </c>
      <c r="C14" s="7">
        <f>(Sheet1!$B$35 - Sheet1!C14) / (Sheet1!$B$35 - Sheet1!$B$34)</f>
        <v>0.8271663969</v>
      </c>
      <c r="D14" s="7">
        <f>(Sheet1!$B$35 - Sheet1!D14) / (Sheet1!$B$35 - Sheet1!$B$34)</f>
        <v>0.8389745193</v>
      </c>
      <c r="E14" s="7">
        <f>(Sheet1!$B$35 - Sheet1!E14) / (Sheet1!$B$35 - Sheet1!$B$34)</f>
        <v>0.8777141172</v>
      </c>
      <c r="F14" s="7">
        <f>(Sheet1!$B$35 - Sheet1!F14) / (Sheet1!$B$35 - Sheet1!$B$34)</f>
        <v>0.8764496432</v>
      </c>
      <c r="G14" s="7">
        <f>(Sheet1!$B$35 - Sheet1!G14) / (Sheet1!$B$35 - Sheet1!$B$34)</f>
        <v>0.9339671586</v>
      </c>
      <c r="H14" s="7">
        <f>(Sheet1!$B$35 - Sheet1!H14) / (Sheet1!$B$35 - Sheet1!$B$34)</f>
        <v>0.8036777276</v>
      </c>
      <c r="I14" s="7">
        <f>(Sheet1!$B$35 - Sheet1!I14) / (Sheet1!$B$35 - Sheet1!$B$34)</f>
        <v>0.8138386491</v>
      </c>
      <c r="J14" s="7">
        <f>(Sheet1!$B$35 - Sheet1!J14) / (Sheet1!$B$35 - Sheet1!$B$34)</f>
        <v>0.7673290879</v>
      </c>
      <c r="K14" s="7">
        <f>(Sheet1!$B$35 - Sheet1!K14) / (Sheet1!$B$35 - Sheet1!$B$34)</f>
        <v>0.6863150925</v>
      </c>
      <c r="L14" s="7">
        <f>(Sheet1!$B$35 - Sheet1!L14) / (Sheet1!$B$35 - Sheet1!$B$34)</f>
        <v>0.8204387352</v>
      </c>
      <c r="M14" s="7">
        <f>(Sheet1!$B$35 - Sheet1!M14) / (Sheet1!$B$35 - Sheet1!$B$34)</f>
        <v>0.78066725</v>
      </c>
      <c r="N14" s="7"/>
      <c r="P14" s="9">
        <f>IFERROR(__xludf.DUMMYFUNCTION("""COMPUTED_VALUE"""),0.7501593176595825)</f>
        <v>0.7501593177</v>
      </c>
    </row>
    <row r="15">
      <c r="A15" s="1" t="s">
        <v>25</v>
      </c>
      <c r="B15" s="7">
        <f>(Sheet1!$B$35 - Sheet1!B15) / (Sheet1!$B$35 - Sheet1!$B$34)</f>
        <v>0.8843497856</v>
      </c>
      <c r="C15" s="7">
        <f>(Sheet1!$B$35 - Sheet1!C15) / (Sheet1!$B$35 - Sheet1!$B$34)</f>
        <v>0.8841996456</v>
      </c>
      <c r="D15" s="7">
        <f>(Sheet1!$B$35 - Sheet1!D15) / (Sheet1!$B$35 - Sheet1!$B$34)</f>
        <v>0.852973124</v>
      </c>
      <c r="E15" s="7">
        <f>(Sheet1!$B$35 - Sheet1!E15) / (Sheet1!$B$35 - Sheet1!$B$34)</f>
        <v>0.8030407174</v>
      </c>
      <c r="F15" s="7">
        <f>(Sheet1!$B$35 - Sheet1!F15) / (Sheet1!$B$35 - Sheet1!$B$34)</f>
        <v>0.7524192288</v>
      </c>
      <c r="G15" s="7">
        <f>(Sheet1!$B$35 - Sheet1!G15) / (Sheet1!$B$35 - Sheet1!$B$34)</f>
        <v>0.8021511594</v>
      </c>
      <c r="H15" s="7">
        <f>(Sheet1!$B$35 - Sheet1!H15) / (Sheet1!$B$35 - Sheet1!$B$34)</f>
        <v>0.7468310691</v>
      </c>
      <c r="I15" s="7">
        <f>(Sheet1!$B$35 - Sheet1!I15) / (Sheet1!$B$35 - Sheet1!$B$34)</f>
        <v>0.7753724275</v>
      </c>
      <c r="J15" s="7">
        <f>(Sheet1!$B$35 - Sheet1!J15) / (Sheet1!$B$35 - Sheet1!$B$34)</f>
        <v>0.7722064691</v>
      </c>
      <c r="K15" s="7">
        <f>(Sheet1!$B$35 - Sheet1!K15) / (Sheet1!$B$35 - Sheet1!$B$34)</f>
        <v>0.7411318232</v>
      </c>
      <c r="L15" s="7">
        <f>(Sheet1!$B$35 - Sheet1!L15) / (Sheet1!$B$35 - Sheet1!$B$34)</f>
        <v>0.7650847983</v>
      </c>
      <c r="M15" s="7">
        <f>(Sheet1!$B$35 - Sheet1!M15) / (Sheet1!$B$35 - Sheet1!$B$34)</f>
        <v>0.8439187258</v>
      </c>
      <c r="N15" s="7"/>
      <c r="P15" s="9">
        <f>IFERROR(__xludf.DUMMYFUNCTION("""COMPUTED_VALUE"""),0.6199696908078807)</f>
        <v>0.6199696908</v>
      </c>
    </row>
    <row r="16">
      <c r="A16" s="1" t="s">
        <v>26</v>
      </c>
      <c r="B16" s="7">
        <f>(Sheet1!$B$35 - Sheet1!B16) / (Sheet1!$B$35 - Sheet1!$B$34)</f>
        <v>0.7766325623</v>
      </c>
      <c r="C16" s="7">
        <f>(Sheet1!$B$35 - Sheet1!C16) / (Sheet1!$B$35 - Sheet1!$B$34)</f>
        <v>0.7050773885</v>
      </c>
      <c r="D16" s="7">
        <f>(Sheet1!$B$35 - Sheet1!D16) / (Sheet1!$B$35 - Sheet1!$B$34)</f>
        <v>0.8015315064</v>
      </c>
      <c r="E16" s="7">
        <f>(Sheet1!$B$35 - Sheet1!E16) / (Sheet1!$B$35 - Sheet1!$B$34)</f>
        <v>0.8051062275</v>
      </c>
      <c r="F16" s="7">
        <f>(Sheet1!$B$35 - Sheet1!F16) / (Sheet1!$B$35 - Sheet1!$B$34)</f>
        <v>0.9044503239</v>
      </c>
      <c r="G16" s="7">
        <f>(Sheet1!$B$35 - Sheet1!G16) / (Sheet1!$B$35 - Sheet1!$B$34)</f>
        <v>0.9507568055</v>
      </c>
      <c r="H16" s="7">
        <f>(Sheet1!$B$35 - Sheet1!H16) / (Sheet1!$B$35 - Sheet1!$B$34)</f>
        <v>0.8645425845</v>
      </c>
      <c r="I16" s="7">
        <f>(Sheet1!$B$35 - Sheet1!I16) / (Sheet1!$B$35 - Sheet1!$B$34)</f>
        <v>0.8373004147</v>
      </c>
      <c r="J16" s="7">
        <f>(Sheet1!$B$35 - Sheet1!J16) / (Sheet1!$B$35 - Sheet1!$B$34)</f>
        <v>0.7367421802</v>
      </c>
      <c r="K16" s="7">
        <f>(Sheet1!$B$35 - Sheet1!K16) / (Sheet1!$B$35 - Sheet1!$B$34)</f>
        <v>0.8215938587</v>
      </c>
      <c r="L16" s="7">
        <f>(Sheet1!$B$35 - Sheet1!L16) / (Sheet1!$B$35 - Sheet1!$B$34)</f>
        <v>0.7630323061</v>
      </c>
      <c r="M16" s="7">
        <f>(Sheet1!$B$35 - Sheet1!M16) / (Sheet1!$B$35 - Sheet1!$B$34)</f>
        <v>0.8451606355</v>
      </c>
      <c r="N16" s="7"/>
      <c r="P16" s="9">
        <f>IFERROR(__xludf.DUMMYFUNCTION("""COMPUTED_VALUE"""),0.4940811851376648)</f>
        <v>0.4940811851</v>
      </c>
    </row>
    <row r="17">
      <c r="A17" s="1" t="s">
        <v>27</v>
      </c>
      <c r="B17" s="7">
        <f>(Sheet1!$B$35 - Sheet1!B17) / (Sheet1!$B$35 - Sheet1!$B$34)</f>
        <v>0.8540327828</v>
      </c>
      <c r="C17" s="7">
        <f>(Sheet1!$B$35 - Sheet1!C17) / (Sheet1!$B$35 - Sheet1!$B$34)</f>
        <v>0.8888053862</v>
      </c>
      <c r="D17" s="7">
        <f>(Sheet1!$B$35 - Sheet1!D17) / (Sheet1!$B$35 - Sheet1!$B$34)</f>
        <v>0.944867498</v>
      </c>
      <c r="E17" s="7">
        <f>(Sheet1!$B$35 - Sheet1!E17) / (Sheet1!$B$35 - Sheet1!$B$34)</f>
        <v>0.9355431949</v>
      </c>
      <c r="F17" s="7">
        <f>(Sheet1!$B$35 - Sheet1!F17) / (Sheet1!$B$35 - Sheet1!$B$34)</f>
        <v>0.6311147671</v>
      </c>
      <c r="G17" s="7">
        <f>(Sheet1!$B$35 - Sheet1!G17) / (Sheet1!$B$35 - Sheet1!$B$34)</f>
        <v>1</v>
      </c>
      <c r="H17" s="7">
        <f>(Sheet1!$B$35 - Sheet1!H17) / (Sheet1!$B$35 - Sheet1!$B$34)</f>
        <v>0.9344679146</v>
      </c>
      <c r="I17" s="7">
        <f>(Sheet1!$B$35 - Sheet1!I17) / (Sheet1!$B$35 - Sheet1!$B$34)</f>
        <v>0.9608413552</v>
      </c>
      <c r="J17" s="7">
        <f>(Sheet1!$B$35 - Sheet1!J17) / (Sheet1!$B$35 - Sheet1!$B$34)</f>
        <v>0.7272842264</v>
      </c>
      <c r="K17" s="7">
        <f>(Sheet1!$B$35 - Sheet1!K17) / (Sheet1!$B$35 - Sheet1!$B$34)</f>
        <v>0.8687491088</v>
      </c>
      <c r="L17" s="7">
        <f>(Sheet1!$B$35 - Sheet1!L17) / (Sheet1!$B$35 - Sheet1!$B$34)</f>
        <v>0.8597181429</v>
      </c>
      <c r="M17" s="7">
        <f>(Sheet1!$B$35 - Sheet1!M17) / (Sheet1!$B$35 - Sheet1!$B$34)</f>
        <v>0.9460234894</v>
      </c>
      <c r="N17" s="7"/>
      <c r="P17" s="9">
        <f>IFERROR(__xludf.DUMMYFUNCTION("""COMPUTED_VALUE"""),0.20703341795849983)</f>
        <v>0.207033418</v>
      </c>
    </row>
    <row r="18">
      <c r="A18" s="1" t="s">
        <v>28</v>
      </c>
      <c r="B18" s="7">
        <f>(Sheet1!$B$35 - Sheet1!B18) / (Sheet1!$B$35 - Sheet1!$B$34)</f>
        <v>0.8368673518</v>
      </c>
      <c r="C18" s="7">
        <f>(Sheet1!$B$35 - Sheet1!C18) / (Sheet1!$B$35 - Sheet1!$B$34)</f>
        <v>0.7985165558</v>
      </c>
      <c r="D18" s="7">
        <f>(Sheet1!$B$35 - Sheet1!D18) / (Sheet1!$B$35 - Sheet1!$B$34)</f>
        <v>0.7889058585</v>
      </c>
      <c r="E18" s="7">
        <f>(Sheet1!$B$35 - Sheet1!E18) / (Sheet1!$B$35 - Sheet1!$B$34)</f>
        <v>0.5428142073</v>
      </c>
      <c r="F18" s="7">
        <f>(Sheet1!$B$35 - Sheet1!F18) / (Sheet1!$B$35 - Sheet1!$B$34)</f>
        <v>0.643946966</v>
      </c>
      <c r="G18" s="7">
        <f>(Sheet1!$B$35 - Sheet1!G18) / (Sheet1!$B$35 - Sheet1!$B$34)</f>
        <v>0.8556851909</v>
      </c>
      <c r="H18" s="7">
        <f>(Sheet1!$B$35 - Sheet1!H18) / (Sheet1!$B$35 - Sheet1!$B$34)</f>
        <v>0.825048815</v>
      </c>
      <c r="I18" s="7">
        <f>(Sheet1!$B$35 - Sheet1!I18) / (Sheet1!$B$35 - Sheet1!$B$34)</f>
        <v>0.7588249139</v>
      </c>
      <c r="J18" s="7">
        <f>(Sheet1!$B$35 - Sheet1!J18) / (Sheet1!$B$35 - Sheet1!$B$34)</f>
        <v>0.843398009</v>
      </c>
      <c r="K18" s="7">
        <f>(Sheet1!$B$35 - Sheet1!K18) / (Sheet1!$B$35 - Sheet1!$B$34)</f>
        <v>0.8763081818</v>
      </c>
      <c r="L18" s="7">
        <f>(Sheet1!$B$35 - Sheet1!L18) / (Sheet1!$B$35 - Sheet1!$B$34)</f>
        <v>0.7989565615</v>
      </c>
      <c r="M18" s="7">
        <f>(Sheet1!$B$35 - Sheet1!M18) / (Sheet1!$B$35 - Sheet1!$B$34)</f>
        <v>0.8725095523</v>
      </c>
      <c r="N18" s="7"/>
      <c r="P18" s="9">
        <f>IFERROR(__xludf.DUMMYFUNCTION("""COMPUTED_VALUE"""),0.38103355698989877)</f>
        <v>0.381033557</v>
      </c>
    </row>
    <row r="19">
      <c r="A19" s="1" t="s">
        <v>29</v>
      </c>
      <c r="B19" s="7">
        <f>(Sheet1!$B$35 - Sheet1!B19) / (Sheet1!$B$35 - Sheet1!$B$34)</f>
        <v>0.9010708716</v>
      </c>
      <c r="C19" s="7">
        <f>(Sheet1!$B$35 - Sheet1!C19) / (Sheet1!$B$35 - Sheet1!$B$34)</f>
        <v>0.9178110504</v>
      </c>
      <c r="D19" s="7">
        <f>(Sheet1!$B$35 - Sheet1!D19) / (Sheet1!$B$35 - Sheet1!$B$34)</f>
        <v>0.9664633615</v>
      </c>
      <c r="E19" s="7">
        <f>(Sheet1!$B$35 - Sheet1!E19) / (Sheet1!$B$35 - Sheet1!$B$34)</f>
        <v>0.9855806127</v>
      </c>
      <c r="F19" s="7">
        <f>(Sheet1!$B$35 - Sheet1!F19) / (Sheet1!$B$35 - Sheet1!$B$34)</f>
        <v>0.9915445564</v>
      </c>
      <c r="G19" s="7">
        <f>(Sheet1!$B$35 - Sheet1!G19) / (Sheet1!$B$35 - Sheet1!$B$34)</f>
        <v>0.9913223839</v>
      </c>
      <c r="H19" s="7">
        <f>(Sheet1!$B$35 - Sheet1!H19) / (Sheet1!$B$35 - Sheet1!$B$34)</f>
        <v>0.9690435134</v>
      </c>
      <c r="I19" s="7">
        <f>(Sheet1!$B$35 - Sheet1!I19) / (Sheet1!$B$35 - Sheet1!$B$34)</f>
        <v>0.9155146891</v>
      </c>
      <c r="J19" s="7">
        <f>(Sheet1!$B$35 - Sheet1!J19) / (Sheet1!$B$35 - Sheet1!$B$34)</f>
        <v>0.9428861703</v>
      </c>
      <c r="K19" s="7">
        <f>(Sheet1!$B$35 - Sheet1!K19) / (Sheet1!$B$35 - Sheet1!$B$34)</f>
        <v>0.9683431493</v>
      </c>
      <c r="L19" s="7">
        <f>(Sheet1!$B$35 - Sheet1!L19) / (Sheet1!$B$35 - Sheet1!$B$34)</f>
        <v>0.9480742459</v>
      </c>
      <c r="M19" s="7">
        <f>(Sheet1!$B$35 - Sheet1!M19) / (Sheet1!$B$35 - Sheet1!$B$34)</f>
        <v>0.9784007952</v>
      </c>
      <c r="N19" s="7"/>
      <c r="P19" s="9">
        <f>IFERROR(__xludf.DUMMYFUNCTION("""COMPUTED_VALUE"""),0.5407417542100172)</f>
        <v>0.5407417542</v>
      </c>
    </row>
    <row r="20">
      <c r="A20" s="1" t="s">
        <v>30</v>
      </c>
      <c r="B20" s="7">
        <f>(Sheet1!$B$35 - Sheet1!B20) / (Sheet1!$B$35 - Sheet1!$B$34)</f>
        <v>0.9026417007</v>
      </c>
      <c r="C20" s="7">
        <f>(Sheet1!$B$35 - Sheet1!C20) / (Sheet1!$B$35 - Sheet1!$B$34)</f>
        <v>0.9151692803</v>
      </c>
      <c r="D20" s="7">
        <f>(Sheet1!$B$35 - Sheet1!D20) / (Sheet1!$B$35 - Sheet1!$B$34)</f>
        <v>0.9650400687</v>
      </c>
      <c r="E20" s="7">
        <f>(Sheet1!$B$35 - Sheet1!E20) / (Sheet1!$B$35 - Sheet1!$B$34)</f>
        <v>0.975647071</v>
      </c>
      <c r="F20" s="7">
        <f>(Sheet1!$B$35 - Sheet1!F20) / (Sheet1!$B$35 - Sheet1!$B$34)</f>
        <v>0.9723361797</v>
      </c>
      <c r="G20" s="7">
        <f>(Sheet1!$B$35 - Sheet1!G20) / (Sheet1!$B$35 - Sheet1!$B$34)</f>
        <v>0.9883976909</v>
      </c>
      <c r="H20" s="7">
        <f>(Sheet1!$B$35 - Sheet1!H20) / (Sheet1!$B$35 - Sheet1!$B$34)</f>
        <v>0.9640350852</v>
      </c>
      <c r="I20" s="7">
        <f>(Sheet1!$B$35 - Sheet1!I20) / (Sheet1!$B$35 - Sheet1!$B$34)</f>
        <v>0.9463793125</v>
      </c>
      <c r="J20" s="7">
        <f>(Sheet1!$B$35 - Sheet1!J20) / (Sheet1!$B$35 - Sheet1!$B$34)</f>
        <v>0.9334880991</v>
      </c>
      <c r="K20" s="7">
        <f>(Sheet1!$B$35 - Sheet1!K20) / (Sheet1!$B$35 - Sheet1!$B$34)</f>
        <v>0.9476845761</v>
      </c>
      <c r="L20" s="7">
        <f>(Sheet1!$B$35 - Sheet1!L20) / (Sheet1!$B$35 - Sheet1!$B$34)</f>
        <v>0.9229531293</v>
      </c>
      <c r="M20" s="7">
        <f>(Sheet1!$B$35 - Sheet1!M20) / (Sheet1!$B$35 - Sheet1!$B$34)</f>
        <v>0.9574011525</v>
      </c>
      <c r="N20" s="7"/>
      <c r="P20" s="9">
        <f>IFERROR(__xludf.DUMMYFUNCTION("""COMPUTED_VALUE"""),0.477709847371816)</f>
        <v>0.4777098474</v>
      </c>
    </row>
    <row r="21">
      <c r="A21" s="1" t="s">
        <v>31</v>
      </c>
      <c r="B21" s="7">
        <f>(Sheet1!$B$35 - Sheet1!B21) / (Sheet1!$B$35 - Sheet1!$B$34)</f>
        <v>0.8386881251</v>
      </c>
      <c r="C21" s="7">
        <f>(Sheet1!$B$35 - Sheet1!C21) / (Sheet1!$B$35 - Sheet1!$B$34)</f>
        <v>0.8026076545</v>
      </c>
      <c r="D21" s="7">
        <f>(Sheet1!$B$35 - Sheet1!D21) / (Sheet1!$B$35 - Sheet1!$B$34)</f>
        <v>0.8484758661</v>
      </c>
      <c r="E21" s="7">
        <f>(Sheet1!$B$35 - Sheet1!E21) / (Sheet1!$B$35 - Sheet1!$B$34)</f>
        <v>0.8052042959</v>
      </c>
      <c r="F21" s="7">
        <f>(Sheet1!$B$35 - Sheet1!F21) / (Sheet1!$B$35 - Sheet1!$B$34)</f>
        <v>0.8260303663</v>
      </c>
      <c r="G21" s="7">
        <f>(Sheet1!$B$35 - Sheet1!G21) / (Sheet1!$B$35 - Sheet1!$B$34)</f>
        <v>0.9005961514</v>
      </c>
      <c r="H21" s="7">
        <f>(Sheet1!$B$35 - Sheet1!H21) / (Sheet1!$B$35 - Sheet1!$B$34)</f>
        <v>0.876638837</v>
      </c>
      <c r="I21" s="7">
        <f>(Sheet1!$B$35 - Sheet1!I21) / (Sheet1!$B$35 - Sheet1!$B$34)</f>
        <v>0.9279502754</v>
      </c>
      <c r="J21" s="7">
        <f>(Sheet1!$B$35 - Sheet1!J21) / (Sheet1!$B$35 - Sheet1!$B$34)</f>
        <v>0.9406870095</v>
      </c>
      <c r="K21" s="7">
        <f>(Sheet1!$B$35 - Sheet1!K21) / (Sheet1!$B$35 - Sheet1!$B$34)</f>
        <v>0.9638302699</v>
      </c>
      <c r="L21" s="7">
        <f>(Sheet1!$B$35 - Sheet1!L21) / (Sheet1!$B$35 - Sheet1!$B$34)</f>
        <v>0.9643292902</v>
      </c>
      <c r="M21" s="7">
        <f>(Sheet1!$B$35 - Sheet1!M21) / (Sheet1!$B$35 - Sheet1!$B$34)</f>
        <v>0.948292947</v>
      </c>
      <c r="N21" s="7"/>
      <c r="P21" s="9">
        <f>IFERROR(__xludf.DUMMYFUNCTION("""COMPUTED_VALUE"""),0.5961876844042785)</f>
        <v>0.5961876844</v>
      </c>
    </row>
    <row r="22">
      <c r="A22" s="1" t="s">
        <v>32</v>
      </c>
      <c r="B22" s="7">
        <f>(Sheet1!$B$35 - Sheet1!B22) / (Sheet1!$B$35 - Sheet1!$B$34)</f>
        <v>0.9766225472</v>
      </c>
      <c r="C22" s="7">
        <f>(Sheet1!$B$35 - Sheet1!C22) / (Sheet1!$B$35 - Sheet1!$B$34)</f>
        <v>0.9667818666</v>
      </c>
      <c r="D22" s="7">
        <f>(Sheet1!$B$35 - Sheet1!D22) / (Sheet1!$B$35 - Sheet1!$B$34)</f>
        <v>0.9807769998</v>
      </c>
      <c r="E22" s="7">
        <f>(Sheet1!$B$35 - Sheet1!E22) / (Sheet1!$B$35 - Sheet1!$B$34)</f>
        <v>0.9456494411</v>
      </c>
      <c r="F22" s="7">
        <f>(Sheet1!$B$35 - Sheet1!F22) / (Sheet1!$B$35 - Sheet1!$B$34)</f>
        <v>0.9277437243</v>
      </c>
      <c r="G22" s="7">
        <f>(Sheet1!$B$35 - Sheet1!G22) / (Sheet1!$B$35 - Sheet1!$B$34)</f>
        <v>0.9765053859</v>
      </c>
      <c r="H22" s="7">
        <f>(Sheet1!$B$35 - Sheet1!H22) / (Sheet1!$B$35 - Sheet1!$B$34)</f>
        <v>0</v>
      </c>
      <c r="I22" s="7">
        <f>(Sheet1!$B$35 - Sheet1!I22) / (Sheet1!$B$35 - Sheet1!$B$34)</f>
        <v>1</v>
      </c>
      <c r="J22" s="7">
        <f>(Sheet1!$B$35 - Sheet1!J22) / (Sheet1!$B$35 - Sheet1!$B$34)</f>
        <v>0</v>
      </c>
      <c r="K22" s="7">
        <f>(Sheet1!$B$35 - Sheet1!K22) / (Sheet1!$B$35 - Sheet1!$B$34)</f>
        <v>0.9479510096</v>
      </c>
      <c r="L22" s="7">
        <f>(Sheet1!$B$35 - Sheet1!L22) / (Sheet1!$B$35 - Sheet1!$B$34)</f>
        <v>0.951862461</v>
      </c>
      <c r="M22" s="7">
        <f>(Sheet1!$B$35 - Sheet1!M22) / (Sheet1!$B$35 - Sheet1!$B$34)</f>
        <v>0.9659808305</v>
      </c>
      <c r="N22" s="7"/>
      <c r="P22" s="9">
        <f>IFERROR(__xludf.DUMMYFUNCTION("""COMPUTED_VALUE"""),0.5939026052939371)</f>
        <v>0.5939026053</v>
      </c>
    </row>
    <row r="23">
      <c r="A23" s="1" t="s">
        <v>33</v>
      </c>
      <c r="B23" s="7">
        <f>(Sheet1!$B$35 - Sheet1!B23) / (Sheet1!$B$35 - Sheet1!$B$34)</f>
        <v>0.7233805858</v>
      </c>
      <c r="C23" s="7">
        <f>(Sheet1!$B$35 - Sheet1!C23) / (Sheet1!$B$35 - Sheet1!$B$34)</f>
        <v>0.7011989158</v>
      </c>
      <c r="D23" s="7">
        <f>(Sheet1!$B$35 - Sheet1!D23) / (Sheet1!$B$35 - Sheet1!$B$34)</f>
        <v>0.8119736149</v>
      </c>
      <c r="E23" s="7">
        <f>(Sheet1!$B$35 - Sheet1!E23) / (Sheet1!$B$35 - Sheet1!$B$34)</f>
        <v>0.4699077732</v>
      </c>
      <c r="F23" s="7">
        <f>(Sheet1!$B$35 - Sheet1!F23) / (Sheet1!$B$35 - Sheet1!$B$34)</f>
        <v>0.6250492837</v>
      </c>
      <c r="G23" s="7">
        <f>(Sheet1!$B$35 - Sheet1!G23) / (Sheet1!$B$35 - Sheet1!$B$34)</f>
        <v>0.8589839322</v>
      </c>
      <c r="H23" s="7">
        <f>(Sheet1!$B$35 - Sheet1!H23) / (Sheet1!$B$35 - Sheet1!$B$34)</f>
        <v>0.6789669099</v>
      </c>
      <c r="I23" s="7">
        <f>(Sheet1!$B$35 - Sheet1!I23) / (Sheet1!$B$35 - Sheet1!$B$34)</f>
        <v>0.5759630419</v>
      </c>
      <c r="J23" s="7">
        <f>(Sheet1!$B$35 - Sheet1!J23) / (Sheet1!$B$35 - Sheet1!$B$34)</f>
        <v>0.847869231</v>
      </c>
      <c r="K23" s="7">
        <f>(Sheet1!$B$35 - Sheet1!K23) / (Sheet1!$B$35 - Sheet1!$B$34)</f>
        <v>0.6773926093</v>
      </c>
      <c r="L23" s="7">
        <f>(Sheet1!$B$35 - Sheet1!L23) / (Sheet1!$B$35 - Sheet1!$B$34)</f>
        <v>0.7903977122</v>
      </c>
      <c r="M23" s="7">
        <f>(Sheet1!$B$35 - Sheet1!M23) / (Sheet1!$B$35 - Sheet1!$B$34)</f>
        <v>0.7263113538</v>
      </c>
      <c r="N23" s="7"/>
      <c r="P23" s="9">
        <f>IFERROR(__xludf.DUMMYFUNCTION("""COMPUTED_VALUE"""),0.6392075748333031)</f>
        <v>0.6392075748</v>
      </c>
    </row>
    <row r="24">
      <c r="A24" s="1" t="s">
        <v>34</v>
      </c>
      <c r="B24" s="7">
        <f>(Sheet1!$B$35 - Sheet1!B24) / (Sheet1!$B$35 - Sheet1!$B$34)</f>
        <v>0.9794361539</v>
      </c>
      <c r="C24" s="7">
        <f>(Sheet1!$B$35 - Sheet1!C24) / (Sheet1!$B$35 - Sheet1!$B$34)</f>
        <v>0.9485125159</v>
      </c>
      <c r="D24" s="7">
        <f>(Sheet1!$B$35 - Sheet1!D24) / (Sheet1!$B$35 - Sheet1!$B$34)</f>
        <v>0.4733505795</v>
      </c>
      <c r="E24" s="7">
        <f>(Sheet1!$B$35 - Sheet1!E24) / (Sheet1!$B$35 - Sheet1!$B$34)</f>
        <v>1</v>
      </c>
      <c r="F24" s="7">
        <f>(Sheet1!$B$35 - Sheet1!F24) / (Sheet1!$B$35 - Sheet1!$B$34)</f>
        <v>1</v>
      </c>
      <c r="G24" s="7">
        <f>(Sheet1!$B$35 - Sheet1!G24) / (Sheet1!$B$35 - Sheet1!$B$34)</f>
        <v>1</v>
      </c>
      <c r="H24" s="7">
        <f>(Sheet1!$B$35 - Sheet1!H24) / (Sheet1!$B$35 - Sheet1!$B$34)</f>
        <v>1</v>
      </c>
      <c r="I24" s="7">
        <f>(Sheet1!$B$35 - Sheet1!I24) / (Sheet1!$B$35 - Sheet1!$B$34)</f>
        <v>0.9462716977</v>
      </c>
      <c r="J24" s="7">
        <f>(Sheet1!$B$35 - Sheet1!J24) / (Sheet1!$B$35 - Sheet1!$B$34)</f>
        <v>0.8693600833</v>
      </c>
      <c r="K24" s="7">
        <f>(Sheet1!$B$35 - Sheet1!K24) / (Sheet1!$B$35 - Sheet1!$B$34)</f>
        <v>0.9557877982</v>
      </c>
      <c r="L24" s="7">
        <f>(Sheet1!$B$35 - Sheet1!L24) / (Sheet1!$B$35 - Sheet1!$B$34)</f>
        <v>0.9438008963</v>
      </c>
      <c r="M24" s="7">
        <f>(Sheet1!$B$35 - Sheet1!M24) / (Sheet1!$B$35 - Sheet1!$B$34)</f>
        <v>0.9742159675</v>
      </c>
      <c r="N24" s="7"/>
      <c r="P24" s="9">
        <f>IFERROR(__xludf.DUMMYFUNCTION("""COMPUTED_VALUE"""),0.5709468029590948)</f>
        <v>0.570946803</v>
      </c>
    </row>
    <row r="25">
      <c r="A25" s="1" t="s">
        <v>35</v>
      </c>
      <c r="B25" s="7">
        <f>(Sheet1!$B$35 - Sheet1!B25) / (Sheet1!$B$35 - Sheet1!$B$34)</f>
        <v>0.5651043599</v>
      </c>
      <c r="C25" s="7">
        <f>(Sheet1!$B$35 - Sheet1!C25) / (Sheet1!$B$35 - Sheet1!$B$34)</f>
        <v>1</v>
      </c>
      <c r="D25" s="7">
        <f>(Sheet1!$B$35 - Sheet1!D25) / (Sheet1!$B$35 - Sheet1!$B$34)</f>
        <v>0.9271848216</v>
      </c>
      <c r="E25" s="7">
        <f>(Sheet1!$B$35 - Sheet1!E25) / (Sheet1!$B$35 - Sheet1!$B$34)</f>
        <v>1</v>
      </c>
      <c r="F25" s="7">
        <f>(Sheet1!$B$35 - Sheet1!F25) / (Sheet1!$B$35 - Sheet1!$B$34)</f>
        <v>0.943189054</v>
      </c>
      <c r="G25" s="7">
        <f>(Sheet1!$B$35 - Sheet1!G25) / (Sheet1!$B$35 - Sheet1!$B$34)</f>
        <v>0.8562814117</v>
      </c>
      <c r="H25" s="7">
        <f>(Sheet1!$B$35 - Sheet1!H25) / (Sheet1!$B$35 - Sheet1!$B$34)</f>
        <v>1</v>
      </c>
      <c r="I25" s="7">
        <f>(Sheet1!$B$35 - Sheet1!I25) / (Sheet1!$B$35 - Sheet1!$B$34)</f>
        <v>1</v>
      </c>
      <c r="J25" s="7">
        <f>(Sheet1!$B$35 - Sheet1!J25) / (Sheet1!$B$35 - Sheet1!$B$34)</f>
        <v>1</v>
      </c>
      <c r="K25" s="7">
        <f>(Sheet1!$B$35 - Sheet1!K25) / (Sheet1!$B$35 - Sheet1!$B$34)</f>
        <v>1</v>
      </c>
      <c r="L25" s="7">
        <f>(Sheet1!$B$35 - Sheet1!L25) / (Sheet1!$B$35 - Sheet1!$B$34)</f>
        <v>1</v>
      </c>
      <c r="M25" s="7">
        <f>(Sheet1!$B$35 - Sheet1!M25) / (Sheet1!$B$35 - Sheet1!$B$34)</f>
        <v>0.956540234</v>
      </c>
      <c r="N25" s="7"/>
      <c r="P25" s="9">
        <f>IFERROR(__xludf.DUMMYFUNCTION("""COMPUTED_VALUE"""),0.6805125711028008)</f>
        <v>0.6805125711</v>
      </c>
    </row>
    <row r="26">
      <c r="A26" s="1" t="s">
        <v>36</v>
      </c>
      <c r="B26" s="7">
        <f>(Sheet1!$B$35 - Sheet1!B26) / (Sheet1!$B$35 - Sheet1!$B$34)</f>
        <v>0.8205576322</v>
      </c>
      <c r="C26" s="7">
        <f>(Sheet1!$B$35 - Sheet1!C26) / (Sheet1!$B$35 - Sheet1!$B$34)</f>
        <v>0.7859264902</v>
      </c>
      <c r="D26" s="7">
        <f>(Sheet1!$B$35 - Sheet1!D26) / (Sheet1!$B$35 - Sheet1!$B$34)</f>
        <v>0.81214198</v>
      </c>
      <c r="E26" s="7">
        <f>(Sheet1!$B$35 - Sheet1!E26) / (Sheet1!$B$35 - Sheet1!$B$34)</f>
        <v>0.740532131</v>
      </c>
      <c r="F26" s="7">
        <f>(Sheet1!$B$35 - Sheet1!F26) / (Sheet1!$B$35 - Sheet1!$B$34)</f>
        <v>0.7356330533</v>
      </c>
      <c r="G26" s="7">
        <f>(Sheet1!$B$35 - Sheet1!G26) / (Sheet1!$B$35 - Sheet1!$B$34)</f>
        <v>0.8701064441</v>
      </c>
      <c r="H26" s="7">
        <f>(Sheet1!$B$35 - Sheet1!H26) / (Sheet1!$B$35 - Sheet1!$B$34)</f>
        <v>0.8446329758</v>
      </c>
      <c r="I26" s="7">
        <f>(Sheet1!$B$35 - Sheet1!I26) / (Sheet1!$B$35 - Sheet1!$B$34)</f>
        <v>0.8693965334</v>
      </c>
      <c r="J26" s="7">
        <f>(Sheet1!$B$35 - Sheet1!J26) / (Sheet1!$B$35 - Sheet1!$B$34)</f>
        <v>0.8955235014</v>
      </c>
      <c r="K26" s="7">
        <f>(Sheet1!$B$35 - Sheet1!K26) / (Sheet1!$B$35 - Sheet1!$B$34)</f>
        <v>0.8764045144</v>
      </c>
      <c r="L26" s="7">
        <f>(Sheet1!$B$35 - Sheet1!L26) / (Sheet1!$B$35 - Sheet1!$B$34)</f>
        <v>0.8355681633</v>
      </c>
      <c r="M26" s="7">
        <f>(Sheet1!$B$35 - Sheet1!M26) / (Sheet1!$B$35 - Sheet1!$B$34)</f>
        <v>0.8645634132</v>
      </c>
      <c r="N26" s="7"/>
      <c r="P26" s="9">
        <f>IFERROR(__xludf.DUMMYFUNCTION("""COMPUTED_VALUE"""),0.9482599682345365)</f>
        <v>0.9482599682</v>
      </c>
    </row>
    <row r="27">
      <c r="A27" s="1" t="s">
        <v>37</v>
      </c>
      <c r="B27" s="7">
        <f>(Sheet1!$B$35 - Sheet1!B27) / (Sheet1!$B$35 - Sheet1!$B$34)</f>
        <v>0.7972911355</v>
      </c>
      <c r="C27" s="7">
        <f>(Sheet1!$B$35 - Sheet1!C27) / (Sheet1!$B$35 - Sheet1!$B$34)</f>
        <v>0.6466303935</v>
      </c>
      <c r="D27" s="7">
        <f>(Sheet1!$B$35 - Sheet1!D27) / (Sheet1!$B$35 - Sheet1!$B$34)</f>
        <v>0.8790462845</v>
      </c>
      <c r="E27" s="7">
        <f>(Sheet1!$B$35 - Sheet1!E27) / (Sheet1!$B$35 - Sheet1!$B$34)</f>
        <v>0.8481790575</v>
      </c>
      <c r="F27" s="7">
        <f>(Sheet1!$B$35 - Sheet1!F27) / (Sheet1!$B$35 - Sheet1!$B$34)</f>
        <v>0.8837934865</v>
      </c>
      <c r="G27" s="7">
        <f>(Sheet1!$B$35 - Sheet1!G27) / (Sheet1!$B$35 - Sheet1!$B$34)</f>
        <v>0.9475700184</v>
      </c>
      <c r="H27" s="7">
        <f>(Sheet1!$B$35 - Sheet1!H27) / (Sheet1!$B$35 - Sheet1!$B$34)</f>
        <v>0.9146928244</v>
      </c>
      <c r="I27" s="7">
        <f>(Sheet1!$B$35 - Sheet1!I27) / (Sheet1!$B$35 - Sheet1!$B$34)</f>
        <v>0.9249049496</v>
      </c>
      <c r="J27" s="7">
        <f>(Sheet1!$B$35 - Sheet1!J27) / (Sheet1!$B$35 - Sheet1!$B$34)</f>
        <v>0.9295688369</v>
      </c>
      <c r="K27" s="7">
        <f>(Sheet1!$B$35 - Sheet1!K27) / (Sheet1!$B$35 - Sheet1!$B$34)</f>
        <v>0.9341051485</v>
      </c>
      <c r="L27" s="7">
        <f>(Sheet1!$B$35 - Sheet1!L27) / (Sheet1!$B$35 - Sheet1!$B$34)</f>
        <v>0.8547374862</v>
      </c>
      <c r="M27" s="7">
        <f>(Sheet1!$B$35 - Sheet1!M27) / (Sheet1!$B$35 - Sheet1!$B$34)</f>
        <v>0.9341008092</v>
      </c>
      <c r="N27" s="7"/>
      <c r="P27" s="9">
        <f>IFERROR(__xludf.DUMMYFUNCTION("""COMPUTED_VALUE"""),0.9474146712146077)</f>
        <v>0.9474146712</v>
      </c>
    </row>
    <row r="28">
      <c r="A28" s="1" t="s">
        <v>38</v>
      </c>
      <c r="B28" s="7">
        <f>(Sheet1!$B$35 - Sheet1!B28) / (Sheet1!$B$35 - Sheet1!$B$34)</f>
        <v>0.3468797388</v>
      </c>
      <c r="C28" s="7">
        <f>(Sheet1!$B$35 - Sheet1!C28) / (Sheet1!$B$35 - Sheet1!$B$34)</f>
        <v>0.2156018137</v>
      </c>
      <c r="D28" s="7">
        <f>(Sheet1!$B$35 - Sheet1!D28) / (Sheet1!$B$35 - Sheet1!$B$34)</f>
        <v>0.457453094</v>
      </c>
      <c r="E28" s="7">
        <f>(Sheet1!$B$35 - Sheet1!E28) / (Sheet1!$B$35 - Sheet1!$B$34)</f>
        <v>0.1549235471</v>
      </c>
      <c r="F28" s="7">
        <f>(Sheet1!$B$35 - Sheet1!F28) / (Sheet1!$B$35 - Sheet1!$B$34)</f>
        <v>0</v>
      </c>
      <c r="G28" s="7">
        <f>(Sheet1!$B$35 - Sheet1!G28) / (Sheet1!$B$35 - Sheet1!$B$34)</f>
        <v>0.5745779351</v>
      </c>
      <c r="H28" s="7">
        <f>(Sheet1!$B$35 - Sheet1!H28) / (Sheet1!$B$35 - Sheet1!$B$34)</f>
        <v>0.4296563607</v>
      </c>
      <c r="I28" s="7">
        <f>(Sheet1!$B$35 - Sheet1!I28) / (Sheet1!$B$35 - Sheet1!$B$34)</f>
        <v>0.4130203252</v>
      </c>
      <c r="J28" s="7">
        <f>(Sheet1!$B$35 - Sheet1!J28) / (Sheet1!$B$35 - Sheet1!$B$34)</f>
        <v>0.5636541635</v>
      </c>
      <c r="K28" s="7">
        <f>(Sheet1!$B$35 - Sheet1!K28) / (Sheet1!$B$35 - Sheet1!$B$34)</f>
        <v>0.6667890785</v>
      </c>
      <c r="L28" s="7">
        <f>(Sheet1!$B$35 - Sheet1!L28) / (Sheet1!$B$35 - Sheet1!$B$34)</f>
        <v>0.6834849965</v>
      </c>
      <c r="M28" s="7">
        <f>(Sheet1!$B$35 - Sheet1!M28) / (Sheet1!$B$35 - Sheet1!$B$34)</f>
        <v>0.7785869862</v>
      </c>
      <c r="N28" s="7"/>
      <c r="P28" s="9">
        <f>IFERROR(__xludf.DUMMYFUNCTION("""COMPUTED_VALUE"""),0.8420198450398726)</f>
        <v>0.842019845</v>
      </c>
    </row>
    <row r="29">
      <c r="A29" s="1" t="s">
        <v>39</v>
      </c>
      <c r="B29" s="7">
        <f>(Sheet1!$B$35 - Sheet1!B29) / (Sheet1!$B$35 - Sheet1!$B$34)</f>
        <v>0</v>
      </c>
      <c r="C29" s="7">
        <f>(Sheet1!$B$35 - Sheet1!C29) / (Sheet1!$B$35 - Sheet1!$B$34)</f>
        <v>0.2342773236</v>
      </c>
      <c r="D29" s="7">
        <f>(Sheet1!$B$35 - Sheet1!D29) / (Sheet1!$B$35 - Sheet1!$B$34)</f>
        <v>0.09971888233</v>
      </c>
      <c r="E29" s="7">
        <f>(Sheet1!$B$35 - Sheet1!E29) / (Sheet1!$B$35 - Sheet1!$B$34)</f>
        <v>0</v>
      </c>
      <c r="F29" s="7">
        <f>(Sheet1!$B$35 - Sheet1!F29) / (Sheet1!$B$35 - Sheet1!$B$34)</f>
        <v>1</v>
      </c>
      <c r="G29" s="7">
        <f>(Sheet1!$B$35 - Sheet1!G29) / (Sheet1!$B$35 - Sheet1!$B$34)</f>
        <v>0</v>
      </c>
      <c r="H29" s="7">
        <f>(Sheet1!$B$35 - Sheet1!H29) / (Sheet1!$B$35 - Sheet1!$B$34)</f>
        <v>0</v>
      </c>
      <c r="I29" s="7">
        <f>(Sheet1!$B$35 - Sheet1!I29) / (Sheet1!$B$35 - Sheet1!$B$34)</f>
        <v>0</v>
      </c>
      <c r="J29" s="7">
        <f>(Sheet1!$B$35 - Sheet1!J29) / (Sheet1!$B$35 - Sheet1!$B$34)</f>
        <v>0.1495601635</v>
      </c>
      <c r="K29" s="7">
        <f>(Sheet1!$B$35 - Sheet1!K29) / (Sheet1!$B$35 - Sheet1!$B$34)</f>
        <v>0</v>
      </c>
      <c r="L29" s="7">
        <f>(Sheet1!$B$35 - Sheet1!L29) / (Sheet1!$B$35 - Sheet1!$B$34)</f>
        <v>0.7262506035</v>
      </c>
      <c r="M29" s="7">
        <f>(Sheet1!$B$35 - Sheet1!M29) / (Sheet1!$B$35 - Sheet1!$B$34)</f>
        <v>1</v>
      </c>
      <c r="N29" s="7"/>
      <c r="P29" s="9">
        <f>IFERROR(__xludf.DUMMYFUNCTION("""COMPUTED_VALUE"""),0.9102884276668318)</f>
        <v>0.9102884277</v>
      </c>
    </row>
    <row r="30">
      <c r="A30" s="1" t="s">
        <v>40</v>
      </c>
      <c r="B30" s="7">
        <f>(Sheet1!$B$35 - Sheet1!B30) / (Sheet1!$B$35 - Sheet1!$B$34)</f>
        <v>0.5673443102</v>
      </c>
      <c r="C30" s="7">
        <f>(Sheet1!$B$35 - Sheet1!C30) / (Sheet1!$B$35 - Sheet1!$B$34)</f>
        <v>0.7057048523</v>
      </c>
      <c r="D30" s="7">
        <f>(Sheet1!$B$35 - Sheet1!D30) / (Sheet1!$B$35 - Sheet1!$B$34)</f>
        <v>0.6771357223</v>
      </c>
      <c r="E30" s="7">
        <f>(Sheet1!$B$35 - Sheet1!E30) / (Sheet1!$B$35 - Sheet1!$B$34)</f>
        <v>0.8286582507</v>
      </c>
      <c r="F30" s="7">
        <f>(Sheet1!$B$35 - Sheet1!F30) / (Sheet1!$B$35 - Sheet1!$B$34)</f>
        <v>0.7449582242</v>
      </c>
      <c r="G30" s="7">
        <f>(Sheet1!$B$35 - Sheet1!G30) / (Sheet1!$B$35 - Sheet1!$B$34)</f>
        <v>0.9121421797</v>
      </c>
      <c r="H30" s="7">
        <f>(Sheet1!$B$35 - Sheet1!H30) / (Sheet1!$B$35 - Sheet1!$B$34)</f>
        <v>0.6406013603</v>
      </c>
      <c r="I30" s="7">
        <f>(Sheet1!$B$35 - Sheet1!I30) / (Sheet1!$B$35 - Sheet1!$B$34)</f>
        <v>0.6303727456</v>
      </c>
      <c r="J30" s="7">
        <f>(Sheet1!$B$35 - Sheet1!J30) / (Sheet1!$B$35 - Sheet1!$B$34)</f>
        <v>0.7036193813</v>
      </c>
      <c r="K30" s="7">
        <f>(Sheet1!$B$35 - Sheet1!K30) / (Sheet1!$B$35 - Sheet1!$B$34)</f>
        <v>0.7435297243</v>
      </c>
      <c r="L30" s="7">
        <f>(Sheet1!$B$35 - Sheet1!L30) / (Sheet1!$B$35 - Sheet1!$B$34)</f>
        <v>0.7274300272</v>
      </c>
      <c r="M30" s="7">
        <f>(Sheet1!$B$35 - Sheet1!M30) / (Sheet1!$B$35 - Sheet1!$B$34)</f>
        <v>0.8175426816</v>
      </c>
      <c r="N30" s="7"/>
      <c r="P30" s="9">
        <f>IFERROR(__xludf.DUMMYFUNCTION("""COMPUTED_VALUE"""),0.8034312550048482)</f>
        <v>0.803431255</v>
      </c>
    </row>
    <row r="31">
      <c r="P31" s="9">
        <f>IFERROR(__xludf.DUMMYFUNCTION("""COMPUTED_VALUE"""),0.5717105210058477)</f>
        <v>0.571710521</v>
      </c>
    </row>
    <row r="32">
      <c r="P32" s="9">
        <f>IFERROR(__xludf.DUMMYFUNCTION("""COMPUTED_VALUE"""),0.7102012423089035)</f>
        <v>0.7102012423</v>
      </c>
    </row>
    <row r="33">
      <c r="P33" s="9">
        <f>IFERROR(__xludf.DUMMYFUNCTION("""COMPUTED_VALUE"""),0.0)</f>
        <v>0</v>
      </c>
    </row>
    <row r="34">
      <c r="A34" s="5" t="s">
        <v>41</v>
      </c>
      <c r="B34" s="3">
        <f>MIN(B2:N30)</f>
        <v>0</v>
      </c>
      <c r="P34" s="9">
        <f>IFERROR(__xludf.DUMMYFUNCTION("""COMPUTED_VALUE"""),0.7961472941339424)</f>
        <v>0.7961472941</v>
      </c>
    </row>
    <row r="35">
      <c r="A35" s="5" t="s">
        <v>42</v>
      </c>
      <c r="B35" s="3">
        <f>MAX(B2:N30)</f>
        <v>1</v>
      </c>
      <c r="P35" s="9">
        <f>IFERROR(__xludf.DUMMYFUNCTION("""COMPUTED_VALUE"""),0.9438182535035349)</f>
        <v>0.9438182535</v>
      </c>
    </row>
    <row r="36">
      <c r="P36" s="9">
        <f>IFERROR(__xludf.DUMMYFUNCTION("""COMPUTED_VALUE"""),0.8995686034469547)</f>
        <v>0.8995686034</v>
      </c>
    </row>
    <row r="37">
      <c r="P37" s="9">
        <f>IFERROR(__xludf.DUMMYFUNCTION("""COMPUTED_VALUE"""),0.9594579840950509)</f>
        <v>0.9594579841</v>
      </c>
    </row>
    <row r="38">
      <c r="P38" s="9">
        <f>IFERROR(__xludf.DUMMYFUNCTION("""COMPUTED_VALUE"""),0.0)</f>
        <v>0</v>
      </c>
    </row>
    <row r="39">
      <c r="P39" s="9">
        <f>IFERROR(__xludf.DUMMYFUNCTION("""COMPUTED_VALUE"""),0.0)</f>
        <v>0</v>
      </c>
    </row>
    <row r="40">
      <c r="P40" s="9">
        <f>IFERROR(__xludf.DUMMYFUNCTION("""COMPUTED_VALUE"""),0.0)</f>
        <v>0</v>
      </c>
    </row>
    <row r="41">
      <c r="P41" s="9">
        <f>IFERROR(__xludf.DUMMYFUNCTION("""COMPUTED_VALUE"""),0.8336267572783415)</f>
        <v>0.8336267573</v>
      </c>
    </row>
    <row r="42">
      <c r="P42" s="9">
        <f>IFERROR(__xludf.DUMMYFUNCTION("""COMPUTED_VALUE"""),0.8945931539446428)</f>
        <v>0.8945931539</v>
      </c>
    </row>
    <row r="43">
      <c r="P43" s="9">
        <f>IFERROR(__xludf.DUMMYFUNCTION("""COMPUTED_VALUE"""),0.9628252863920979)</f>
        <v>0.9628252864</v>
      </c>
    </row>
    <row r="44">
      <c r="P44" s="9">
        <f>IFERROR(__xludf.DUMMYFUNCTION("""COMPUTED_VALUE"""),0.9239069090187031)</f>
        <v>0.923906909</v>
      </c>
    </row>
    <row r="45">
      <c r="P45" s="9">
        <f>IFERROR(__xludf.DUMMYFUNCTION("""COMPUTED_VALUE"""),0.9614262937882733)</f>
        <v>0.9614262938</v>
      </c>
    </row>
    <row r="46">
      <c r="P46" s="9">
        <f>IFERROR(__xludf.DUMMYFUNCTION("""COMPUTED_VALUE"""),0.9819651020774259)</f>
        <v>0.9819651021</v>
      </c>
    </row>
    <row r="47">
      <c r="P47" s="9">
        <f>IFERROR(__xludf.DUMMYFUNCTION("""COMPUTED_VALUE"""),0.5401290440497813)</f>
        <v>0.540129044</v>
      </c>
    </row>
    <row r="48">
      <c r="P48" s="9">
        <f>IFERROR(__xludf.DUMMYFUNCTION("""COMPUTED_VALUE"""),0.718928456715889)</f>
        <v>0.7189284567</v>
      </c>
    </row>
    <row r="49">
      <c r="P49" s="9">
        <f>IFERROR(__xludf.DUMMYFUNCTION("""COMPUTED_VALUE"""),0.8935161379264378)</f>
        <v>0.8935161379</v>
      </c>
    </row>
    <row r="50">
      <c r="P50" s="9">
        <f>IFERROR(__xludf.DUMMYFUNCTION("""COMPUTED_VALUE"""),0.9889409721453803)</f>
        <v>0.9889409721</v>
      </c>
    </row>
    <row r="51">
      <c r="P51" s="9">
        <f>IFERROR(__xludf.DUMMYFUNCTION("""COMPUTED_VALUE"""),0.9934555872353901)</f>
        <v>0.9934555872</v>
      </c>
    </row>
    <row r="52">
      <c r="P52" s="9">
        <f>IFERROR(__xludf.DUMMYFUNCTION("""COMPUTED_VALUE"""),0.995989742572343)</f>
        <v>0.9959897426</v>
      </c>
    </row>
    <row r="53">
      <c r="P53" s="9">
        <f>IFERROR(__xludf.DUMMYFUNCTION("""COMPUTED_VALUE"""),0.0)</f>
        <v>0</v>
      </c>
    </row>
    <row r="54">
      <c r="P54" s="9">
        <f>IFERROR(__xludf.DUMMYFUNCTION("""COMPUTED_VALUE"""),0.0)</f>
        <v>0</v>
      </c>
    </row>
    <row r="55">
      <c r="P55" s="9">
        <f>IFERROR(__xludf.DUMMYFUNCTION("""COMPUTED_VALUE"""),0.609952834335583)</f>
        <v>0.6099528343</v>
      </c>
    </row>
    <row r="56">
      <c r="P56" s="9">
        <f>IFERROR(__xludf.DUMMYFUNCTION("""COMPUTED_VALUE"""),0.172986346717405)</f>
        <v>0.1729863467</v>
      </c>
    </row>
    <row r="57">
      <c r="P57" s="9">
        <f>IFERROR(__xludf.DUMMYFUNCTION("""COMPUTED_VALUE"""),0.10830723891018437)</f>
        <v>0.1083072389</v>
      </c>
    </row>
    <row r="58">
      <c r="P58" s="9">
        <f>IFERROR(__xludf.DUMMYFUNCTION("""COMPUTED_VALUE"""),0.010553932510062206)</f>
        <v>0.01055393251</v>
      </c>
    </row>
    <row r="59">
      <c r="P59" s="9">
        <f>IFERROR(__xludf.DUMMYFUNCTION("""COMPUTED_VALUE"""),0.9926528154248828)</f>
        <v>0.9926528154</v>
      </c>
    </row>
    <row r="60">
      <c r="P60" s="9">
        <f>IFERROR(__xludf.DUMMYFUNCTION("""COMPUTED_VALUE"""),0.9866584966192893)</f>
        <v>0.9866584966</v>
      </c>
    </row>
    <row r="61">
      <c r="P61" s="9">
        <f>IFERROR(__xludf.DUMMYFUNCTION("""COMPUTED_VALUE"""),1.0)</f>
        <v>1</v>
      </c>
    </row>
    <row r="62">
      <c r="P62" s="9">
        <f>IFERROR(__xludf.DUMMYFUNCTION("""COMPUTED_VALUE"""),0.6946066405110591)</f>
        <v>0.6946066405</v>
      </c>
    </row>
    <row r="63">
      <c r="P63" s="9">
        <f>IFERROR(__xludf.DUMMYFUNCTION("""COMPUTED_VALUE"""),0.7328819325746314)</f>
        <v>0.7328819326</v>
      </c>
    </row>
    <row r="64">
      <c r="P64" s="9">
        <f>IFERROR(__xludf.DUMMYFUNCTION("""COMPUTED_VALUE"""),0.8466793929864821)</f>
        <v>0.846679393</v>
      </c>
    </row>
    <row r="65">
      <c r="P65" s="9">
        <f>IFERROR(__xludf.DUMMYFUNCTION("""COMPUTED_VALUE"""),0.8678968689035448)</f>
        <v>0.8678968689</v>
      </c>
    </row>
    <row r="66">
      <c r="P66" s="9">
        <f>IFERROR(__xludf.DUMMYFUNCTION("""COMPUTED_VALUE"""),0.9277211599453837)</f>
        <v>0.9277211599</v>
      </c>
    </row>
    <row r="67">
      <c r="P67" s="9">
        <f>IFERROR(__xludf.DUMMYFUNCTION("""COMPUTED_VALUE"""),0.967523020241045)</f>
        <v>0.9675230202</v>
      </c>
    </row>
    <row r="68">
      <c r="P68" s="9">
        <f>IFERROR(__xludf.DUMMYFUNCTION("""COMPUTED_VALUE"""),0.9490575328765432)</f>
        <v>0.9490575329</v>
      </c>
    </row>
    <row r="69">
      <c r="P69" s="9">
        <f>IFERROR(__xludf.DUMMYFUNCTION("""COMPUTED_VALUE"""),0.8422142459972278)</f>
        <v>0.842214246</v>
      </c>
    </row>
    <row r="70">
      <c r="P70" s="9">
        <f>IFERROR(__xludf.DUMMYFUNCTION("""COMPUTED_VALUE"""),0.8252380088238941)</f>
        <v>0.8252380088</v>
      </c>
    </row>
    <row r="71">
      <c r="P71" s="9">
        <f>IFERROR(__xludf.DUMMYFUNCTION("""COMPUTED_VALUE"""),0.0)</f>
        <v>0</v>
      </c>
    </row>
    <row r="72">
      <c r="P72" s="9">
        <f>IFERROR(__xludf.DUMMYFUNCTION("""COMPUTED_VALUE"""),0.8595558528270195)</f>
        <v>0.8595558528</v>
      </c>
    </row>
    <row r="73">
      <c r="P73" s="9">
        <f>IFERROR(__xludf.DUMMYFUNCTION("""COMPUTED_VALUE"""),0.9701300759370062)</f>
        <v>0.9701300759</v>
      </c>
    </row>
    <row r="74">
      <c r="P74" s="9">
        <f>IFERROR(__xludf.DUMMYFUNCTION("""COMPUTED_VALUE"""),0.7946675904183587)</f>
        <v>0.7946675904</v>
      </c>
    </row>
    <row r="75">
      <c r="P75" s="9">
        <f>IFERROR(__xludf.DUMMYFUNCTION("""COMPUTED_VALUE"""),0.23881710662467226)</f>
        <v>0.2388171066</v>
      </c>
    </row>
    <row r="76">
      <c r="P76" s="9">
        <f>IFERROR(__xludf.DUMMYFUNCTION("""COMPUTED_VALUE"""),0.6144639779799257)</f>
        <v>0.614463978</v>
      </c>
    </row>
    <row r="77">
      <c r="P77" s="9">
        <f>IFERROR(__xludf.DUMMYFUNCTION("""COMPUTED_VALUE"""),0.1989362709400854)</f>
        <v>0.1989362709</v>
      </c>
    </row>
    <row r="78">
      <c r="P78" s="9">
        <f>IFERROR(__xludf.DUMMYFUNCTION("""COMPUTED_VALUE"""),1.0)</f>
        <v>1</v>
      </c>
    </row>
    <row r="79">
      <c r="P79" s="9">
        <f>IFERROR(__xludf.DUMMYFUNCTION("""COMPUTED_VALUE"""),1.0)</f>
        <v>1</v>
      </c>
    </row>
    <row r="80">
      <c r="P80" s="9">
        <f>IFERROR(__xludf.DUMMYFUNCTION("""COMPUTED_VALUE"""),0.0)</f>
        <v>0</v>
      </c>
    </row>
    <row r="81">
      <c r="P81" s="9">
        <f>IFERROR(__xludf.DUMMYFUNCTION("""COMPUTED_VALUE"""),0.0)</f>
        <v>0</v>
      </c>
    </row>
    <row r="82">
      <c r="P82" s="9">
        <f>IFERROR(__xludf.DUMMYFUNCTION("""COMPUTED_VALUE"""),0.7343156396351266)</f>
        <v>0.7343156396</v>
      </c>
    </row>
    <row r="83">
      <c r="P83" s="9">
        <f>IFERROR(__xludf.DUMMYFUNCTION("""COMPUTED_VALUE"""),0.8534539192057471)</f>
        <v>0.8534539192</v>
      </c>
    </row>
    <row r="84">
      <c r="P84" s="9">
        <f>IFERROR(__xludf.DUMMYFUNCTION("""COMPUTED_VALUE"""),0.757953581043546)</f>
        <v>0.757953581</v>
      </c>
    </row>
    <row r="85">
      <c r="P85" s="9">
        <f>IFERROR(__xludf.DUMMYFUNCTION("""COMPUTED_VALUE"""),0.6594252743982529)</f>
        <v>0.6594252744</v>
      </c>
    </row>
    <row r="86">
      <c r="P86" s="9">
        <f>IFERROR(__xludf.DUMMYFUNCTION("""COMPUTED_VALUE"""),0.8384720275681385)</f>
        <v>0.8384720276</v>
      </c>
    </row>
    <row r="87">
      <c r="P87" s="9">
        <f>IFERROR(__xludf.DUMMYFUNCTION("""COMPUTED_VALUE"""),0.8227064570711915)</f>
        <v>0.8227064571</v>
      </c>
    </row>
    <row r="88">
      <c r="P88" s="9">
        <f>IFERROR(__xludf.DUMMYFUNCTION("""COMPUTED_VALUE"""),0.8818086874142824)</f>
        <v>0.8818086874</v>
      </c>
    </row>
    <row r="89">
      <c r="P89" s="9">
        <f>IFERROR(__xludf.DUMMYFUNCTION("""COMPUTED_VALUE"""),0.850813884775949)</f>
        <v>0.8508138848</v>
      </c>
    </row>
    <row r="90">
      <c r="P90" s="9">
        <f>IFERROR(__xludf.DUMMYFUNCTION("""COMPUTED_VALUE"""),0.8458566603633891)</f>
        <v>0.8458566604</v>
      </c>
    </row>
    <row r="91">
      <c r="P91" s="9">
        <f>IFERROR(__xludf.DUMMYFUNCTION("""COMPUTED_VALUE"""),0.960656500711603)</f>
        <v>0.9606565007</v>
      </c>
    </row>
    <row r="92">
      <c r="P92" s="9">
        <f>IFERROR(__xludf.DUMMYFUNCTION("""COMPUTED_VALUE"""),0.9253449553862821)</f>
        <v>0.9253449554</v>
      </c>
    </row>
    <row r="93">
      <c r="P93" s="9">
        <f>IFERROR(__xludf.DUMMYFUNCTION("""COMPUTED_VALUE"""),0.9184654179355884)</f>
        <v>0.9184654179</v>
      </c>
    </row>
    <row r="94">
      <c r="P94" s="9">
        <f>IFERROR(__xludf.DUMMYFUNCTION("""COMPUTED_VALUE"""),0.9280821902947579)</f>
        <v>0.9280821903</v>
      </c>
    </row>
    <row r="95">
      <c r="P95" s="9">
        <f>IFERROR(__xludf.DUMMYFUNCTION("""COMPUTED_VALUE"""),0.876097291430554)</f>
        <v>0.8760972914</v>
      </c>
    </row>
    <row r="96">
      <c r="P96" s="9">
        <f>IFERROR(__xludf.DUMMYFUNCTION("""COMPUTED_VALUE"""),0.890454322848092)</f>
        <v>0.8904543228</v>
      </c>
    </row>
    <row r="97">
      <c r="P97" s="9">
        <f>IFERROR(__xludf.DUMMYFUNCTION("""COMPUTED_VALUE"""),0.9241637959980653)</f>
        <v>0.924163796</v>
      </c>
    </row>
    <row r="98">
      <c r="P98" s="9">
        <f>IFERROR(__xludf.DUMMYFUNCTION("""COMPUTED_VALUE"""),0.87393631650281)</f>
        <v>0.8739363165</v>
      </c>
    </row>
    <row r="99">
      <c r="P99" s="9">
        <f>IFERROR(__xludf.DUMMYFUNCTION("""COMPUTED_VALUE"""),0.9072387626483207)</f>
        <v>0.9072387626</v>
      </c>
    </row>
    <row r="100">
      <c r="P100" s="9">
        <f>IFERROR(__xludf.DUMMYFUNCTION("""COMPUTED_VALUE"""),0.8773895370801167)</f>
        <v>0.8773895371</v>
      </c>
    </row>
    <row r="101">
      <c r="P101" s="9">
        <f>IFERROR(__xludf.DUMMYFUNCTION("""COMPUTED_VALUE"""),0.8626975111557076)</f>
        <v>0.8626975112</v>
      </c>
    </row>
    <row r="102">
      <c r="P102" s="9">
        <f>IFERROR(__xludf.DUMMYFUNCTION("""COMPUTED_VALUE"""),0.8245819055928201)</f>
        <v>0.8245819056</v>
      </c>
    </row>
    <row r="103">
      <c r="P103" s="9">
        <f>IFERROR(__xludf.DUMMYFUNCTION("""COMPUTED_VALUE"""),0.8978511057031773)</f>
        <v>0.8978511057</v>
      </c>
    </row>
    <row r="104">
      <c r="P104" s="9">
        <f>IFERROR(__xludf.DUMMYFUNCTION("""COMPUTED_VALUE"""),0.7980583249736581)</f>
        <v>0.798058325</v>
      </c>
    </row>
    <row r="105">
      <c r="P105" s="9">
        <f>IFERROR(__xludf.DUMMYFUNCTION("""COMPUTED_VALUE"""),0.8114173157619168)</f>
        <v>0.8114173158</v>
      </c>
    </row>
    <row r="106">
      <c r="P106" s="9">
        <f>IFERROR(__xludf.DUMMYFUNCTION("""COMPUTED_VALUE"""),0.8347636557343031)</f>
        <v>0.8347636557</v>
      </c>
    </row>
    <row r="107">
      <c r="P107" s="9">
        <f>IFERROR(__xludf.DUMMYFUNCTION("""COMPUTED_VALUE"""),0.8633258428214452)</f>
        <v>0.8633258428</v>
      </c>
    </row>
    <row r="108">
      <c r="P108" s="9">
        <f>IFERROR(__xludf.DUMMYFUNCTION("""COMPUTED_VALUE"""),0.8430690894927411)</f>
        <v>0.8430690895</v>
      </c>
    </row>
    <row r="109">
      <c r="P109" s="9">
        <f>IFERROR(__xludf.DUMMYFUNCTION("""COMPUTED_VALUE"""),0.870447513607416)</f>
        <v>0.8704475136</v>
      </c>
    </row>
    <row r="110">
      <c r="P110" s="9">
        <f>IFERROR(__xludf.DUMMYFUNCTION("""COMPUTED_VALUE"""),0.6210145959536655)</f>
        <v>0.621014596</v>
      </c>
    </row>
    <row r="111">
      <c r="P111" s="9">
        <f>IFERROR(__xludf.DUMMYFUNCTION("""COMPUTED_VALUE"""),0.6036200495774512)</f>
        <v>0.6036200496</v>
      </c>
    </row>
    <row r="112">
      <c r="P112" s="9">
        <f>IFERROR(__xludf.DUMMYFUNCTION("""COMPUTED_VALUE"""),0.538083494690467)</f>
        <v>0.5380834947</v>
      </c>
    </row>
    <row r="113">
      <c r="P113" s="9">
        <f>IFERROR(__xludf.DUMMYFUNCTION("""COMPUTED_VALUE"""),0.5831463308945558)</f>
        <v>0.5831463309</v>
      </c>
    </row>
    <row r="114">
      <c r="P114" s="9">
        <f>IFERROR(__xludf.DUMMYFUNCTION("""COMPUTED_VALUE"""),0.43374919516701843)</f>
        <v>0.4337491952</v>
      </c>
    </row>
    <row r="115">
      <c r="P115" s="9">
        <f>IFERROR(__xludf.DUMMYFUNCTION("""COMPUTED_VALUE"""),0.4138022683640992)</f>
        <v>0.4138022684</v>
      </c>
    </row>
    <row r="116">
      <c r="P116" s="9">
        <f>IFERROR(__xludf.DUMMYFUNCTION("""COMPUTED_VALUE"""),0.5237707242051841)</f>
        <v>0.5237707242</v>
      </c>
    </row>
    <row r="117">
      <c r="P117" s="9">
        <f>IFERROR(__xludf.DUMMYFUNCTION("""COMPUTED_VALUE"""),0.5724039422778427)</f>
        <v>0.5724039423</v>
      </c>
    </row>
    <row r="118">
      <c r="P118" s="9">
        <f>IFERROR(__xludf.DUMMYFUNCTION("""COMPUTED_VALUE"""),0.6718842928973267)</f>
        <v>0.6718842929</v>
      </c>
    </row>
    <row r="119">
      <c r="P119" s="9">
        <f>IFERROR(__xludf.DUMMYFUNCTION("""COMPUTED_VALUE"""),0.6585903917153253)</f>
        <v>0.6585903917</v>
      </c>
    </row>
    <row r="120">
      <c r="P120" s="9">
        <f>IFERROR(__xludf.DUMMYFUNCTION("""COMPUTED_VALUE"""),0.6780868984429438)</f>
        <v>0.6780868984</v>
      </c>
    </row>
    <row r="121">
      <c r="P121" s="9">
        <f>IFERROR(__xludf.DUMMYFUNCTION("""COMPUTED_VALUE"""),0.7664551514821728)</f>
        <v>0.7664551515</v>
      </c>
    </row>
    <row r="122">
      <c r="P122" s="9">
        <f>IFERROR(__xludf.DUMMYFUNCTION("""COMPUTED_VALUE"""),0.8920616021919402)</f>
        <v>0.8920616022</v>
      </c>
    </row>
    <row r="123">
      <c r="P123" s="9">
        <f>IFERROR(__xludf.DUMMYFUNCTION("""COMPUTED_VALUE"""),0.9031667568808609)</f>
        <v>0.9031667569</v>
      </c>
    </row>
    <row r="124">
      <c r="P124" s="9">
        <f>IFERROR(__xludf.DUMMYFUNCTION("""COMPUTED_VALUE"""),0.8978623879015952)</f>
        <v>0.8978623879</v>
      </c>
    </row>
    <row r="125">
      <c r="P125" s="9">
        <f>IFERROR(__xludf.DUMMYFUNCTION("""COMPUTED_VALUE"""),0.878649671857259)</f>
        <v>0.8786496719</v>
      </c>
    </row>
    <row r="126">
      <c r="P126" s="9">
        <f>IFERROR(__xludf.DUMMYFUNCTION("""COMPUTED_VALUE"""),0.86862240104796)</f>
        <v>0.868622401</v>
      </c>
    </row>
    <row r="127">
      <c r="P127" s="9">
        <f>IFERROR(__xludf.DUMMYFUNCTION("""COMPUTED_VALUE"""),0.8635159044717167)</f>
        <v>0.8635159045</v>
      </c>
    </row>
    <row r="128">
      <c r="P128" s="9">
        <f>IFERROR(__xludf.DUMMYFUNCTION("""COMPUTED_VALUE"""),0.5300011013161376)</f>
        <v>0.5300011013</v>
      </c>
    </row>
    <row r="129">
      <c r="P129" s="9">
        <f>IFERROR(__xludf.DUMMYFUNCTION("""COMPUTED_VALUE"""),0.8526632974550744)</f>
        <v>0.8526632975</v>
      </c>
    </row>
    <row r="130">
      <c r="P130" s="9">
        <f>IFERROR(__xludf.DUMMYFUNCTION("""COMPUTED_VALUE"""),0.9025193322639545)</f>
        <v>0.9025193323</v>
      </c>
    </row>
    <row r="131">
      <c r="P131" s="9">
        <f>IFERROR(__xludf.DUMMYFUNCTION("""COMPUTED_VALUE"""),0.9365629320593822)</f>
        <v>0.9365629321</v>
      </c>
    </row>
    <row r="132">
      <c r="P132" s="9">
        <f>IFERROR(__xludf.DUMMYFUNCTION("""COMPUTED_VALUE"""),0.9244154758089271)</f>
        <v>0.9244154758</v>
      </c>
    </row>
    <row r="133">
      <c r="P133" s="9">
        <f>IFERROR(__xludf.DUMMYFUNCTION("""COMPUTED_VALUE"""),0.9406687844220959)</f>
        <v>0.9406687844</v>
      </c>
    </row>
    <row r="134">
      <c r="P134" s="9">
        <f>IFERROR(__xludf.DUMMYFUNCTION("""COMPUTED_VALUE"""),0.8423713289136622)</f>
        <v>0.8423713289</v>
      </c>
    </row>
    <row r="135">
      <c r="P135" s="9">
        <f>IFERROR(__xludf.DUMMYFUNCTION("""COMPUTED_VALUE"""),0.8484741303963513)</f>
        <v>0.8484741304</v>
      </c>
    </row>
    <row r="136">
      <c r="P136" s="9">
        <f>IFERROR(__xludf.DUMMYFUNCTION("""COMPUTED_VALUE"""),0.8462471980009333)</f>
        <v>0.846247198</v>
      </c>
    </row>
    <row r="137">
      <c r="P137" s="9">
        <f>IFERROR(__xludf.DUMMYFUNCTION("""COMPUTED_VALUE"""),0.7385186924765179)</f>
        <v>0.7385186925</v>
      </c>
    </row>
    <row r="138">
      <c r="P138" s="9">
        <f>IFERROR(__xludf.DUMMYFUNCTION("""COMPUTED_VALUE"""),0.7934187378396342)</f>
        <v>0.7934187378</v>
      </c>
    </row>
    <row r="139">
      <c r="P139" s="9">
        <f>IFERROR(__xludf.DUMMYFUNCTION("""COMPUTED_VALUE"""),0.9110773136946709)</f>
        <v>0.9110773137</v>
      </c>
    </row>
    <row r="140">
      <c r="P140" s="9">
        <f>IFERROR(__xludf.DUMMYFUNCTION("""COMPUTED_VALUE"""),0.8718959743119963)</f>
        <v>0.8718959743</v>
      </c>
    </row>
    <row r="141">
      <c r="P141" s="9">
        <f>IFERROR(__xludf.DUMMYFUNCTION("""COMPUTED_VALUE"""),0.9151467158778803)</f>
        <v>0.9151467159</v>
      </c>
    </row>
    <row r="142">
      <c r="P142" s="9">
        <f>IFERROR(__xludf.DUMMYFUNCTION("""COMPUTED_VALUE"""),0.9126030140653432)</f>
        <v>0.9126030141</v>
      </c>
    </row>
    <row r="143">
      <c r="P143" s="9">
        <f>IFERROR(__xludf.DUMMYFUNCTION("""COMPUTED_VALUE"""),0.8745785339512159)</f>
        <v>0.874578534</v>
      </c>
    </row>
    <row r="144">
      <c r="P144" s="9">
        <f>IFERROR(__xludf.DUMMYFUNCTION("""COMPUTED_VALUE"""),0.875979262277874)</f>
        <v>0.8759792623</v>
      </c>
    </row>
    <row r="145">
      <c r="P145" s="9">
        <f>IFERROR(__xludf.DUMMYFUNCTION("""COMPUTED_VALUE"""),0.9010856252034591)</f>
        <v>0.9010856252</v>
      </c>
    </row>
    <row r="146">
      <c r="P146" s="9">
        <f>IFERROR(__xludf.DUMMYFUNCTION("""COMPUTED_VALUE"""),0.9256947035372382)</f>
        <v>0.9256947035</v>
      </c>
    </row>
    <row r="147">
      <c r="P147" s="9">
        <f>IFERROR(__xludf.DUMMYFUNCTION("""COMPUTED_VALUE"""),0.8271663968919453)</f>
        <v>0.8271663969</v>
      </c>
    </row>
    <row r="148">
      <c r="P148" s="9">
        <f>IFERROR(__xludf.DUMMYFUNCTION("""COMPUTED_VALUE"""),0.8389745193284454)</f>
        <v>0.8389745193</v>
      </c>
    </row>
    <row r="149">
      <c r="P149" s="9">
        <f>IFERROR(__xludf.DUMMYFUNCTION("""COMPUTED_VALUE"""),0.8777141172499866)</f>
        <v>0.8777141172</v>
      </c>
    </row>
    <row r="150">
      <c r="P150" s="9">
        <f>IFERROR(__xludf.DUMMYFUNCTION("""COMPUTED_VALUE"""),0.8764496431657605)</f>
        <v>0.8764496432</v>
      </c>
    </row>
    <row r="151">
      <c r="P151" s="9">
        <f>IFERROR(__xludf.DUMMYFUNCTION("""COMPUTED_VALUE"""),0.9339671585618391)</f>
        <v>0.9339671586</v>
      </c>
    </row>
    <row r="152">
      <c r="P152" s="9">
        <f>IFERROR(__xludf.DUMMYFUNCTION("""COMPUTED_VALUE"""),0.8036777276472094)</f>
        <v>0.8036777276</v>
      </c>
    </row>
    <row r="153">
      <c r="P153" s="9">
        <f>IFERROR(__xludf.DUMMYFUNCTION("""COMPUTED_VALUE"""),0.8138386491146902)</f>
        <v>0.8138386491</v>
      </c>
    </row>
    <row r="154">
      <c r="P154" s="9">
        <f>IFERROR(__xludf.DUMMYFUNCTION("""COMPUTED_VALUE"""),0.7673290879288547)</f>
        <v>0.7673290879</v>
      </c>
    </row>
    <row r="155">
      <c r="P155" s="9">
        <f>IFERROR(__xludf.DUMMYFUNCTION("""COMPUTED_VALUE"""),0.6863150925352894)</f>
        <v>0.6863150925</v>
      </c>
    </row>
    <row r="156">
      <c r="P156" s="9">
        <f>IFERROR(__xludf.DUMMYFUNCTION("""COMPUTED_VALUE"""),0.8204387351891855)</f>
        <v>0.8204387352</v>
      </c>
    </row>
    <row r="157">
      <c r="P157" s="9">
        <f>IFERROR(__xludf.DUMMYFUNCTION("""COMPUTED_VALUE"""),0.7806672500431109)</f>
        <v>0.78066725</v>
      </c>
    </row>
    <row r="158">
      <c r="P158" s="9">
        <f>IFERROR(__xludf.DUMMYFUNCTION("""COMPUTED_VALUE"""),0.8843497856425693)</f>
        <v>0.8843497856</v>
      </c>
    </row>
    <row r="159">
      <c r="P159" s="9">
        <f>IFERROR(__xludf.DUMMYFUNCTION("""COMPUTED_VALUE"""),0.884199645617469)</f>
        <v>0.8841996456</v>
      </c>
    </row>
    <row r="160">
      <c r="P160" s="9">
        <f>IFERROR(__xludf.DUMMYFUNCTION("""COMPUTED_VALUE"""),0.8529731239808594)</f>
        <v>0.852973124</v>
      </c>
    </row>
    <row r="161">
      <c r="P161" s="9">
        <f>IFERROR(__xludf.DUMMYFUNCTION("""COMPUTED_VALUE"""),0.8030407173673042)</f>
        <v>0.8030407174</v>
      </c>
    </row>
    <row r="162">
      <c r="P162" s="9">
        <f>IFERROR(__xludf.DUMMYFUNCTION("""COMPUTED_VALUE"""),0.7524192287888377)</f>
        <v>0.7524192288</v>
      </c>
    </row>
    <row r="163">
      <c r="P163" s="9">
        <f>IFERROR(__xludf.DUMMYFUNCTION("""COMPUTED_VALUE"""),0.8021511594151203)</f>
        <v>0.8021511594</v>
      </c>
    </row>
    <row r="164">
      <c r="P164" s="9">
        <f>IFERROR(__xludf.DUMMYFUNCTION("""COMPUTED_VALUE"""),0.74683106912629)</f>
        <v>0.7468310691</v>
      </c>
    </row>
    <row r="165">
      <c r="P165" s="9">
        <f>IFERROR(__xludf.DUMMYFUNCTION("""COMPUTED_VALUE"""),0.7753724275394297)</f>
        <v>0.7753724275</v>
      </c>
    </row>
    <row r="166">
      <c r="P166" s="9">
        <f>IFERROR(__xludf.DUMMYFUNCTION("""COMPUTED_VALUE"""),0.7722064690910723)</f>
        <v>0.7722064691</v>
      </c>
    </row>
    <row r="167">
      <c r="P167" s="9">
        <f>IFERROR(__xludf.DUMMYFUNCTION("""COMPUTED_VALUE"""),0.7411318232023965)</f>
        <v>0.7411318232</v>
      </c>
    </row>
    <row r="168">
      <c r="P168" s="9">
        <f>IFERROR(__xludf.DUMMYFUNCTION("""COMPUTED_VALUE"""),0.7650847983051012)</f>
        <v>0.7650847983</v>
      </c>
    </row>
    <row r="169">
      <c r="P169" s="9">
        <f>IFERROR(__xludf.DUMMYFUNCTION("""COMPUTED_VALUE"""),0.8439187258197537)</f>
        <v>0.8439187258</v>
      </c>
    </row>
    <row r="170">
      <c r="P170" s="9">
        <f>IFERROR(__xludf.DUMMYFUNCTION("""COMPUTED_VALUE"""),0.776632562316572)</f>
        <v>0.7766325623</v>
      </c>
    </row>
    <row r="171">
      <c r="P171" s="9">
        <f>IFERROR(__xludf.DUMMYFUNCTION("""COMPUTED_VALUE"""),0.7050773885043249)</f>
        <v>0.7050773885</v>
      </c>
    </row>
    <row r="172">
      <c r="P172" s="9">
        <f>IFERROR(__xludf.DUMMYFUNCTION("""COMPUTED_VALUE"""),0.8015315063635504)</f>
        <v>0.8015315064</v>
      </c>
    </row>
    <row r="173">
      <c r="P173" s="9">
        <f>IFERROR(__xludf.DUMMYFUNCTION("""COMPUTED_VALUE"""),0.805106227539204)</f>
        <v>0.8051062275</v>
      </c>
    </row>
    <row r="174">
      <c r="P174" s="9">
        <f>IFERROR(__xludf.DUMMYFUNCTION("""COMPUTED_VALUE"""),0.9044503239162559)</f>
        <v>0.9044503239</v>
      </c>
    </row>
    <row r="175">
      <c r="P175" s="9">
        <f>IFERROR(__xludf.DUMMYFUNCTION("""COMPUTED_VALUE"""),0.9507568055305684)</f>
        <v>0.9507568055</v>
      </c>
    </row>
    <row r="176">
      <c r="P176" s="9">
        <f>IFERROR(__xludf.DUMMYFUNCTION("""COMPUTED_VALUE"""),0.8645425845277493)</f>
        <v>0.8645425845</v>
      </c>
    </row>
    <row r="177">
      <c r="P177" s="9">
        <f>IFERROR(__xludf.DUMMYFUNCTION("""COMPUTED_VALUE"""),0.8373004146555062)</f>
        <v>0.8373004147</v>
      </c>
    </row>
    <row r="178">
      <c r="P178" s="9">
        <f>IFERROR(__xludf.DUMMYFUNCTION("""COMPUTED_VALUE"""),0.7367421801564007)</f>
        <v>0.7367421802</v>
      </c>
    </row>
    <row r="179">
      <c r="P179" s="9">
        <f>IFERROR(__xludf.DUMMYFUNCTION("""COMPUTED_VALUE"""),0.8215938587348993)</f>
        <v>0.8215938587</v>
      </c>
    </row>
    <row r="180">
      <c r="P180" s="9">
        <f>IFERROR(__xludf.DUMMYFUNCTION("""COMPUTED_VALUE"""),0.7630323060544528)</f>
        <v>0.7630323061</v>
      </c>
    </row>
    <row r="181">
      <c r="P181" s="9">
        <f>IFERROR(__xludf.DUMMYFUNCTION("""COMPUTED_VALUE"""),0.8451606355071438)</f>
        <v>0.8451606355</v>
      </c>
    </row>
    <row r="182">
      <c r="P182" s="9">
        <f>IFERROR(__xludf.DUMMYFUNCTION("""COMPUTED_VALUE"""),0.854032782770729)</f>
        <v>0.8540327828</v>
      </c>
    </row>
    <row r="183">
      <c r="P183" s="9">
        <f>IFERROR(__xludf.DUMMYFUNCTION("""COMPUTED_VALUE"""),0.8888053861562392)</f>
        <v>0.8888053862</v>
      </c>
    </row>
    <row r="184">
      <c r="P184" s="9">
        <f>IFERROR(__xludf.DUMMYFUNCTION("""COMPUTED_VALUE"""),0.9448674979564033)</f>
        <v>0.944867498</v>
      </c>
    </row>
    <row r="185">
      <c r="P185" s="9">
        <f>IFERROR(__xludf.DUMMYFUNCTION("""COMPUTED_VALUE"""),0.9355431948946836)</f>
        <v>0.9355431949</v>
      </c>
    </row>
    <row r="186">
      <c r="P186" s="9">
        <f>IFERROR(__xludf.DUMMYFUNCTION("""COMPUTED_VALUE"""),0.6311147671219726)</f>
        <v>0.6311147671</v>
      </c>
    </row>
    <row r="187">
      <c r="P187" s="9">
        <f>IFERROR(__xludf.DUMMYFUNCTION("""COMPUTED_VALUE"""),1.0)</f>
        <v>1</v>
      </c>
    </row>
    <row r="188">
      <c r="P188" s="9">
        <f>IFERROR(__xludf.DUMMYFUNCTION("""COMPUTED_VALUE"""),0.9344679145993123)</f>
        <v>0.9344679146</v>
      </c>
    </row>
    <row r="189">
      <c r="P189" s="9">
        <f>IFERROR(__xludf.DUMMYFUNCTION("""COMPUTED_VALUE"""),0.9608413551933739)</f>
        <v>0.9608413552</v>
      </c>
    </row>
    <row r="190">
      <c r="P190" s="9">
        <f>IFERROR(__xludf.DUMMYFUNCTION("""COMPUTED_VALUE"""),0.7272842264364993)</f>
        <v>0.7272842264</v>
      </c>
    </row>
    <row r="191">
      <c r="P191" s="9">
        <f>IFERROR(__xludf.DUMMYFUNCTION("""COMPUTED_VALUE"""),0.8687491088148076)</f>
        <v>0.8687491088</v>
      </c>
    </row>
    <row r="192">
      <c r="P192" s="9">
        <f>IFERROR(__xludf.DUMMYFUNCTION("""COMPUTED_VALUE"""),0.8597181429119545)</f>
        <v>0.8597181429</v>
      </c>
    </row>
    <row r="193">
      <c r="P193" s="9">
        <f>IFERROR(__xludf.DUMMYFUNCTION("""COMPUTED_VALUE"""),0.9460234893635339)</f>
        <v>0.9460234894</v>
      </c>
    </row>
    <row r="194">
      <c r="P194" s="9">
        <f>IFERROR(__xludf.DUMMYFUNCTION("""COMPUTED_VALUE"""),0.8368673518085408)</f>
        <v>0.8368673518</v>
      </c>
    </row>
    <row r="195">
      <c r="P195" s="9">
        <f>IFERROR(__xludf.DUMMYFUNCTION("""COMPUTED_VALUE"""),0.79851655580171)</f>
        <v>0.7985165558</v>
      </c>
    </row>
    <row r="196">
      <c r="P196" s="9">
        <f>IFERROR(__xludf.DUMMYFUNCTION("""COMPUTED_VALUE"""),0.7889058584724579)</f>
        <v>0.7889058585</v>
      </c>
    </row>
    <row r="197">
      <c r="P197" s="9">
        <f>IFERROR(__xludf.DUMMYFUNCTION("""COMPUTED_VALUE"""),0.5428142072732514)</f>
        <v>0.5428142073</v>
      </c>
    </row>
    <row r="198">
      <c r="P198" s="9">
        <f>IFERROR(__xludf.DUMMYFUNCTION("""COMPUTED_VALUE"""),0.643946966030255)</f>
        <v>0.643946966</v>
      </c>
    </row>
    <row r="199">
      <c r="P199" s="9">
        <f>IFERROR(__xludf.DUMMYFUNCTION("""COMPUTED_VALUE"""),0.8556851909082491)</f>
        <v>0.8556851909</v>
      </c>
    </row>
    <row r="200">
      <c r="P200" s="9">
        <f>IFERROR(__xludf.DUMMYFUNCTION("""COMPUTED_VALUE"""),0.8250488150350395)</f>
        <v>0.825048815</v>
      </c>
    </row>
    <row r="201">
      <c r="P201" s="9">
        <f>IFERROR(__xludf.DUMMYFUNCTION("""COMPUTED_VALUE"""),0.7588249139059778)</f>
        <v>0.7588249139</v>
      </c>
    </row>
    <row r="202">
      <c r="P202" s="9">
        <f>IFERROR(__xludf.DUMMYFUNCTION("""COMPUTED_VALUE"""),0.8433980089696949)</f>
        <v>0.843398009</v>
      </c>
    </row>
    <row r="203">
      <c r="P203" s="9">
        <f>IFERROR(__xludf.DUMMYFUNCTION("""COMPUTED_VALUE"""),0.8763081817548278)</f>
        <v>0.8763081818</v>
      </c>
    </row>
    <row r="204">
      <c r="P204" s="9">
        <f>IFERROR(__xludf.DUMMYFUNCTION("""COMPUTED_VALUE"""),0.7989565615400096)</f>
        <v>0.7989565615</v>
      </c>
    </row>
    <row r="205">
      <c r="P205" s="9">
        <f>IFERROR(__xludf.DUMMYFUNCTION("""COMPUTED_VALUE"""),0.8725095523336489)</f>
        <v>0.8725095523</v>
      </c>
    </row>
    <row r="206">
      <c r="P206" s="9">
        <f>IFERROR(__xludf.DUMMYFUNCTION("""COMPUTED_VALUE"""),0.9010708715593742)</f>
        <v>0.9010708716</v>
      </c>
    </row>
    <row r="207">
      <c r="P207" s="9">
        <f>IFERROR(__xludf.DUMMYFUNCTION("""COMPUTED_VALUE"""),0.9178110504273479)</f>
        <v>0.9178110504</v>
      </c>
    </row>
    <row r="208">
      <c r="P208" s="9">
        <f>IFERROR(__xludf.DUMMYFUNCTION("""COMPUTED_VALUE"""),0.9664633614511754)</f>
        <v>0.9664633615</v>
      </c>
    </row>
    <row r="209">
      <c r="P209" s="9">
        <f>IFERROR(__xludf.DUMMYFUNCTION("""COMPUTED_VALUE"""),0.9855806127396676)</f>
        <v>0.9855806127</v>
      </c>
    </row>
    <row r="210">
      <c r="P210" s="9">
        <f>IFERROR(__xludf.DUMMYFUNCTION("""COMPUTED_VALUE"""),0.9915445563956744)</f>
        <v>0.9915445564</v>
      </c>
    </row>
    <row r="211">
      <c r="P211" s="9">
        <f>IFERROR(__xludf.DUMMYFUNCTION("""COMPUTED_VALUE"""),0.9913223838729825)</f>
        <v>0.9913223839</v>
      </c>
    </row>
    <row r="212">
      <c r="P212" s="9">
        <f>IFERROR(__xludf.DUMMYFUNCTION("""COMPUTED_VALUE"""),0.9690435134432167)</f>
        <v>0.9690435134</v>
      </c>
    </row>
    <row r="213">
      <c r="P213" s="9">
        <f>IFERROR(__xludf.DUMMYFUNCTION("""COMPUTED_VALUE"""),0.9155146891185887)</f>
        <v>0.9155146891</v>
      </c>
    </row>
    <row r="214">
      <c r="P214" s="9">
        <f>IFERROR(__xludf.DUMMYFUNCTION("""COMPUTED_VALUE"""),0.9428861703419296)</f>
        <v>0.9428861703</v>
      </c>
    </row>
    <row r="215">
      <c r="P215" s="9">
        <f>IFERROR(__xludf.DUMMYFUNCTION("""COMPUTED_VALUE"""),0.9683431492798876)</f>
        <v>0.9683431493</v>
      </c>
    </row>
    <row r="216">
      <c r="P216" s="9">
        <f>IFERROR(__xludf.DUMMYFUNCTION("""COMPUTED_VALUE"""),0.9480742458913488)</f>
        <v>0.9480742459</v>
      </c>
    </row>
    <row r="217">
      <c r="P217" s="9">
        <f>IFERROR(__xludf.DUMMYFUNCTION("""COMPUTED_VALUE"""),0.9784007952387734)</f>
        <v>0.9784007952</v>
      </c>
    </row>
    <row r="218">
      <c r="P218" s="9">
        <f>IFERROR(__xludf.DUMMYFUNCTION("""COMPUTED_VALUE"""),0.9026417007237182)</f>
        <v>0.9026417007</v>
      </c>
    </row>
    <row r="219">
      <c r="P219" s="9">
        <f>IFERROR(__xludf.DUMMYFUNCTION("""COMPUTED_VALUE"""),0.9151692802747162)</f>
        <v>0.9151692803</v>
      </c>
    </row>
    <row r="220">
      <c r="P220" s="9">
        <f>IFERROR(__xludf.DUMMYFUNCTION("""COMPUTED_VALUE"""),0.9650400687276813)</f>
        <v>0.9650400687</v>
      </c>
    </row>
    <row r="221">
      <c r="P221" s="9">
        <f>IFERROR(__xludf.DUMMYFUNCTION("""COMPUTED_VALUE"""),0.9756470709633791)</f>
        <v>0.975647071</v>
      </c>
    </row>
    <row r="222">
      <c r="P222" s="9">
        <f>IFERROR(__xludf.DUMMYFUNCTION("""COMPUTED_VALUE"""),0.9723361796584219)</f>
        <v>0.9723361797</v>
      </c>
    </row>
    <row r="223">
      <c r="P223" s="9">
        <f>IFERROR(__xludf.DUMMYFUNCTION("""COMPUTED_VALUE"""),0.9883976908984857)</f>
        <v>0.9883976909</v>
      </c>
    </row>
    <row r="224">
      <c r="P224" s="9">
        <f>IFERROR(__xludf.DUMMYFUNCTION("""COMPUTED_VALUE"""),0.9640350852070678)</f>
        <v>0.9640350852</v>
      </c>
    </row>
    <row r="225">
      <c r="P225" s="9">
        <f>IFERROR(__xludf.DUMMYFUNCTION("""COMPUTED_VALUE"""),0.9463793125444074)</f>
        <v>0.9463793125</v>
      </c>
    </row>
    <row r="226">
      <c r="P226" s="9">
        <f>IFERROR(__xludf.DUMMYFUNCTION("""COMPUTED_VALUE"""),0.933488099059785)</f>
        <v>0.9334880991</v>
      </c>
    </row>
    <row r="227">
      <c r="P227" s="9">
        <f>IFERROR(__xludf.DUMMYFUNCTION("""COMPUTED_VALUE"""),0.9476845761152214)</f>
        <v>0.9476845761</v>
      </c>
    </row>
    <row r="228">
      <c r="P228" s="9">
        <f>IFERROR(__xludf.DUMMYFUNCTION("""COMPUTED_VALUE"""),0.9229531293216786)</f>
        <v>0.9229531293</v>
      </c>
    </row>
    <row r="229">
      <c r="P229" s="9">
        <f>IFERROR(__xludf.DUMMYFUNCTION("""COMPUTED_VALUE"""),0.9574011525373187)</f>
        <v>0.9574011525</v>
      </c>
    </row>
    <row r="230">
      <c r="P230" s="9">
        <f>IFERROR(__xludf.DUMMYFUNCTION("""COMPUTED_VALUE"""),0.8386881250609131)</f>
        <v>0.8386881251</v>
      </c>
    </row>
    <row r="231">
      <c r="P231" s="9">
        <f>IFERROR(__xludf.DUMMYFUNCTION("""COMPUTED_VALUE"""),0.8026076545203386)</f>
        <v>0.8026076545</v>
      </c>
    </row>
    <row r="232">
      <c r="P232" s="9">
        <f>IFERROR(__xludf.DUMMYFUNCTION("""COMPUTED_VALUE"""),0.8484758661191849)</f>
        <v>0.8484758661</v>
      </c>
    </row>
    <row r="233">
      <c r="P233" s="9">
        <f>IFERROR(__xludf.DUMMYFUNCTION("""COMPUTED_VALUE"""),0.8052042958792985)</f>
        <v>0.8052042959</v>
      </c>
    </row>
    <row r="234">
      <c r="P234" s="9">
        <f>IFERROR(__xludf.DUMMYFUNCTION("""COMPUTED_VALUE"""),0.8260303662974002)</f>
        <v>0.8260303663</v>
      </c>
    </row>
    <row r="235">
      <c r="P235" s="9">
        <f>IFERROR(__xludf.DUMMYFUNCTION("""COMPUTED_VALUE"""),0.900596151364404)</f>
        <v>0.9005961514</v>
      </c>
    </row>
    <row r="236">
      <c r="P236" s="9">
        <f>IFERROR(__xludf.DUMMYFUNCTION("""COMPUTED_VALUE"""),0.8766388369546153)</f>
        <v>0.876638837</v>
      </c>
    </row>
    <row r="237">
      <c r="P237" s="9">
        <f>IFERROR(__xludf.DUMMYFUNCTION("""COMPUTED_VALUE"""),0.9279502753594095)</f>
        <v>0.9279502754</v>
      </c>
    </row>
    <row r="238">
      <c r="P238" s="9">
        <f>IFERROR(__xludf.DUMMYFUNCTION("""COMPUTED_VALUE"""),0.9406870095118479)</f>
        <v>0.9406870095</v>
      </c>
    </row>
    <row r="239">
      <c r="P239" s="9">
        <f>IFERROR(__xludf.DUMMYFUNCTION("""COMPUTED_VALUE"""),0.9638302699127113)</f>
        <v>0.9638302699</v>
      </c>
    </row>
    <row r="240">
      <c r="P240" s="9">
        <f>IFERROR(__xludf.DUMMYFUNCTION("""COMPUTED_VALUE"""),0.964329290227351)</f>
        <v>0.9643292902</v>
      </c>
    </row>
    <row r="241">
      <c r="P241" s="9">
        <f>IFERROR(__xludf.DUMMYFUNCTION("""COMPUTED_VALUE"""),0.9482929469683735)</f>
        <v>0.948292947</v>
      </c>
    </row>
    <row r="242">
      <c r="P242" s="9">
        <f>IFERROR(__xludf.DUMMYFUNCTION("""COMPUTED_VALUE"""),0.9766225471958225)</f>
        <v>0.9766225472</v>
      </c>
    </row>
    <row r="243">
      <c r="P243" s="9">
        <f>IFERROR(__xludf.DUMMYFUNCTION("""COMPUTED_VALUE"""),0.966781866591128)</f>
        <v>0.9667818666</v>
      </c>
    </row>
    <row r="244">
      <c r="P244" s="9">
        <f>IFERROR(__xludf.DUMMYFUNCTION("""COMPUTED_VALUE"""),0.980776999797875)</f>
        <v>0.9807769998</v>
      </c>
    </row>
    <row r="245">
      <c r="P245" s="9">
        <f>IFERROR(__xludf.DUMMYFUNCTION("""COMPUTED_VALUE"""),0.9456494410929083)</f>
        <v>0.9456494411</v>
      </c>
    </row>
    <row r="246">
      <c r="P246" s="9">
        <f>IFERROR(__xludf.DUMMYFUNCTION("""COMPUTED_VALUE"""),0.9277437243422196)</f>
        <v>0.9277437243</v>
      </c>
    </row>
    <row r="247">
      <c r="P247" s="9">
        <f>IFERROR(__xludf.DUMMYFUNCTION("""COMPUTED_VALUE"""),0.9765053859045594)</f>
        <v>0.9765053859</v>
      </c>
    </row>
    <row r="248">
      <c r="P248" s="9">
        <f>IFERROR(__xludf.DUMMYFUNCTION("""COMPUTED_VALUE"""),0.0)</f>
        <v>0</v>
      </c>
    </row>
    <row r="249">
      <c r="P249" s="9">
        <f>IFERROR(__xludf.DUMMYFUNCTION("""COMPUTED_VALUE"""),1.0)</f>
        <v>1</v>
      </c>
    </row>
    <row r="250">
      <c r="P250" s="9">
        <f>IFERROR(__xludf.DUMMYFUNCTION("""COMPUTED_VALUE"""),0.0)</f>
        <v>0</v>
      </c>
    </row>
    <row r="251">
      <c r="P251" s="9">
        <f>IFERROR(__xludf.DUMMYFUNCTION("""COMPUTED_VALUE"""),0.9479510095701682)</f>
        <v>0.9479510096</v>
      </c>
    </row>
    <row r="252">
      <c r="P252" s="9">
        <f>IFERROR(__xludf.DUMMYFUNCTION("""COMPUTED_VALUE"""),0.9518624609755266)</f>
        <v>0.951862461</v>
      </c>
    </row>
    <row r="253">
      <c r="P253" s="9">
        <f>IFERROR(__xludf.DUMMYFUNCTION("""COMPUTED_VALUE"""),0.9659808305034543)</f>
        <v>0.9659808305</v>
      </c>
    </row>
    <row r="254">
      <c r="P254" s="9">
        <f>IFERROR(__xludf.DUMMYFUNCTION("""COMPUTED_VALUE"""),0.7233805857838919)</f>
        <v>0.7233805858</v>
      </c>
    </row>
    <row r="255">
      <c r="P255" s="9">
        <f>IFERROR(__xludf.DUMMYFUNCTION("""COMPUTED_VALUE"""),0.7011989158328036)</f>
        <v>0.7011989158</v>
      </c>
    </row>
    <row r="256">
      <c r="P256" s="9">
        <f>IFERROR(__xludf.DUMMYFUNCTION("""COMPUTED_VALUE"""),0.8119736149300628)</f>
        <v>0.8119736149</v>
      </c>
    </row>
    <row r="257">
      <c r="P257" s="9">
        <f>IFERROR(__xludf.DUMMYFUNCTION("""COMPUTED_VALUE"""),0.4699077732351016)</f>
        <v>0.4699077732</v>
      </c>
    </row>
    <row r="258">
      <c r="P258" s="9">
        <f>IFERROR(__xludf.DUMMYFUNCTION("""COMPUTED_VALUE"""),0.6250492836802045)</f>
        <v>0.6250492837</v>
      </c>
    </row>
    <row r="259">
      <c r="P259" s="9">
        <f>IFERROR(__xludf.DUMMYFUNCTION("""COMPUTED_VALUE"""),0.8589839321533715)</f>
        <v>0.8589839322</v>
      </c>
    </row>
    <row r="260">
      <c r="P260" s="9">
        <f>IFERROR(__xludf.DUMMYFUNCTION("""COMPUTED_VALUE"""),0.678966909919543)</f>
        <v>0.6789669099</v>
      </c>
    </row>
    <row r="261">
      <c r="P261" s="9">
        <f>IFERROR(__xludf.DUMMYFUNCTION("""COMPUTED_VALUE"""),0.5759630419479946)</f>
        <v>0.5759630419</v>
      </c>
    </row>
    <row r="262">
      <c r="P262" s="9">
        <f>IFERROR(__xludf.DUMMYFUNCTION("""COMPUTED_VALUE"""),0.8478692309888665)</f>
        <v>0.847869231</v>
      </c>
    </row>
    <row r="263">
      <c r="P263" s="9">
        <f>IFERROR(__xludf.DUMMYFUNCTION("""COMPUTED_VALUE"""),0.6773926093095319)</f>
        <v>0.6773926093</v>
      </c>
    </row>
    <row r="264">
      <c r="P264" s="9">
        <f>IFERROR(__xludf.DUMMYFUNCTION("""COMPUTED_VALUE"""),0.7903977122478765)</f>
        <v>0.7903977122</v>
      </c>
    </row>
    <row r="265">
      <c r="P265" s="9">
        <f>IFERROR(__xludf.DUMMYFUNCTION("""COMPUTED_VALUE"""),0.7263113537883061)</f>
        <v>0.7263113538</v>
      </c>
    </row>
    <row r="266">
      <c r="P266" s="9">
        <f>IFERROR(__xludf.DUMMYFUNCTION("""COMPUTED_VALUE"""),0.9794361539089737)</f>
        <v>0.9794361539</v>
      </c>
    </row>
    <row r="267">
      <c r="P267" s="9">
        <f>IFERROR(__xludf.DUMMYFUNCTION("""COMPUTED_VALUE"""),0.948512515906815)</f>
        <v>0.9485125159</v>
      </c>
    </row>
    <row r="268">
      <c r="P268" s="9">
        <f>IFERROR(__xludf.DUMMYFUNCTION("""COMPUTED_VALUE"""),0.47335057947540715)</f>
        <v>0.4733505795</v>
      </c>
    </row>
    <row r="269">
      <c r="P269" s="9">
        <f>IFERROR(__xludf.DUMMYFUNCTION("""COMPUTED_VALUE"""),1.0)</f>
        <v>1</v>
      </c>
    </row>
    <row r="270">
      <c r="P270" s="9">
        <f>IFERROR(__xludf.DUMMYFUNCTION("""COMPUTED_VALUE"""),1.0)</f>
        <v>1</v>
      </c>
    </row>
    <row r="271">
      <c r="P271" s="9">
        <f>IFERROR(__xludf.DUMMYFUNCTION("""COMPUTED_VALUE"""),1.0)</f>
        <v>1</v>
      </c>
    </row>
    <row r="272">
      <c r="P272" s="9">
        <f>IFERROR(__xludf.DUMMYFUNCTION("""COMPUTED_VALUE"""),1.0)</f>
        <v>1</v>
      </c>
    </row>
    <row r="273">
      <c r="P273" s="9">
        <f>IFERROR(__xludf.DUMMYFUNCTION("""COMPUTED_VALUE"""),0.9462716977287285)</f>
        <v>0.9462716977</v>
      </c>
    </row>
    <row r="274">
      <c r="P274" s="9">
        <f>IFERROR(__xludf.DUMMYFUNCTION("""COMPUTED_VALUE"""),0.8693600832522099)</f>
        <v>0.8693600833</v>
      </c>
    </row>
    <row r="275">
      <c r="P275" s="9">
        <f>IFERROR(__xludf.DUMMYFUNCTION("""COMPUTED_VALUE"""),0.9557877981635531)</f>
        <v>0.9557877982</v>
      </c>
    </row>
    <row r="276">
      <c r="P276" s="9">
        <f>IFERROR(__xludf.DUMMYFUNCTION("""COMPUTED_VALUE"""),0.9438008962751996)</f>
        <v>0.9438008963</v>
      </c>
    </row>
    <row r="277">
      <c r="P277" s="9">
        <f>IFERROR(__xludf.DUMMYFUNCTION("""COMPUTED_VALUE"""),0.9742159674871341)</f>
        <v>0.9742159675</v>
      </c>
    </row>
    <row r="278">
      <c r="P278" s="9">
        <f>IFERROR(__xludf.DUMMYFUNCTION("""COMPUTED_VALUE"""),0.565104359901435)</f>
        <v>0.5651043599</v>
      </c>
    </row>
    <row r="279">
      <c r="P279" s="9">
        <f>IFERROR(__xludf.DUMMYFUNCTION("""COMPUTED_VALUE"""),1.0)</f>
        <v>1</v>
      </c>
    </row>
    <row r="280">
      <c r="P280" s="9">
        <f>IFERROR(__xludf.DUMMYFUNCTION("""COMPUTED_VALUE"""),0.9271848215898232)</f>
        <v>0.9271848216</v>
      </c>
    </row>
    <row r="281">
      <c r="P281" s="9">
        <f>IFERROR(__xludf.DUMMYFUNCTION("""COMPUTED_VALUE"""),1.0)</f>
        <v>1</v>
      </c>
    </row>
    <row r="282">
      <c r="P282" s="9">
        <f>IFERROR(__xludf.DUMMYFUNCTION("""COMPUTED_VALUE"""),0.9431890539763804)</f>
        <v>0.943189054</v>
      </c>
    </row>
    <row r="283">
      <c r="P283" s="9">
        <f>IFERROR(__xludf.DUMMYFUNCTION("""COMPUTED_VALUE"""),0.8562814117015664)</f>
        <v>0.8562814117</v>
      </c>
    </row>
    <row r="284">
      <c r="P284" s="9">
        <f>IFERROR(__xludf.DUMMYFUNCTION("""COMPUTED_VALUE"""),1.0)</f>
        <v>1</v>
      </c>
    </row>
    <row r="285">
      <c r="P285" s="9">
        <f>IFERROR(__xludf.DUMMYFUNCTION("""COMPUTED_VALUE"""),1.0)</f>
        <v>1</v>
      </c>
    </row>
    <row r="286">
      <c r="P286" s="9">
        <f>IFERROR(__xludf.DUMMYFUNCTION("""COMPUTED_VALUE"""),1.0)</f>
        <v>1</v>
      </c>
    </row>
    <row r="287">
      <c r="P287" s="9">
        <f>IFERROR(__xludf.DUMMYFUNCTION("""COMPUTED_VALUE"""),1.0)</f>
        <v>1</v>
      </c>
    </row>
    <row r="288">
      <c r="P288" s="9">
        <f>IFERROR(__xludf.DUMMYFUNCTION("""COMPUTED_VALUE"""),1.0)</f>
        <v>1</v>
      </c>
    </row>
    <row r="289">
      <c r="P289" s="9">
        <f>IFERROR(__xludf.DUMMYFUNCTION("""COMPUTED_VALUE"""),0.9565402340118881)</f>
        <v>0.956540234</v>
      </c>
    </row>
    <row r="290">
      <c r="P290" s="9">
        <f>IFERROR(__xludf.DUMMYFUNCTION("""COMPUTED_VALUE"""),0.8205576322032823)</f>
        <v>0.8205576322</v>
      </c>
    </row>
    <row r="291">
      <c r="P291" s="9">
        <f>IFERROR(__xludf.DUMMYFUNCTION("""COMPUTED_VALUE"""),0.7859264902287048)</f>
        <v>0.7859264902</v>
      </c>
    </row>
    <row r="292">
      <c r="P292" s="9">
        <f>IFERROR(__xludf.DUMMYFUNCTION("""COMPUTED_VALUE"""),0.8121419800449152)</f>
        <v>0.81214198</v>
      </c>
    </row>
    <row r="293">
      <c r="P293" s="9">
        <f>IFERROR(__xludf.DUMMYFUNCTION("""COMPUTED_VALUE"""),0.740532130963412)</f>
        <v>0.740532131</v>
      </c>
    </row>
    <row r="294">
      <c r="P294" s="9">
        <f>IFERROR(__xludf.DUMMYFUNCTION("""COMPUTED_VALUE"""),0.7356330532657754)</f>
        <v>0.7356330533</v>
      </c>
    </row>
    <row r="295">
      <c r="P295" s="9">
        <f>IFERROR(__xludf.DUMMYFUNCTION("""COMPUTED_VALUE"""),0.8701064440706275)</f>
        <v>0.8701064441</v>
      </c>
    </row>
    <row r="296">
      <c r="P296" s="9">
        <f>IFERROR(__xludf.DUMMYFUNCTION("""COMPUTED_VALUE"""),0.8446329757657509)</f>
        <v>0.8446329758</v>
      </c>
    </row>
    <row r="297">
      <c r="P297" s="9">
        <f>IFERROR(__xludf.DUMMYFUNCTION("""COMPUTED_VALUE"""),0.8693965334317141)</f>
        <v>0.8693965334</v>
      </c>
    </row>
    <row r="298">
      <c r="P298" s="9">
        <f>IFERROR(__xludf.DUMMYFUNCTION("""COMPUTED_VALUE"""),0.8955235013834144)</f>
        <v>0.8955235014</v>
      </c>
    </row>
    <row r="299">
      <c r="P299" s="9">
        <f>IFERROR(__xludf.DUMMYFUNCTION("""COMPUTED_VALUE"""),0.8764045143720888)</f>
        <v>0.8764045144</v>
      </c>
    </row>
    <row r="300">
      <c r="P300" s="9">
        <f>IFERROR(__xludf.DUMMYFUNCTION("""COMPUTED_VALUE"""),0.8355681632676439)</f>
        <v>0.8355681633</v>
      </c>
    </row>
    <row r="301">
      <c r="P301" s="9">
        <f>IFERROR(__xludf.DUMMYFUNCTION("""COMPUTED_VALUE"""),0.8645634132017517)</f>
        <v>0.8645634132</v>
      </c>
    </row>
    <row r="302">
      <c r="P302" s="9">
        <f>IFERROR(__xludf.DUMMYFUNCTION("""COMPUTED_VALUE"""),0.7972911354812383)</f>
        <v>0.7972911355</v>
      </c>
    </row>
    <row r="303">
      <c r="P303" s="9">
        <f>IFERROR(__xludf.DUMMYFUNCTION("""COMPUTED_VALUE"""),0.6466303935308914)</f>
        <v>0.6466303935</v>
      </c>
    </row>
    <row r="304">
      <c r="P304" s="9">
        <f>IFERROR(__xludf.DUMMYFUNCTION("""COMPUTED_VALUE"""),0.8790462845247204)</f>
        <v>0.8790462845</v>
      </c>
    </row>
    <row r="305">
      <c r="P305" s="9">
        <f>IFERROR(__xludf.DUMMYFUNCTION("""COMPUTED_VALUE"""),0.8481790575146514)</f>
        <v>0.8481790575</v>
      </c>
    </row>
    <row r="306">
      <c r="P306" s="9">
        <f>IFERROR(__xludf.DUMMYFUNCTION("""COMPUTED_VALUE"""),0.8837934864744232)</f>
        <v>0.8837934865</v>
      </c>
    </row>
    <row r="307">
      <c r="P307" s="9">
        <f>IFERROR(__xludf.DUMMYFUNCTION("""COMPUTED_VALUE"""),0.9475700184082084)</f>
        <v>0.9475700184</v>
      </c>
    </row>
    <row r="308">
      <c r="P308" s="9">
        <f>IFERROR(__xludf.DUMMYFUNCTION("""COMPUTED_VALUE"""),0.9146928243569126)</f>
        <v>0.9146928244</v>
      </c>
    </row>
    <row r="309">
      <c r="P309" s="9">
        <f>IFERROR(__xludf.DUMMYFUNCTION("""COMPUTED_VALUE"""),0.9249049496479824)</f>
        <v>0.9249049496</v>
      </c>
    </row>
    <row r="310">
      <c r="P310" s="9">
        <f>IFERROR(__xludf.DUMMYFUNCTION("""COMPUTED_VALUE"""),0.9295688369016758)</f>
        <v>0.9295688369</v>
      </c>
    </row>
    <row r="311">
      <c r="P311" s="9">
        <f>IFERROR(__xludf.DUMMYFUNCTION("""COMPUTED_VALUE"""),0.9341051485271047)</f>
        <v>0.9341051485</v>
      </c>
    </row>
    <row r="312">
      <c r="P312" s="9">
        <f>IFERROR(__xludf.DUMMYFUNCTION("""COMPUTED_VALUE"""),0.8547374862411421)</f>
        <v>0.8547374862</v>
      </c>
    </row>
    <row r="313">
      <c r="P313" s="9">
        <f>IFERROR(__xludf.DUMMYFUNCTION("""COMPUTED_VALUE"""),0.9341008092200208)</f>
        <v>0.9341008092</v>
      </c>
    </row>
    <row r="314">
      <c r="P314" s="9">
        <f>IFERROR(__xludf.DUMMYFUNCTION("""COMPUTED_VALUE"""),0.3468797387945419)</f>
        <v>0.3468797388</v>
      </c>
    </row>
    <row r="315">
      <c r="P315" s="9">
        <f>IFERROR(__xludf.DUMMYFUNCTION("""COMPUTED_VALUE"""),0.21560181372621734)</f>
        <v>0.2156018137</v>
      </c>
    </row>
    <row r="316">
      <c r="P316" s="9">
        <f>IFERROR(__xludf.DUMMYFUNCTION("""COMPUTED_VALUE"""),0.4574530940431119)</f>
        <v>0.457453094</v>
      </c>
    </row>
    <row r="317">
      <c r="P317" s="9">
        <f>IFERROR(__xludf.DUMMYFUNCTION("""COMPUTED_VALUE"""),0.15492354705028194)</f>
        <v>0.1549235471</v>
      </c>
    </row>
    <row r="318">
      <c r="P318" s="9">
        <f>IFERROR(__xludf.DUMMYFUNCTION("""COMPUTED_VALUE"""),0.0)</f>
        <v>0</v>
      </c>
    </row>
    <row r="319">
      <c r="P319" s="9">
        <f>IFERROR(__xludf.DUMMYFUNCTION("""COMPUTED_VALUE"""),0.5745779351268382)</f>
        <v>0.5745779351</v>
      </c>
    </row>
    <row r="320">
      <c r="P320" s="9">
        <f>IFERROR(__xludf.DUMMYFUNCTION("""COMPUTED_VALUE"""),0.42965636072555624)</f>
        <v>0.4296563607</v>
      </c>
    </row>
    <row r="321">
      <c r="P321" s="9">
        <f>IFERROR(__xludf.DUMMYFUNCTION("""COMPUTED_VALUE"""),0.4130203252275943)</f>
        <v>0.4130203252</v>
      </c>
    </row>
    <row r="322">
      <c r="P322" s="9">
        <f>IFERROR(__xludf.DUMMYFUNCTION("""COMPUTED_VALUE"""),0.5636541634740213)</f>
        <v>0.5636541635</v>
      </c>
    </row>
    <row r="323">
      <c r="P323" s="9">
        <f>IFERROR(__xludf.DUMMYFUNCTION("""COMPUTED_VALUE"""),0.6667890785195012)</f>
        <v>0.6667890785</v>
      </c>
    </row>
    <row r="324">
      <c r="P324" s="9">
        <f>IFERROR(__xludf.DUMMYFUNCTION("""COMPUTED_VALUE"""),0.6834849964552199)</f>
        <v>0.6834849965</v>
      </c>
    </row>
    <row r="325">
      <c r="P325" s="9">
        <f>IFERROR(__xludf.DUMMYFUNCTION("""COMPUTED_VALUE"""),0.7785869862271261)</f>
        <v>0.7785869862</v>
      </c>
    </row>
    <row r="326">
      <c r="P326" s="9">
        <f>IFERROR(__xludf.DUMMYFUNCTION("""COMPUTED_VALUE"""),0.0)</f>
        <v>0</v>
      </c>
    </row>
    <row r="327">
      <c r="P327" s="9">
        <f>IFERROR(__xludf.DUMMYFUNCTION("""COMPUTED_VALUE"""),0.23427732355357625)</f>
        <v>0.2342773236</v>
      </c>
    </row>
    <row r="328">
      <c r="P328" s="9">
        <f>IFERROR(__xludf.DUMMYFUNCTION("""COMPUTED_VALUE"""),0.09971888232988123)</f>
        <v>0.09971888233</v>
      </c>
    </row>
    <row r="329">
      <c r="P329" s="9">
        <f>IFERROR(__xludf.DUMMYFUNCTION("""COMPUTED_VALUE"""),0.0)</f>
        <v>0</v>
      </c>
    </row>
    <row r="330">
      <c r="P330" s="9">
        <f>IFERROR(__xludf.DUMMYFUNCTION("""COMPUTED_VALUE"""),1.0)</f>
        <v>1</v>
      </c>
    </row>
    <row r="331">
      <c r="P331" s="9">
        <f>IFERROR(__xludf.DUMMYFUNCTION("""COMPUTED_VALUE"""),0.0)</f>
        <v>0</v>
      </c>
    </row>
    <row r="332">
      <c r="P332" s="9">
        <f>IFERROR(__xludf.DUMMYFUNCTION("""COMPUTED_VALUE"""),0.0)</f>
        <v>0</v>
      </c>
    </row>
    <row r="333">
      <c r="P333" s="9">
        <f>IFERROR(__xludf.DUMMYFUNCTION("""COMPUTED_VALUE"""),0.0)</f>
        <v>0</v>
      </c>
    </row>
    <row r="334">
      <c r="P334" s="9">
        <f>IFERROR(__xludf.DUMMYFUNCTION("""COMPUTED_VALUE"""),0.1495601634946762)</f>
        <v>0.1495601635</v>
      </c>
    </row>
    <row r="335">
      <c r="P335" s="9">
        <f>IFERROR(__xludf.DUMMYFUNCTION("""COMPUTED_VALUE"""),0.0)</f>
        <v>0</v>
      </c>
    </row>
    <row r="336">
      <c r="P336" s="9">
        <f>IFERROR(__xludf.DUMMYFUNCTION("""COMPUTED_VALUE"""),0.7262506034891325)</f>
        <v>0.7262506035</v>
      </c>
    </row>
    <row r="337">
      <c r="P337" s="9">
        <f>IFERROR(__xludf.DUMMYFUNCTION("""COMPUTED_VALUE"""),1.0)</f>
        <v>1</v>
      </c>
    </row>
    <row r="338">
      <c r="P338" s="9">
        <f>IFERROR(__xludf.DUMMYFUNCTION("""COMPUTED_VALUE"""),0.5673443102181047)</f>
        <v>0.5673443102</v>
      </c>
    </row>
    <row r="339">
      <c r="P339" s="9">
        <f>IFERROR(__xludf.DUMMYFUNCTION("""COMPUTED_VALUE"""),0.7057048523086459)</f>
        <v>0.7057048523</v>
      </c>
    </row>
    <row r="340">
      <c r="P340" s="9">
        <f>IFERROR(__xludf.DUMMYFUNCTION("""COMPUTED_VALUE"""),0.6771357223301697)</f>
        <v>0.6771357223</v>
      </c>
    </row>
    <row r="341">
      <c r="P341" s="9">
        <f>IFERROR(__xludf.DUMMYFUNCTION("""COMPUTED_VALUE"""),0.8286582506673636)</f>
        <v>0.8286582507</v>
      </c>
    </row>
    <row r="342">
      <c r="P342" s="9">
        <f>IFERROR(__xludf.DUMMYFUNCTION("""COMPUTED_VALUE"""),0.7449582241889119)</f>
        <v>0.7449582242</v>
      </c>
    </row>
    <row r="343">
      <c r="P343" s="9">
        <f>IFERROR(__xludf.DUMMYFUNCTION("""COMPUTED_VALUE"""),0.9121421796530411)</f>
        <v>0.9121421797</v>
      </c>
    </row>
    <row r="344">
      <c r="P344" s="9">
        <f>IFERROR(__xludf.DUMMYFUNCTION("""COMPUTED_VALUE"""),0.6406013602686272)</f>
        <v>0.6406013603</v>
      </c>
    </row>
    <row r="345">
      <c r="P345" s="9">
        <f>IFERROR(__xludf.DUMMYFUNCTION("""COMPUTED_VALUE"""),0.6303727456106388)</f>
        <v>0.6303727456</v>
      </c>
    </row>
    <row r="346">
      <c r="P346" s="9">
        <f>IFERROR(__xludf.DUMMYFUNCTION("""COMPUTED_VALUE"""),0.7036193813241604)</f>
        <v>0.7036193813</v>
      </c>
    </row>
    <row r="347">
      <c r="P347" s="9">
        <f>IFERROR(__xludf.DUMMYFUNCTION("""COMPUTED_VALUE"""),0.7435297242969171)</f>
        <v>0.7435297243</v>
      </c>
    </row>
    <row r="348">
      <c r="P348" s="9">
        <f>IFERROR(__xludf.DUMMYFUNCTION("""COMPUTED_VALUE"""),0.7274300271545158)</f>
        <v>0.7274300272</v>
      </c>
    </row>
    <row r="349">
      <c r="P349" s="9">
        <f>IFERROR(__xludf.DUMMYFUNCTION("""COMPUTED_VALUE"""),0.8175426816414417)</f>
        <v>0.8175426816</v>
      </c>
    </row>
  </sheetData>
  <drawing r:id="rId1"/>
</worksheet>
</file>