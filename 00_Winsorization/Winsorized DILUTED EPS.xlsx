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Normalized" sheetId="2" r:id="rId6"/>
  </sheets>
  <definedNames/>
  <calcPr/>
</workbook>
</file>

<file path=xl/sharedStrings.xml><?xml version="1.0" encoding="utf-8"?>
<sst xmlns="http://schemas.openxmlformats.org/spreadsheetml/2006/main" count="65" uniqueCount="34">
  <si>
    <t>Adani Ports and Special Economic Zone Ltd</t>
  </si>
  <si>
    <t>Asian Paints Ltd</t>
  </si>
  <si>
    <t>AXIS Bank Ltd</t>
  </si>
  <si>
    <t>Bajaj Finserv Ltd</t>
  </si>
  <si>
    <t>Bajaj Finance Ltd</t>
  </si>
  <si>
    <t>Bharat Electronics Ltd</t>
  </si>
  <si>
    <t>Bharti Airtel Ltd</t>
  </si>
  <si>
    <t>HCL Technologies Ltd</t>
  </si>
  <si>
    <t>HDFC Bank Ltd</t>
  </si>
  <si>
    <t>Hindustan Unilever Ltd</t>
  </si>
  <si>
    <t>ICICI Bank Ltd</t>
  </si>
  <si>
    <t>Infosys Ltd</t>
  </si>
  <si>
    <t>ITC Ltd</t>
  </si>
  <si>
    <t>Kotak Mahindra Bank Ltd</t>
  </si>
  <si>
    <t>Larsen &amp; Toubro Ltd</t>
  </si>
  <si>
    <t>Mahindra &amp; Mahindra Ltd</t>
  </si>
  <si>
    <t>Maruti Suzuki India Ltd</t>
  </si>
  <si>
    <t>NTPC Ltd</t>
  </si>
  <si>
    <t>Power Grid Corporation of India Ltd</t>
  </si>
  <si>
    <t>Reliance Industries Ltd</t>
  </si>
  <si>
    <t>State Bank of India</t>
  </si>
  <si>
    <t>Sun Pharmaceutical Industries Ltd</t>
  </si>
  <si>
    <t>Tata Motors Ltd</t>
  </si>
  <si>
    <t>Tata Steel Ltd</t>
  </si>
  <si>
    <t>Tata Consultancy Services Ltd</t>
  </si>
  <si>
    <t>Tech Mahindra Ltd</t>
  </si>
  <si>
    <t>Titan Company Ltd</t>
  </si>
  <si>
    <t>Trent Ltd</t>
  </si>
  <si>
    <t>UltraTech Cement Ltd</t>
  </si>
  <si>
    <t>Global min</t>
  </si>
  <si>
    <t>Global Max</t>
  </si>
  <si>
    <t>percentile min</t>
  </si>
  <si>
    <t>percentile max</t>
  </si>
  <si>
    <t>flattened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</si>
</sst>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sz val="12.0"/>
      <color rgb="FF00B050"/>
      <name val="Times New Roman"/>
    </font>
    <font>
      <color theme="1"/>
      <name val="Arial"/>
    </font>
    <font>
      <sz val="10.0"/>
      <color rgb="FF181A1B"/>
      <name val="Arial"/>
      <scheme val="minor"/>
    </font>
  </fonts>
  <fills count="2">
    <fill>
      <patternFill patternType="none"/>
    </fill>
    <fill>
      <patternFill patternType="lightGray"/>
    </fill>
  </fills>
  <borders count="5">
    <border/>
    <border>
      <top style="thin">
        <color rgb="FF000000"/>
      </top>
      <bottom style="thin">
        <color rgb="FF363A3C"/>
      </bottom>
    </border>
    <border>
      <right style="thin">
        <color rgb="FF000000"/>
      </right>
      <top style="thin">
        <color rgb="FF000000"/>
      </top>
      <bottom style="thin">
        <color rgb="FF363A3C"/>
      </bottom>
    </border>
    <border>
      <bottom style="thin">
        <color rgb="FF363A3C"/>
      </bottom>
    </border>
    <border>
      <right style="thin">
        <color rgb="FF000000"/>
      </right>
      <bottom style="thin">
        <color rgb="FF363A3C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right" shrinkToFit="0" vertical="bottom" wrapText="1"/>
    </xf>
    <xf borderId="0" fillId="0" fontId="3" numFmtId="0" xfId="0" applyAlignment="1" applyFont="1">
      <alignment vertical="bottom"/>
    </xf>
    <xf borderId="0" fillId="0" fontId="4" numFmtId="0" xfId="0" applyAlignment="1" applyFont="1">
      <alignment horizontal="right" shrinkToFit="0" vertical="top" wrapText="0"/>
    </xf>
    <xf borderId="0" fillId="0" fontId="4" numFmtId="0" xfId="0" applyAlignment="1" applyFont="1">
      <alignment horizontal="right" shrinkToFit="0" vertical="top" wrapText="0"/>
    </xf>
    <xf borderId="0" fillId="0" fontId="4" numFmtId="0" xfId="0" applyAlignment="1" applyFont="1">
      <alignment horizontal="right" readingOrder="0" shrinkToFit="0" vertical="top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 readingOrder="0" shrinkToFit="0" vertical="bottom" wrapText="1"/>
    </xf>
    <xf borderId="1" fillId="0" fontId="4" numFmtId="0" xfId="0" applyAlignment="1" applyBorder="1" applyFont="1">
      <alignment horizontal="right" readingOrder="0" shrinkToFit="0" vertical="top" wrapText="0"/>
    </xf>
    <xf borderId="2" fillId="0" fontId="4" numFmtId="0" xfId="0" applyAlignment="1" applyBorder="1" applyFont="1">
      <alignment horizontal="right" readingOrder="0" shrinkToFit="0" vertical="top" wrapText="0"/>
    </xf>
    <xf borderId="3" fillId="0" fontId="4" numFmtId="0" xfId="0" applyAlignment="1" applyBorder="1" applyFont="1">
      <alignment horizontal="right" readingOrder="0" shrinkToFit="0" vertical="top" wrapText="0"/>
    </xf>
    <xf borderId="4" fillId="0" fontId="4" numFmtId="0" xfId="0" applyAlignment="1" applyBorder="1" applyFont="1">
      <alignment horizontal="right"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1790700</xdr:colOff>
      <xdr:row>37</xdr:row>
      <xdr:rowOff>171450</xdr:rowOff>
    </xdr:from>
    <xdr:ext cx="9753600" cy="6029325"/>
    <xdr:pic>
      <xdr:nvPicPr>
        <xdr:cNvPr id="1563650757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63"/>
  </cols>
  <sheetData>
    <row r="1">
      <c r="B1" s="1">
        <v>2025.0</v>
      </c>
      <c r="C1" s="1">
        <v>2024.0</v>
      </c>
      <c r="D1" s="2">
        <v>2023.0</v>
      </c>
      <c r="E1" s="2">
        <v>2022.0</v>
      </c>
      <c r="F1" s="2">
        <v>2021.0</v>
      </c>
      <c r="G1" s="2">
        <v>2020.0</v>
      </c>
      <c r="H1" s="2">
        <v>2019.0</v>
      </c>
      <c r="I1" s="2">
        <v>2018.0</v>
      </c>
      <c r="J1" s="2">
        <v>2017.0</v>
      </c>
      <c r="K1" s="2">
        <v>2016.0</v>
      </c>
      <c r="L1" s="2">
        <v>2015.0</v>
      </c>
      <c r="M1" s="2">
        <v>2014.0</v>
      </c>
      <c r="N1" s="2"/>
      <c r="O1" s="2"/>
      <c r="P1" s="2"/>
    </row>
    <row r="2">
      <c r="A2" s="3" t="s">
        <v>0</v>
      </c>
      <c r="B2" s="1">
        <v>51.35</v>
      </c>
      <c r="C2" s="1">
        <v>37.55</v>
      </c>
      <c r="D2" s="4">
        <v>24.58</v>
      </c>
      <c r="E2" s="4">
        <v>22.39</v>
      </c>
      <c r="F2" s="4">
        <v>24.58</v>
      </c>
      <c r="G2" s="4">
        <v>18.35</v>
      </c>
      <c r="H2" s="4">
        <v>19.27</v>
      </c>
      <c r="I2" s="4">
        <v>17.74</v>
      </c>
      <c r="J2" s="4">
        <v>18.89</v>
      </c>
      <c r="K2" s="4">
        <v>13.99</v>
      </c>
      <c r="L2" s="4">
        <v>11.18</v>
      </c>
      <c r="M2" s="4">
        <v>8.45</v>
      </c>
      <c r="N2" s="5"/>
      <c r="O2" s="6"/>
      <c r="P2" s="6"/>
    </row>
    <row r="3">
      <c r="A3" s="3" t="s">
        <v>1</v>
      </c>
      <c r="B3" s="1">
        <v>38.25</v>
      </c>
      <c r="C3" s="1">
        <v>56.94</v>
      </c>
      <c r="D3" s="4">
        <v>42.82</v>
      </c>
      <c r="E3" s="4">
        <v>31.59</v>
      </c>
      <c r="F3" s="4">
        <v>32.73</v>
      </c>
      <c r="G3" s="4">
        <v>28.2</v>
      </c>
      <c r="H3" s="4">
        <v>22.48</v>
      </c>
      <c r="I3" s="4">
        <v>21.26</v>
      </c>
      <c r="J3" s="4">
        <v>20.22</v>
      </c>
      <c r="K3" s="4">
        <v>18.19</v>
      </c>
      <c r="L3" s="4">
        <v>14.54</v>
      </c>
      <c r="M3" s="4">
        <v>12.71</v>
      </c>
      <c r="N3" s="5"/>
      <c r="O3" s="6"/>
      <c r="P3" s="6"/>
    </row>
    <row r="4">
      <c r="A4" s="3" t="s">
        <v>2</v>
      </c>
      <c r="B4" s="1">
        <v>90.18</v>
      </c>
      <c r="C4" s="1">
        <v>85.01</v>
      </c>
      <c r="D4" s="4">
        <v>35.04</v>
      </c>
      <c r="E4" s="4">
        <v>45.91</v>
      </c>
      <c r="F4" s="4">
        <v>24.19</v>
      </c>
      <c r="G4" s="4">
        <v>6.8</v>
      </c>
      <c r="H4" s="4">
        <v>19.49</v>
      </c>
      <c r="I4" s="4">
        <v>2.101500000000001</v>
      </c>
      <c r="J4" s="4">
        <v>16.48</v>
      </c>
      <c r="K4" s="4">
        <v>34.93</v>
      </c>
      <c r="L4" s="4">
        <v>31.23</v>
      </c>
      <c r="M4" s="4">
        <v>134.2</v>
      </c>
      <c r="N4" s="5"/>
      <c r="O4" s="6"/>
      <c r="P4" s="6"/>
    </row>
    <row r="5">
      <c r="A5" s="3" t="s">
        <v>3</v>
      </c>
      <c r="B5" s="1">
        <v>9.7</v>
      </c>
      <c r="C5" s="1">
        <v>7.3</v>
      </c>
      <c r="D5" s="4">
        <v>4.6</v>
      </c>
      <c r="E5" s="4">
        <v>26.6</v>
      </c>
      <c r="F5" s="4">
        <v>11.2</v>
      </c>
      <c r="G5" s="4">
        <v>41.9</v>
      </c>
      <c r="H5" s="4">
        <v>19.3</v>
      </c>
      <c r="I5" s="4">
        <v>8.9</v>
      </c>
      <c r="J5" s="4">
        <v>4.4</v>
      </c>
      <c r="K5" s="4">
        <v>10.3</v>
      </c>
      <c r="L5" s="4">
        <v>7.9</v>
      </c>
      <c r="M5" s="4">
        <v>5.2</v>
      </c>
      <c r="N5" s="5"/>
      <c r="O5" s="6"/>
      <c r="P5" s="6"/>
    </row>
    <row r="6">
      <c r="A6" s="3" t="s">
        <v>4</v>
      </c>
      <c r="B6" s="1">
        <v>187.43899999999996</v>
      </c>
      <c r="C6" s="1">
        <v>187.43899999999996</v>
      </c>
      <c r="D6" s="4">
        <v>187.43899999999996</v>
      </c>
      <c r="E6" s="4">
        <v>115.79</v>
      </c>
      <c r="F6" s="4">
        <v>73.0</v>
      </c>
      <c r="G6" s="4">
        <v>89.07</v>
      </c>
      <c r="H6" s="4">
        <v>68.75</v>
      </c>
      <c r="I6" s="4">
        <v>47.05</v>
      </c>
      <c r="J6" s="4">
        <v>33.67</v>
      </c>
      <c r="K6" s="4">
        <v>187.43899999999996</v>
      </c>
      <c r="L6" s="4">
        <v>177.7</v>
      </c>
      <c r="M6" s="4">
        <v>143.65</v>
      </c>
      <c r="N6" s="6"/>
      <c r="O6" s="6"/>
      <c r="P6" s="6"/>
    </row>
    <row r="7">
      <c r="A7" s="3" t="s">
        <v>5</v>
      </c>
      <c r="B7" s="1">
        <v>7.28</v>
      </c>
      <c r="C7" s="1">
        <v>5.45</v>
      </c>
      <c r="D7" s="4">
        <v>4.09</v>
      </c>
      <c r="E7" s="4">
        <v>9.85</v>
      </c>
      <c r="F7" s="4">
        <v>8.62</v>
      </c>
      <c r="G7" s="4">
        <v>7.49</v>
      </c>
      <c r="H7" s="4">
        <v>7.74</v>
      </c>
      <c r="I7" s="4">
        <v>5.83</v>
      </c>
      <c r="J7" s="4">
        <v>5.94</v>
      </c>
      <c r="K7" s="4">
        <v>5.57</v>
      </c>
      <c r="L7" s="4">
        <v>149.65</v>
      </c>
      <c r="M7" s="4">
        <v>118.91</v>
      </c>
      <c r="N7" s="5"/>
      <c r="O7" s="6"/>
      <c r="P7" s="6"/>
    </row>
    <row r="8">
      <c r="A8" s="3" t="s">
        <v>6</v>
      </c>
      <c r="B8" s="1">
        <v>56.04</v>
      </c>
      <c r="C8" s="1">
        <v>12.8</v>
      </c>
      <c r="D8" s="4">
        <v>14.57</v>
      </c>
      <c r="E8" s="4">
        <v>7.63</v>
      </c>
      <c r="F8" s="4">
        <v>2.101500000000001</v>
      </c>
      <c r="G8" s="4">
        <v>2.101500000000001</v>
      </c>
      <c r="H8" s="4">
        <v>2.101500000000001</v>
      </c>
      <c r="I8" s="4">
        <v>2.75</v>
      </c>
      <c r="J8" s="4">
        <v>9.51</v>
      </c>
      <c r="K8" s="4">
        <v>15.2</v>
      </c>
      <c r="L8" s="4">
        <v>11.56</v>
      </c>
      <c r="M8" s="4">
        <v>7.01</v>
      </c>
      <c r="N8" s="5"/>
      <c r="O8" s="6"/>
      <c r="P8" s="6"/>
    </row>
    <row r="9">
      <c r="A9" s="3" t="s">
        <v>7</v>
      </c>
      <c r="B9" s="1">
        <v>64.09</v>
      </c>
      <c r="C9" s="1">
        <v>57.86</v>
      </c>
      <c r="D9" s="4">
        <v>54.79</v>
      </c>
      <c r="E9" s="4">
        <v>49.77</v>
      </c>
      <c r="F9" s="4">
        <v>41.07</v>
      </c>
      <c r="G9" s="4">
        <v>40.75</v>
      </c>
      <c r="H9" s="4">
        <v>73.55</v>
      </c>
      <c r="I9" s="4">
        <v>62.19</v>
      </c>
      <c r="J9" s="4">
        <v>60.27</v>
      </c>
      <c r="K9" s="4">
        <v>39.69</v>
      </c>
      <c r="L9" s="4">
        <v>51.79</v>
      </c>
      <c r="M9" s="4">
        <v>91.93</v>
      </c>
      <c r="N9" s="5"/>
      <c r="O9" s="6"/>
      <c r="P9" s="6"/>
    </row>
    <row r="10">
      <c r="A10" s="3" t="s">
        <v>8</v>
      </c>
      <c r="B10" s="1">
        <v>92.39</v>
      </c>
      <c r="C10" s="1">
        <v>90.01</v>
      </c>
      <c r="D10" s="4">
        <v>82.27</v>
      </c>
      <c r="E10" s="4">
        <v>68.31</v>
      </c>
      <c r="F10" s="4">
        <v>57.61</v>
      </c>
      <c r="G10" s="4">
        <v>49.46</v>
      </c>
      <c r="H10" s="4">
        <v>82.51</v>
      </c>
      <c r="I10" s="4">
        <v>70.76</v>
      </c>
      <c r="J10" s="4">
        <v>59.16</v>
      </c>
      <c r="K10" s="4">
        <v>50.24</v>
      </c>
      <c r="L10" s="4">
        <v>43.6</v>
      </c>
      <c r="M10" s="4">
        <v>36.31</v>
      </c>
      <c r="N10" s="5"/>
      <c r="O10" s="6"/>
      <c r="P10" s="6"/>
    </row>
    <row r="11">
      <c r="A11" s="3" t="s">
        <v>9</v>
      </c>
      <c r="B11" s="1">
        <v>45.32</v>
      </c>
      <c r="C11" s="1">
        <v>43.74</v>
      </c>
      <c r="D11" s="4">
        <v>43.07</v>
      </c>
      <c r="E11" s="4">
        <v>37.79</v>
      </c>
      <c r="F11" s="4">
        <v>34.03</v>
      </c>
      <c r="G11" s="4">
        <v>31.17</v>
      </c>
      <c r="H11" s="4">
        <v>27.96</v>
      </c>
      <c r="I11" s="4">
        <v>24.08</v>
      </c>
      <c r="J11" s="4">
        <v>20.67</v>
      </c>
      <c r="K11" s="4">
        <v>19.09</v>
      </c>
      <c r="L11" s="4">
        <v>20.16</v>
      </c>
      <c r="M11" s="4">
        <v>18.23</v>
      </c>
      <c r="N11" s="5"/>
      <c r="O11" s="6"/>
      <c r="P11" s="6"/>
    </row>
    <row r="12">
      <c r="A12" s="3" t="s">
        <v>10</v>
      </c>
      <c r="B12" s="1">
        <v>71.14</v>
      </c>
      <c r="C12" s="1">
        <v>61.96</v>
      </c>
      <c r="D12" s="4">
        <v>47.84</v>
      </c>
      <c r="E12" s="4">
        <v>35.44</v>
      </c>
      <c r="F12" s="4">
        <v>26.83</v>
      </c>
      <c r="G12" s="4">
        <v>14.55</v>
      </c>
      <c r="H12" s="4">
        <v>6.53</v>
      </c>
      <c r="I12" s="4">
        <v>11.89</v>
      </c>
      <c r="J12" s="4">
        <v>15.84</v>
      </c>
      <c r="K12" s="4">
        <v>17.41</v>
      </c>
      <c r="L12" s="4">
        <v>21.17</v>
      </c>
      <c r="M12" s="4">
        <v>95.65</v>
      </c>
      <c r="N12" s="5"/>
      <c r="O12" s="6"/>
      <c r="P12" s="6"/>
    </row>
    <row r="13">
      <c r="A13" s="3" t="s">
        <v>11</v>
      </c>
      <c r="B13" s="1">
        <v>64.34</v>
      </c>
      <c r="C13" s="1">
        <v>63.39</v>
      </c>
      <c r="D13" s="4">
        <v>57.54</v>
      </c>
      <c r="E13" s="4">
        <v>52.41</v>
      </c>
      <c r="F13" s="4">
        <v>45.52</v>
      </c>
      <c r="G13" s="4">
        <v>38.91</v>
      </c>
      <c r="H13" s="4">
        <v>35.38</v>
      </c>
      <c r="I13" s="4">
        <v>71.0</v>
      </c>
      <c r="J13" s="4">
        <v>62.77</v>
      </c>
      <c r="K13" s="4">
        <v>59.02</v>
      </c>
      <c r="L13" s="4">
        <v>108.26</v>
      </c>
      <c r="M13" s="4">
        <v>186.49</v>
      </c>
      <c r="N13" s="5"/>
      <c r="O13" s="6"/>
      <c r="P13" s="6"/>
    </row>
    <row r="14">
      <c r="A14" s="3" t="s">
        <v>12</v>
      </c>
      <c r="B14" s="1">
        <v>27.75</v>
      </c>
      <c r="C14" s="1">
        <v>16.38</v>
      </c>
      <c r="D14" s="4">
        <v>15.46</v>
      </c>
      <c r="E14" s="4">
        <v>12.37</v>
      </c>
      <c r="F14" s="4">
        <v>10.7</v>
      </c>
      <c r="G14" s="4">
        <v>12.45</v>
      </c>
      <c r="H14" s="4">
        <v>10.24</v>
      </c>
      <c r="I14" s="4">
        <v>9.2</v>
      </c>
      <c r="J14" s="4">
        <v>8.45</v>
      </c>
      <c r="K14" s="4">
        <v>7.71</v>
      </c>
      <c r="L14" s="4">
        <v>12.0</v>
      </c>
      <c r="M14" s="4">
        <v>11.09</v>
      </c>
      <c r="N14" s="5"/>
      <c r="O14" s="6"/>
      <c r="P14" s="6"/>
    </row>
    <row r="15">
      <c r="A15" s="3" t="s">
        <v>13</v>
      </c>
      <c r="B15" s="1">
        <v>111.29</v>
      </c>
      <c r="C15" s="1">
        <v>91.45</v>
      </c>
      <c r="D15" s="4">
        <v>74.94</v>
      </c>
      <c r="E15" s="4">
        <v>60.73</v>
      </c>
      <c r="F15" s="4">
        <v>50.49</v>
      </c>
      <c r="G15" s="4">
        <v>44.68</v>
      </c>
      <c r="H15" s="4">
        <v>37.74</v>
      </c>
      <c r="I15" s="4">
        <v>32.66</v>
      </c>
      <c r="J15" s="4">
        <v>26.86</v>
      </c>
      <c r="K15" s="4">
        <v>18.87</v>
      </c>
      <c r="L15" s="4">
        <v>39.4</v>
      </c>
      <c r="M15" s="4">
        <v>32.14</v>
      </c>
      <c r="N15" s="5"/>
      <c r="O15" s="6"/>
      <c r="P15" s="6"/>
    </row>
    <row r="16">
      <c r="A16" s="3" t="s">
        <v>14</v>
      </c>
      <c r="B16" s="1">
        <v>109.28</v>
      </c>
      <c r="C16" s="1">
        <v>93.88</v>
      </c>
      <c r="D16" s="4">
        <v>74.45</v>
      </c>
      <c r="E16" s="4">
        <v>61.65</v>
      </c>
      <c r="F16" s="4">
        <v>82.41</v>
      </c>
      <c r="G16" s="4">
        <v>67.95</v>
      </c>
      <c r="H16" s="4">
        <v>63.4</v>
      </c>
      <c r="I16" s="4">
        <v>52.49</v>
      </c>
      <c r="J16" s="4">
        <v>43.05</v>
      </c>
      <c r="K16" s="4">
        <v>45.27</v>
      </c>
      <c r="L16" s="4">
        <v>50.98</v>
      </c>
      <c r="M16" s="4">
        <v>52.65</v>
      </c>
      <c r="N16" s="5"/>
      <c r="O16" s="6"/>
      <c r="P16" s="6"/>
    </row>
    <row r="17">
      <c r="A17" s="3" t="s">
        <v>15</v>
      </c>
      <c r="B17" s="1">
        <v>115.06</v>
      </c>
      <c r="C17" s="1">
        <v>100.7</v>
      </c>
      <c r="D17" s="4">
        <v>91.96</v>
      </c>
      <c r="E17" s="4">
        <v>58.83</v>
      </c>
      <c r="F17" s="4">
        <v>16.15</v>
      </c>
      <c r="G17" s="4">
        <v>2.101500000000001</v>
      </c>
      <c r="H17" s="4">
        <v>48.7</v>
      </c>
      <c r="I17" s="4">
        <v>68.86</v>
      </c>
      <c r="J17" s="4">
        <v>33.98</v>
      </c>
      <c r="K17" s="4">
        <v>56.49</v>
      </c>
      <c r="L17" s="4">
        <v>50.69</v>
      </c>
      <c r="M17" s="4">
        <v>75.83</v>
      </c>
      <c r="N17" s="5"/>
      <c r="O17" s="6"/>
      <c r="P17" s="6"/>
    </row>
    <row r="18">
      <c r="A18" s="3" t="s">
        <v>16</v>
      </c>
      <c r="B18" s="1">
        <v>187.43899999999996</v>
      </c>
      <c r="C18" s="1">
        <v>187.43899999999996</v>
      </c>
      <c r="D18" s="4">
        <v>187.43899999999996</v>
      </c>
      <c r="E18" s="4">
        <v>128.43</v>
      </c>
      <c r="F18" s="4">
        <v>145.3</v>
      </c>
      <c r="G18" s="4">
        <v>187.43899999999996</v>
      </c>
      <c r="H18" s="4">
        <v>187.43899999999996</v>
      </c>
      <c r="I18" s="4">
        <v>187.43899999999996</v>
      </c>
      <c r="J18" s="4">
        <v>187.43899999999996</v>
      </c>
      <c r="K18" s="4">
        <v>181.98</v>
      </c>
      <c r="L18" s="4">
        <v>126.04</v>
      </c>
      <c r="M18" s="4">
        <v>94.44</v>
      </c>
      <c r="N18" s="5"/>
      <c r="O18" s="6"/>
      <c r="P18" s="6"/>
    </row>
    <row r="19">
      <c r="A19" s="3" t="s">
        <v>17</v>
      </c>
      <c r="B19" s="1">
        <v>20.34</v>
      </c>
      <c r="C19" s="1">
        <v>21.46</v>
      </c>
      <c r="D19" s="4">
        <v>17.87</v>
      </c>
      <c r="E19" s="4">
        <v>15.66</v>
      </c>
      <c r="F19" s="4">
        <v>14.87</v>
      </c>
      <c r="G19" s="4">
        <v>11.72</v>
      </c>
      <c r="H19" s="4">
        <v>13.88</v>
      </c>
      <c r="I19" s="4">
        <v>10.66</v>
      </c>
      <c r="J19" s="4">
        <v>13.0</v>
      </c>
      <c r="K19" s="4">
        <v>13.1</v>
      </c>
      <c r="L19" s="4">
        <v>12.11</v>
      </c>
      <c r="M19" s="4">
        <v>13.83</v>
      </c>
      <c r="N19" s="5"/>
      <c r="O19" s="6"/>
      <c r="P19" s="6"/>
    </row>
    <row r="20">
      <c r="A20" s="3" t="s">
        <v>18</v>
      </c>
      <c r="B20" s="1">
        <v>16.69</v>
      </c>
      <c r="C20" s="1">
        <v>17.36</v>
      </c>
      <c r="D20" s="4">
        <v>22.1</v>
      </c>
      <c r="E20" s="4">
        <v>24.12</v>
      </c>
      <c r="F20" s="4">
        <v>23.01</v>
      </c>
      <c r="G20" s="4">
        <v>21.14</v>
      </c>
      <c r="H20" s="4">
        <v>19.18</v>
      </c>
      <c r="I20" s="4">
        <v>15.68</v>
      </c>
      <c r="J20" s="4">
        <v>14.24</v>
      </c>
      <c r="K20" s="4">
        <v>11.39</v>
      </c>
      <c r="L20" s="4">
        <v>9.65</v>
      </c>
      <c r="M20" s="4">
        <v>9.47</v>
      </c>
      <c r="N20" s="5"/>
      <c r="O20" s="6"/>
      <c r="P20" s="6"/>
    </row>
    <row r="21">
      <c r="A21" s="3" t="s">
        <v>19</v>
      </c>
      <c r="B21" s="1">
        <v>51.47</v>
      </c>
      <c r="C21" s="1">
        <v>102.9</v>
      </c>
      <c r="D21" s="4">
        <v>98.59</v>
      </c>
      <c r="E21" s="4">
        <v>90.85</v>
      </c>
      <c r="F21" s="4">
        <v>75.21</v>
      </c>
      <c r="G21" s="4">
        <v>63.06</v>
      </c>
      <c r="H21" s="4">
        <v>66.8</v>
      </c>
      <c r="I21" s="4">
        <v>60.89</v>
      </c>
      <c r="J21" s="4">
        <v>101.14</v>
      </c>
      <c r="K21" s="4">
        <v>100.75</v>
      </c>
      <c r="L21" s="4">
        <v>80.11</v>
      </c>
      <c r="M21" s="4">
        <v>76.55</v>
      </c>
      <c r="N21" s="5"/>
      <c r="O21" s="6"/>
      <c r="P21" s="6"/>
    </row>
    <row r="22">
      <c r="A22" s="3" t="s">
        <v>20</v>
      </c>
      <c r="B22" s="1">
        <v>86.91</v>
      </c>
      <c r="C22" s="1">
        <v>75.17</v>
      </c>
      <c r="D22" s="4">
        <v>62.35</v>
      </c>
      <c r="E22" s="4">
        <v>39.64</v>
      </c>
      <c r="F22" s="4">
        <v>25.11</v>
      </c>
      <c r="G22" s="4">
        <v>22.15</v>
      </c>
      <c r="H22" s="4">
        <v>2.58</v>
      </c>
      <c r="I22" s="4">
        <v>2.101500000000001</v>
      </c>
      <c r="J22" s="4">
        <v>2.101500000000001</v>
      </c>
      <c r="K22" s="4">
        <v>15.95</v>
      </c>
      <c r="L22" s="4">
        <v>22.76</v>
      </c>
      <c r="M22" s="4">
        <v>187.43899999999996</v>
      </c>
      <c r="N22" s="5"/>
      <c r="O22" s="6"/>
      <c r="P22" s="6"/>
    </row>
    <row r="23">
      <c r="A23" s="3" t="s">
        <v>21</v>
      </c>
      <c r="B23" s="1">
        <v>45.6</v>
      </c>
      <c r="C23" s="1">
        <v>39.9</v>
      </c>
      <c r="D23" s="4">
        <v>35.3</v>
      </c>
      <c r="E23" s="4">
        <v>13.6</v>
      </c>
      <c r="F23" s="4">
        <v>12.1</v>
      </c>
      <c r="G23" s="4">
        <v>15.7</v>
      </c>
      <c r="H23" s="4">
        <v>11.1</v>
      </c>
      <c r="I23" s="4">
        <v>9.0</v>
      </c>
      <c r="J23" s="4">
        <v>29.0</v>
      </c>
      <c r="K23" s="4">
        <v>18.9</v>
      </c>
      <c r="L23" s="4">
        <v>18.9</v>
      </c>
      <c r="M23" s="4">
        <v>15.2</v>
      </c>
      <c r="N23" s="5"/>
      <c r="O23" s="6"/>
      <c r="P23" s="6"/>
    </row>
    <row r="24">
      <c r="A24" s="3" t="s">
        <v>22</v>
      </c>
      <c r="B24" s="1">
        <v>78.75</v>
      </c>
      <c r="C24" s="1">
        <v>81.88</v>
      </c>
      <c r="D24" s="4">
        <v>6.29</v>
      </c>
      <c r="E24" s="4">
        <v>2.101500000000001</v>
      </c>
      <c r="F24" s="4">
        <v>2.101500000000001</v>
      </c>
      <c r="G24" s="4">
        <v>2.101500000000001</v>
      </c>
      <c r="H24" s="4">
        <v>2.101500000000001</v>
      </c>
      <c r="I24" s="4">
        <v>26.45</v>
      </c>
      <c r="J24" s="4">
        <v>21.93</v>
      </c>
      <c r="K24" s="4">
        <v>34.24</v>
      </c>
      <c r="L24" s="4">
        <v>43.43</v>
      </c>
      <c r="M24" s="4">
        <v>43.5</v>
      </c>
      <c r="N24" s="5"/>
      <c r="O24" s="6"/>
      <c r="P24" s="6"/>
    </row>
    <row r="25">
      <c r="A25" s="3" t="s">
        <v>23</v>
      </c>
      <c r="B25" s="1">
        <v>2.74</v>
      </c>
      <c r="C25" s="1">
        <v>2.101500000000001</v>
      </c>
      <c r="D25" s="4">
        <v>7.17</v>
      </c>
      <c r="E25" s="4">
        <v>187.43899999999996</v>
      </c>
      <c r="F25" s="4">
        <v>63.78</v>
      </c>
      <c r="G25" s="4">
        <v>11.86</v>
      </c>
      <c r="H25" s="4">
        <v>87.74</v>
      </c>
      <c r="I25" s="4">
        <v>128.1</v>
      </c>
      <c r="J25" s="4">
        <v>2.101500000000001</v>
      </c>
      <c r="K25" s="4">
        <v>2.101500000000001</v>
      </c>
      <c r="L25" s="4">
        <v>2.101500000000001</v>
      </c>
      <c r="M25" s="4">
        <v>35.19</v>
      </c>
      <c r="N25" s="5"/>
      <c r="O25" s="6"/>
      <c r="P25" s="6"/>
    </row>
    <row r="26">
      <c r="A26" s="3" t="s">
        <v>24</v>
      </c>
      <c r="B26" s="1">
        <v>134.19</v>
      </c>
      <c r="C26" s="1">
        <v>125.88</v>
      </c>
      <c r="D26" s="4">
        <v>115.19</v>
      </c>
      <c r="E26" s="4">
        <v>103.62</v>
      </c>
      <c r="F26" s="4">
        <v>86.71</v>
      </c>
      <c r="G26" s="4">
        <v>86.19</v>
      </c>
      <c r="H26" s="4">
        <v>83.05</v>
      </c>
      <c r="I26" s="4">
        <v>134.19</v>
      </c>
      <c r="J26" s="4">
        <v>133.41</v>
      </c>
      <c r="K26" s="4">
        <v>123.18</v>
      </c>
      <c r="L26" s="4">
        <v>101.35</v>
      </c>
      <c r="M26" s="4">
        <v>97.67</v>
      </c>
      <c r="N26" s="5"/>
      <c r="O26" s="6"/>
      <c r="P26" s="6"/>
    </row>
    <row r="27">
      <c r="A27" s="3" t="s">
        <v>25</v>
      </c>
      <c r="B27" s="1">
        <v>47.91</v>
      </c>
      <c r="C27" s="1">
        <v>26.58</v>
      </c>
      <c r="D27" s="4">
        <v>54.76</v>
      </c>
      <c r="E27" s="4">
        <v>62.81</v>
      </c>
      <c r="F27" s="4">
        <v>50.19</v>
      </c>
      <c r="G27" s="4">
        <v>45.85</v>
      </c>
      <c r="H27" s="4">
        <v>47.72</v>
      </c>
      <c r="I27" s="4">
        <v>42.66</v>
      </c>
      <c r="J27" s="4">
        <v>31.64</v>
      </c>
      <c r="K27" s="4">
        <v>33.71</v>
      </c>
      <c r="L27" s="4">
        <v>26.74</v>
      </c>
      <c r="M27" s="4">
        <v>126.78</v>
      </c>
      <c r="N27" s="5"/>
      <c r="O27" s="6"/>
      <c r="P27" s="6"/>
    </row>
    <row r="28">
      <c r="A28" s="3" t="s">
        <v>26</v>
      </c>
      <c r="B28" s="1">
        <v>37.61</v>
      </c>
      <c r="C28" s="1">
        <v>39.38</v>
      </c>
      <c r="D28" s="4">
        <v>36.61</v>
      </c>
      <c r="E28" s="4">
        <v>24.49</v>
      </c>
      <c r="F28" s="4">
        <v>10.96</v>
      </c>
      <c r="G28" s="4">
        <v>16.91</v>
      </c>
      <c r="H28" s="4">
        <v>15.82</v>
      </c>
      <c r="I28" s="4">
        <v>12.75</v>
      </c>
      <c r="J28" s="4">
        <v>8.17</v>
      </c>
      <c r="K28" s="4">
        <v>7.6</v>
      </c>
      <c r="L28" s="4">
        <v>9.19</v>
      </c>
      <c r="M28" s="4">
        <v>8.28</v>
      </c>
      <c r="N28" s="5"/>
      <c r="O28" s="6"/>
      <c r="P28" s="6"/>
    </row>
    <row r="29">
      <c r="A29" s="3" t="s">
        <v>27</v>
      </c>
      <c r="B29" s="1">
        <v>43.51</v>
      </c>
      <c r="C29" s="1">
        <v>41.82</v>
      </c>
      <c r="D29" s="4">
        <v>12.51</v>
      </c>
      <c r="E29" s="4">
        <v>2.98</v>
      </c>
      <c r="F29" s="4">
        <v>2.101500000000001</v>
      </c>
      <c r="G29" s="4">
        <v>3.53</v>
      </c>
      <c r="H29" s="4">
        <v>2.92</v>
      </c>
      <c r="I29" s="4">
        <v>2.62</v>
      </c>
      <c r="J29" s="4">
        <v>2.55</v>
      </c>
      <c r="K29" s="4">
        <v>2.101500000000001</v>
      </c>
      <c r="L29" s="4">
        <v>38.92</v>
      </c>
      <c r="M29" s="4">
        <v>2.101500000000001</v>
      </c>
      <c r="N29" s="5"/>
      <c r="O29" s="6"/>
      <c r="P29" s="6"/>
    </row>
    <row r="30">
      <c r="A30" s="3" t="s">
        <v>28</v>
      </c>
      <c r="B30" s="1">
        <v>187.43899999999996</v>
      </c>
      <c r="C30" s="1">
        <v>187.43899999999996</v>
      </c>
      <c r="D30" s="4">
        <v>175.54</v>
      </c>
      <c r="E30" s="4">
        <v>187.43899999999996</v>
      </c>
      <c r="F30" s="4">
        <v>187.43899999999996</v>
      </c>
      <c r="G30" s="4">
        <v>187.43899999999996</v>
      </c>
      <c r="H30" s="4">
        <v>84.0</v>
      </c>
      <c r="I30" s="4">
        <v>80.92</v>
      </c>
      <c r="J30" s="4">
        <v>98.88</v>
      </c>
      <c r="K30" s="4">
        <v>90.25</v>
      </c>
      <c r="L30" s="4">
        <v>76.44</v>
      </c>
      <c r="M30" s="4">
        <v>80.42</v>
      </c>
      <c r="N30" s="5"/>
      <c r="O30" s="6"/>
      <c r="P30" s="6"/>
    </row>
    <row r="34">
      <c r="A34" s="7" t="s">
        <v>29</v>
      </c>
      <c r="B34" s="1">
        <f>MIN(B2:N30)</f>
        <v>2.1015</v>
      </c>
    </row>
    <row r="35">
      <c r="A35" s="7" t="s">
        <v>30</v>
      </c>
      <c r="B35" s="1">
        <f>MAX(B2:N30)</f>
        <v>187.439</v>
      </c>
    </row>
    <row r="37">
      <c r="A37" s="7" t="s">
        <v>31</v>
      </c>
      <c r="B37" s="1">
        <f>PERCENTILE(B2:M30, 0.05)</f>
        <v>2.258475</v>
      </c>
    </row>
    <row r="38">
      <c r="A38" s="7" t="s">
        <v>32</v>
      </c>
      <c r="B38" s="1">
        <f>PERCENTILE(B2:M30, 0.95)</f>
        <v>187.10685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63"/>
  </cols>
  <sheetData>
    <row r="1">
      <c r="B1" s="1">
        <v>2025.0</v>
      </c>
      <c r="C1" s="1">
        <v>2024.0</v>
      </c>
      <c r="D1" s="2">
        <v>2023.0</v>
      </c>
      <c r="E1" s="2">
        <v>2022.0</v>
      </c>
      <c r="F1" s="2">
        <v>2021.0</v>
      </c>
      <c r="G1" s="2">
        <v>2020.0</v>
      </c>
      <c r="H1" s="2">
        <v>2019.0</v>
      </c>
      <c r="I1" s="2">
        <v>2018.0</v>
      </c>
      <c r="J1" s="2">
        <v>2017.0</v>
      </c>
      <c r="K1" s="2">
        <v>2016.0</v>
      </c>
      <c r="L1" s="2">
        <v>2015.0</v>
      </c>
      <c r="M1" s="2">
        <v>2014.0</v>
      </c>
      <c r="N1" s="2"/>
      <c r="O1" s="2"/>
      <c r="P1" s="8" t="s">
        <v>33</v>
      </c>
    </row>
    <row r="2">
      <c r="A2" s="3" t="s">
        <v>0</v>
      </c>
      <c r="B2" s="1">
        <f>(Sheet1!B2 - Sheet1!$B$34) / (Sheet1!$B$35 - Sheet1!$B$34)</f>
        <v>0.2657233426</v>
      </c>
      <c r="C2" s="1">
        <f>(Sheet1!C2 - Sheet1!$B$34) / (Sheet1!$B$35 - Sheet1!$B$34)</f>
        <v>0.1912645849</v>
      </c>
      <c r="D2" s="1">
        <f>(Sheet1!D2 - Sheet1!$B$34) / (Sheet1!$B$35 - Sheet1!$B$34)</f>
        <v>0.1212841438</v>
      </c>
      <c r="E2" s="1">
        <f>(Sheet1!E2 - Sheet1!$B$34) / (Sheet1!$B$35 - Sheet1!$B$34)</f>
        <v>0.1094678627</v>
      </c>
      <c r="F2" s="1">
        <f>(Sheet1!F2 - Sheet1!$B$34) / (Sheet1!$B$35 - Sheet1!$B$34)</f>
        <v>0.1212841438</v>
      </c>
      <c r="G2" s="1">
        <f>(Sheet1!G2 - Sheet1!$B$34) / (Sheet1!$B$35 - Sheet1!$B$34)</f>
        <v>0.0876697916</v>
      </c>
      <c r="H2" s="1">
        <f>(Sheet1!H2 - Sheet1!$B$34) / (Sheet1!$B$35 - Sheet1!$B$34)</f>
        <v>0.09263370877</v>
      </c>
      <c r="I2" s="1">
        <f>(Sheet1!I2 - Sheet1!$B$34) / (Sheet1!$B$35 - Sheet1!$B$34)</f>
        <v>0.08437849868</v>
      </c>
      <c r="J2" s="1">
        <f>(Sheet1!J2 - Sheet1!$B$34) / (Sheet1!$B$35 - Sheet1!$B$34)</f>
        <v>0.09058339516</v>
      </c>
      <c r="K2" s="1">
        <f>(Sheet1!K2 - Sheet1!$B$34) / (Sheet1!$B$35 - Sheet1!$B$34)</f>
        <v>0.06414514062</v>
      </c>
      <c r="L2" s="1">
        <f>(Sheet1!L2 - Sheet1!$B$34) / (Sheet1!$B$35 - Sheet1!$B$34)</f>
        <v>0.04898361098</v>
      </c>
      <c r="M2" s="1">
        <f>(Sheet1!M2 - Sheet1!$B$34) / (Sheet1!$B$35 - Sheet1!$B$34)</f>
        <v>0.03425372631</v>
      </c>
      <c r="O2" s="9"/>
      <c r="P2" s="10">
        <f>IFERROR(__xludf.DUMMYFUNCTION("FLATTEN(B2:M30)"),0.26572334255075203)</f>
        <v>0.2657233426</v>
      </c>
    </row>
    <row r="3">
      <c r="A3" s="3" t="s">
        <v>1</v>
      </c>
      <c r="B3" s="1">
        <f>(Sheet1!B3 - Sheet1!$B$34) / (Sheet1!$B$35 - Sheet1!$B$34)</f>
        <v>0.1950414784</v>
      </c>
      <c r="C3" s="1">
        <f>(Sheet1!C3 - Sheet1!$B$34) / (Sheet1!$B$35 - Sheet1!$B$34)</f>
        <v>0.295884535</v>
      </c>
      <c r="D3" s="1">
        <f>(Sheet1!D3 - Sheet1!$B$34) / (Sheet1!$B$35 - Sheet1!$B$34)</f>
        <v>0.2196991974</v>
      </c>
      <c r="E3" s="1">
        <f>(Sheet1!E3 - Sheet1!$B$34) / (Sheet1!$B$35 - Sheet1!$B$34)</f>
        <v>0.1591070345</v>
      </c>
      <c r="F3" s="1">
        <f>(Sheet1!F3 - Sheet1!$B$34) / (Sheet1!$B$35 - Sheet1!$B$34)</f>
        <v>0.1652579753</v>
      </c>
      <c r="G3" s="1">
        <f>(Sheet1!G3 - Sheet1!$B$34) / (Sheet1!$B$35 - Sheet1!$B$34)</f>
        <v>0.1408160788</v>
      </c>
      <c r="H3" s="1">
        <f>(Sheet1!H3 - Sheet1!$B$34) / (Sheet1!$B$35 - Sheet1!$B$34)</f>
        <v>0.1099534633</v>
      </c>
      <c r="I3" s="1">
        <f>(Sheet1!I3 - Sheet1!$B$34) / (Sheet1!$B$35 - Sheet1!$B$34)</f>
        <v>0.1033708775</v>
      </c>
      <c r="J3" s="1">
        <f>(Sheet1!J3 - Sheet1!$B$34) / (Sheet1!$B$35 - Sheet1!$B$34)</f>
        <v>0.09775949282</v>
      </c>
      <c r="K3" s="1">
        <f>(Sheet1!K3 - Sheet1!$B$34) / (Sheet1!$B$35 - Sheet1!$B$34)</f>
        <v>0.08680650165</v>
      </c>
      <c r="L3" s="1">
        <f>(Sheet1!L3 - Sheet1!$B$34) / (Sheet1!$B$35 - Sheet1!$B$34)</f>
        <v>0.0671126998</v>
      </c>
      <c r="M3" s="1">
        <f>(Sheet1!M3 - Sheet1!$B$34) / (Sheet1!$B$35 - Sheet1!$B$34)</f>
        <v>0.05723882107</v>
      </c>
      <c r="O3" s="11"/>
      <c r="P3" s="12">
        <f>IFERROR(__xludf.DUMMYFUNCTION("""COMPUTED_VALUE"""),0.19126458487893708)</f>
        <v>0.1912645849</v>
      </c>
    </row>
    <row r="4">
      <c r="A4" s="3" t="s">
        <v>2</v>
      </c>
      <c r="B4" s="1">
        <f>(Sheet1!B4 - Sheet1!$B$34) / (Sheet1!$B$35 - Sheet1!$B$34)</f>
        <v>0.4752330208</v>
      </c>
      <c r="C4" s="1">
        <f>(Sheet1!C4 - Sheet1!$B$34) / (Sheet1!$B$35 - Sheet1!$B$34)</f>
        <v>0.4473379645</v>
      </c>
      <c r="D4" s="1">
        <f>(Sheet1!D4 - Sheet1!$B$34) / (Sheet1!$B$35 - Sheet1!$B$34)</f>
        <v>0.1777217239</v>
      </c>
      <c r="E4" s="1">
        <f>(Sheet1!E4 - Sheet1!$B$34) / (Sheet1!$B$35 - Sheet1!$B$34)</f>
        <v>0.2363714845</v>
      </c>
      <c r="F4" s="1">
        <f>(Sheet1!F4 - Sheet1!$B$34) / (Sheet1!$B$35 - Sheet1!$B$34)</f>
        <v>0.1191798746</v>
      </c>
      <c r="G4" s="1">
        <f>(Sheet1!G4 - Sheet1!$B$34) / (Sheet1!$B$35 - Sheet1!$B$34)</f>
        <v>0.02535104876</v>
      </c>
      <c r="H4" s="1">
        <f>(Sheet1!H4 - Sheet1!$B$34) / (Sheet1!$B$35 - Sheet1!$B$34)</f>
        <v>0.09382073245</v>
      </c>
      <c r="I4" s="1">
        <f>(Sheet1!I4 - Sheet1!$B$34) / (Sheet1!$B$35 - Sheet1!$B$34)</f>
        <v>0</v>
      </c>
      <c r="J4" s="1">
        <f>(Sheet1!J4 - Sheet1!$B$34) / (Sheet1!$B$35 - Sheet1!$B$34)</f>
        <v>0.07758009038</v>
      </c>
      <c r="K4" s="1">
        <f>(Sheet1!K4 - Sheet1!$B$34) / (Sheet1!$B$35 - Sheet1!$B$34)</f>
        <v>0.177128212</v>
      </c>
      <c r="L4" s="1">
        <f>(Sheet1!L4 - Sheet1!$B$34) / (Sheet1!$B$35 - Sheet1!$B$34)</f>
        <v>0.1571646321</v>
      </c>
      <c r="M4" s="1">
        <f>(Sheet1!M4 - Sheet1!$B$34) / (Sheet1!$B$35 - Sheet1!$B$34)</f>
        <v>0.7127456667</v>
      </c>
      <c r="O4" s="11"/>
      <c r="P4" s="12">
        <f>IFERROR(__xludf.DUMMYFUNCTION("""COMPUTED_VALUE"""),0.1212841437917313)</f>
        <v>0.1212841438</v>
      </c>
    </row>
    <row r="5">
      <c r="A5" s="3" t="s">
        <v>3</v>
      </c>
      <c r="B5" s="1">
        <f>(Sheet1!B5 - Sheet1!$B$34) / (Sheet1!$B$35 - Sheet1!$B$34)</f>
        <v>0.040998179</v>
      </c>
      <c r="C5" s="1">
        <f>(Sheet1!C5 - Sheet1!$B$34) / (Sheet1!$B$35 - Sheet1!$B$34)</f>
        <v>0.02804882984</v>
      </c>
      <c r="D5" s="1">
        <f>(Sheet1!D5 - Sheet1!$B$34) / (Sheet1!$B$35 - Sheet1!$B$34)</f>
        <v>0.01348081203</v>
      </c>
      <c r="E5" s="1">
        <f>(Sheet1!E5 - Sheet1!$B$34) / (Sheet1!$B$35 - Sheet1!$B$34)</f>
        <v>0.1321831793</v>
      </c>
      <c r="F5" s="1">
        <f>(Sheet1!F5 - Sheet1!$B$34) / (Sheet1!$B$35 - Sheet1!$B$34)</f>
        <v>0.04909152222</v>
      </c>
      <c r="G5" s="1">
        <f>(Sheet1!G5 - Sheet1!$B$34) / (Sheet1!$B$35 - Sheet1!$B$34)</f>
        <v>0.2147352802</v>
      </c>
      <c r="H5" s="1">
        <f>(Sheet1!H5 - Sheet1!$B$34) / (Sheet1!$B$35 - Sheet1!$B$34)</f>
        <v>0.09279557564</v>
      </c>
      <c r="I5" s="1">
        <f>(Sheet1!I5 - Sheet1!$B$34) / (Sheet1!$B$35 - Sheet1!$B$34)</f>
        <v>0.03668172928</v>
      </c>
      <c r="J5" s="1">
        <f>(Sheet1!J5 - Sheet1!$B$34) / (Sheet1!$B$35 - Sheet1!$B$34)</f>
        <v>0.0124016996</v>
      </c>
      <c r="K5" s="1">
        <f>(Sheet1!K5 - Sheet1!$B$34) / (Sheet1!$B$35 - Sheet1!$B$34)</f>
        <v>0.04423551629</v>
      </c>
      <c r="L5" s="1">
        <f>(Sheet1!L5 - Sheet1!$B$34) / (Sheet1!$B$35 - Sheet1!$B$34)</f>
        <v>0.03128616713</v>
      </c>
      <c r="M5" s="1">
        <f>(Sheet1!M5 - Sheet1!$B$34) / (Sheet1!$B$35 - Sheet1!$B$34)</f>
        <v>0.01671814932</v>
      </c>
      <c r="O5" s="11"/>
      <c r="P5" s="12">
        <f>IFERROR(__xludf.DUMMYFUNCTION("""COMPUTED_VALUE"""),0.10946786268294328)</f>
        <v>0.1094678627</v>
      </c>
    </row>
    <row r="6">
      <c r="A6" s="3" t="s">
        <v>4</v>
      </c>
      <c r="B6" s="1">
        <f>(Sheet1!B6 - Sheet1!$B$34) / (Sheet1!$B$35 - Sheet1!$B$34)</f>
        <v>1</v>
      </c>
      <c r="C6" s="1">
        <f>(Sheet1!C6 - Sheet1!$B$34) / (Sheet1!$B$35 - Sheet1!$B$34)</f>
        <v>1</v>
      </c>
      <c r="D6" s="1">
        <f>(Sheet1!D6 - Sheet1!$B$34) / (Sheet1!$B$35 - Sheet1!$B$34)</f>
        <v>1</v>
      </c>
      <c r="E6" s="1">
        <f>(Sheet1!E6 - Sheet1!$B$34) / (Sheet1!$B$35 - Sheet1!$B$34)</f>
        <v>0.6134133675</v>
      </c>
      <c r="F6" s="1">
        <f>(Sheet1!F6 - Sheet1!$B$34) / (Sheet1!$B$35 - Sheet1!$B$34)</f>
        <v>0.3825372631</v>
      </c>
      <c r="G6" s="1">
        <f>(Sheet1!G6 - Sheet1!$B$34) / (Sheet1!$B$35 - Sheet1!$B$34)</f>
        <v>0.4692439469</v>
      </c>
      <c r="H6" s="1">
        <f>(Sheet1!H6 - Sheet1!$B$34) / (Sheet1!$B$35 - Sheet1!$B$34)</f>
        <v>0.359606124</v>
      </c>
      <c r="I6" s="1">
        <f>(Sheet1!I6 - Sheet1!$B$34) / (Sheet1!$B$35 - Sheet1!$B$34)</f>
        <v>0.2425224253</v>
      </c>
      <c r="J6" s="1">
        <f>(Sheet1!J6 - Sheet1!$B$34) / (Sheet1!$B$35 - Sheet1!$B$34)</f>
        <v>0.1703298037</v>
      </c>
      <c r="K6" s="1">
        <f>(Sheet1!K6 - Sheet1!$B$34) / (Sheet1!$B$35 - Sheet1!$B$34)</f>
        <v>1</v>
      </c>
      <c r="L6" s="1">
        <f>(Sheet1!L6 - Sheet1!$B$34) / (Sheet1!$B$35 - Sheet1!$B$34)</f>
        <v>0.9474526202</v>
      </c>
      <c r="M6" s="1">
        <f>(Sheet1!M6 - Sheet1!$B$34) / (Sheet1!$B$35 - Sheet1!$B$34)</f>
        <v>0.763733729</v>
      </c>
      <c r="O6" s="11"/>
      <c r="P6" s="12">
        <f>IFERROR(__xludf.DUMMYFUNCTION("""COMPUTED_VALUE"""),0.1212841437917313)</f>
        <v>0.1212841438</v>
      </c>
    </row>
    <row r="7">
      <c r="A7" s="3" t="s">
        <v>5</v>
      </c>
      <c r="B7" s="1">
        <f>(Sheet1!B7 - Sheet1!$B$34) / (Sheet1!$B$35 - Sheet1!$B$34)</f>
        <v>0.02794091859</v>
      </c>
      <c r="C7" s="1">
        <f>(Sheet1!C7 - Sheet1!$B$34) / (Sheet1!$B$35 - Sheet1!$B$34)</f>
        <v>0.01806703986</v>
      </c>
      <c r="D7" s="1">
        <f>(Sheet1!D7 - Sheet1!$B$34) / (Sheet1!$B$35 - Sheet1!$B$34)</f>
        <v>0.01072907534</v>
      </c>
      <c r="E7" s="1">
        <f>(Sheet1!E7 - Sheet1!$B$34) / (Sheet1!$B$35 - Sheet1!$B$34)</f>
        <v>0.04180751332</v>
      </c>
      <c r="F7" s="1">
        <f>(Sheet1!F7 - Sheet1!$B$34) / (Sheet1!$B$35 - Sheet1!$B$34)</f>
        <v>0.03517097188</v>
      </c>
      <c r="G7" s="1">
        <f>(Sheet1!G7 - Sheet1!$B$34) / (Sheet1!$B$35 - Sheet1!$B$34)</f>
        <v>0.02907398665</v>
      </c>
      <c r="H7" s="1">
        <f>(Sheet1!H7 - Sheet1!$B$34) / (Sheet1!$B$35 - Sheet1!$B$34)</f>
        <v>0.03042287718</v>
      </c>
      <c r="I7" s="1">
        <f>(Sheet1!I7 - Sheet1!$B$34) / (Sheet1!$B$35 - Sheet1!$B$34)</f>
        <v>0.02011735348</v>
      </c>
      <c r="J7" s="1">
        <f>(Sheet1!J7 - Sheet1!$B$34) / (Sheet1!$B$35 - Sheet1!$B$34)</f>
        <v>0.02071086531</v>
      </c>
      <c r="K7" s="1">
        <f>(Sheet1!K7 - Sheet1!$B$34) / (Sheet1!$B$35 - Sheet1!$B$34)</f>
        <v>0.01871450732</v>
      </c>
      <c r="L7" s="1">
        <f>(Sheet1!L7 - Sheet1!$B$34) / (Sheet1!$B$35 - Sheet1!$B$34)</f>
        <v>0.7961071019</v>
      </c>
      <c r="M7" s="1">
        <f>(Sheet1!M7 - Sheet1!$B$34) / (Sheet1!$B$35 - Sheet1!$B$34)</f>
        <v>0.6302475214</v>
      </c>
      <c r="O7" s="11"/>
      <c r="P7" s="12">
        <f>IFERROR(__xludf.DUMMYFUNCTION("""COMPUTED_VALUE"""),0.08766979159641196)</f>
        <v>0.0876697916</v>
      </c>
    </row>
    <row r="8">
      <c r="A8" s="3" t="s">
        <v>6</v>
      </c>
      <c r="B8" s="1">
        <f>(Sheet1!B8 - Sheet1!$B$34) / (Sheet1!$B$35 - Sheet1!$B$34)</f>
        <v>0.291028529</v>
      </c>
      <c r="C8" s="1">
        <f>(Sheet1!C8 - Sheet1!$B$34) / (Sheet1!$B$35 - Sheet1!$B$34)</f>
        <v>0.05772442166</v>
      </c>
      <c r="D8" s="1">
        <f>(Sheet1!D8 - Sheet1!$B$34) / (Sheet1!$B$35 - Sheet1!$B$34)</f>
        <v>0.06727456667</v>
      </c>
      <c r="E8" s="1">
        <f>(Sheet1!E8 - Sheet1!$B$34) / (Sheet1!$B$35 - Sheet1!$B$34)</f>
        <v>0.02982936535</v>
      </c>
      <c r="F8" s="1">
        <f>(Sheet1!F8 - Sheet1!$B$34) / (Sheet1!$B$35 - Sheet1!$B$34)</f>
        <v>0</v>
      </c>
      <c r="G8" s="1">
        <f>(Sheet1!G8 - Sheet1!$B$34) / (Sheet1!$B$35 - Sheet1!$B$34)</f>
        <v>0</v>
      </c>
      <c r="H8" s="1">
        <f>(Sheet1!H8 - Sheet1!$B$34) / (Sheet1!$B$35 - Sheet1!$B$34)</f>
        <v>0</v>
      </c>
      <c r="I8" s="1">
        <f>(Sheet1!I8 - Sheet1!$B$34) / (Sheet1!$B$35 - Sheet1!$B$34)</f>
        <v>0.003499022054</v>
      </c>
      <c r="J8" s="1">
        <f>(Sheet1!J8 - Sheet1!$B$34) / (Sheet1!$B$35 - Sheet1!$B$34)</f>
        <v>0.03997302219</v>
      </c>
      <c r="K8" s="1">
        <f>(Sheet1!K8 - Sheet1!$B$34) / (Sheet1!$B$35 - Sheet1!$B$34)</f>
        <v>0.07067377082</v>
      </c>
      <c r="L8" s="1">
        <f>(Sheet1!L8 - Sheet1!$B$34) / (Sheet1!$B$35 - Sheet1!$B$34)</f>
        <v>0.0510339246</v>
      </c>
      <c r="M8" s="1">
        <f>(Sheet1!M8 - Sheet1!$B$34) / (Sheet1!$B$35 - Sheet1!$B$34)</f>
        <v>0.02648411681</v>
      </c>
      <c r="O8" s="11"/>
      <c r="P8" s="12">
        <f>IFERROR(__xludf.DUMMYFUNCTION("""COMPUTED_VALUE"""),0.09263370877453295)</f>
        <v>0.09263370877</v>
      </c>
    </row>
    <row r="9">
      <c r="A9" s="3" t="s">
        <v>7</v>
      </c>
      <c r="B9" s="1">
        <f>(Sheet1!B9 - Sheet1!$B$34) / (Sheet1!$B$35 - Sheet1!$B$34)</f>
        <v>0.3344628043</v>
      </c>
      <c r="C9" s="1">
        <f>(Sheet1!C9 - Sheet1!$B$34) / (Sheet1!$B$35 - Sheet1!$B$34)</f>
        <v>0.3008484521</v>
      </c>
      <c r="D9" s="1">
        <f>(Sheet1!D9 - Sheet1!$B$34) / (Sheet1!$B$35 - Sheet1!$B$34)</f>
        <v>0.2842840763</v>
      </c>
      <c r="E9" s="1">
        <f>(Sheet1!E9 - Sheet1!$B$34) / (Sheet1!$B$35 - Sheet1!$B$34)</f>
        <v>0.2571983544</v>
      </c>
      <c r="F9" s="1">
        <f>(Sheet1!F9 - Sheet1!$B$34) / (Sheet1!$B$35 - Sheet1!$B$34)</f>
        <v>0.2102569636</v>
      </c>
      <c r="G9" s="1">
        <f>(Sheet1!G9 - Sheet1!$B$34) / (Sheet1!$B$35 - Sheet1!$B$34)</f>
        <v>0.2085303838</v>
      </c>
      <c r="H9" s="1">
        <f>(Sheet1!H9 - Sheet1!$B$34) / (Sheet1!$B$35 - Sheet1!$B$34)</f>
        <v>0.3855048223</v>
      </c>
      <c r="I9" s="1">
        <f>(Sheet1!I9 - Sheet1!$B$34) / (Sheet1!$B$35 - Sheet1!$B$34)</f>
        <v>0.3242112363</v>
      </c>
      <c r="J9" s="1">
        <f>(Sheet1!J9 - Sheet1!$B$34) / (Sheet1!$B$35 - Sheet1!$B$34)</f>
        <v>0.3138517569</v>
      </c>
      <c r="K9" s="1">
        <f>(Sheet1!K9 - Sheet1!$B$34) / (Sheet1!$B$35 - Sheet1!$B$34)</f>
        <v>0.2028110879</v>
      </c>
      <c r="L9" s="1">
        <f>(Sheet1!L9 - Sheet1!$B$34) / (Sheet1!$B$35 - Sheet1!$B$34)</f>
        <v>0.2680973899</v>
      </c>
      <c r="M9" s="1">
        <f>(Sheet1!M9 - Sheet1!$B$34) / (Sheet1!$B$35 - Sheet1!$B$34)</f>
        <v>0.4846752546</v>
      </c>
      <c r="O9" s="11"/>
      <c r="P9" s="12">
        <f>IFERROR(__xludf.DUMMYFUNCTION("""COMPUTED_VALUE"""),0.08437849868483172)</f>
        <v>0.08437849868</v>
      </c>
    </row>
    <row r="10">
      <c r="A10" s="3" t="s">
        <v>8</v>
      </c>
      <c r="B10" s="1">
        <f>(Sheet1!B10 - Sheet1!$B$34) / (Sheet1!$B$35 - Sheet1!$B$34)</f>
        <v>0.4871572132</v>
      </c>
      <c r="C10" s="1">
        <f>(Sheet1!C10 - Sheet1!$B$34) / (Sheet1!$B$35 - Sheet1!$B$34)</f>
        <v>0.4743157753</v>
      </c>
      <c r="D10" s="1">
        <f>(Sheet1!D10 - Sheet1!$B$34) / (Sheet1!$B$35 - Sheet1!$B$34)</f>
        <v>0.4325541242</v>
      </c>
      <c r="E10" s="1">
        <f>(Sheet1!E10 - Sheet1!$B$34) / (Sheet1!$B$35 - Sheet1!$B$34)</f>
        <v>0.3572320766</v>
      </c>
      <c r="F10" s="1">
        <f>(Sheet1!F10 - Sheet1!$B$34) / (Sheet1!$B$35 - Sheet1!$B$34)</f>
        <v>0.2994995616</v>
      </c>
      <c r="G10" s="1">
        <f>(Sheet1!G10 - Sheet1!$B$34) / (Sheet1!$B$35 - Sheet1!$B$34)</f>
        <v>0.2555257301</v>
      </c>
      <c r="H10" s="1">
        <f>(Sheet1!H10 - Sheet1!$B$34) / (Sheet1!$B$35 - Sheet1!$B$34)</f>
        <v>0.4338490591</v>
      </c>
      <c r="I10" s="1">
        <f>(Sheet1!I10 - Sheet1!$B$34) / (Sheet1!$B$35 - Sheet1!$B$34)</f>
        <v>0.3704512039</v>
      </c>
      <c r="J10" s="1">
        <f>(Sheet1!J10 - Sheet1!$B$34) / (Sheet1!$B$35 - Sheet1!$B$34)</f>
        <v>0.3078626829</v>
      </c>
      <c r="K10" s="1">
        <f>(Sheet1!K10 - Sheet1!$B$34) / (Sheet1!$B$35 - Sheet1!$B$34)</f>
        <v>0.2597342686</v>
      </c>
      <c r="L10" s="1">
        <f>(Sheet1!L10 - Sheet1!$B$34) / (Sheet1!$B$35 - Sheet1!$B$34)</f>
        <v>0.2239077359</v>
      </c>
      <c r="M10" s="1">
        <f>(Sheet1!M10 - Sheet1!$B$34) / (Sheet1!$B$35 - Sheet1!$B$34)</f>
        <v>0.1845740878</v>
      </c>
      <c r="O10" s="11"/>
      <c r="P10" s="12">
        <f>IFERROR(__xludf.DUMMYFUNCTION("""COMPUTED_VALUE"""),0.09058339515748298)</f>
        <v>0.09058339516</v>
      </c>
    </row>
    <row r="11">
      <c r="A11" s="3" t="s">
        <v>9</v>
      </c>
      <c r="B11" s="1">
        <f>(Sheet1!B11 - Sheet1!$B$34) / (Sheet1!$B$35 - Sheet1!$B$34)</f>
        <v>0.2331881028</v>
      </c>
      <c r="C11" s="1">
        <f>(Sheet1!C11 - Sheet1!$B$34) / (Sheet1!$B$35 - Sheet1!$B$34)</f>
        <v>0.2246631146</v>
      </c>
      <c r="D11" s="1">
        <f>(Sheet1!D11 - Sheet1!$B$34) / (Sheet1!$B$35 - Sheet1!$B$34)</f>
        <v>0.2210480879</v>
      </c>
      <c r="E11" s="1">
        <f>(Sheet1!E11 - Sheet1!$B$34) / (Sheet1!$B$35 - Sheet1!$B$34)</f>
        <v>0.1925595198</v>
      </c>
      <c r="F11" s="1">
        <f>(Sheet1!F11 - Sheet1!$B$34) / (Sheet1!$B$35 - Sheet1!$B$34)</f>
        <v>0.1722722061</v>
      </c>
      <c r="G11" s="1">
        <f>(Sheet1!G11 - Sheet1!$B$34) / (Sheet1!$B$35 - Sheet1!$B$34)</f>
        <v>0.1568408984</v>
      </c>
      <c r="H11" s="1">
        <f>(Sheet1!H11 - Sheet1!$B$34) / (Sheet1!$B$35 - Sheet1!$B$34)</f>
        <v>0.1395211439</v>
      </c>
      <c r="I11" s="1">
        <f>(Sheet1!I11 - Sheet1!$B$34) / (Sheet1!$B$35 - Sheet1!$B$34)</f>
        <v>0.1185863627</v>
      </c>
      <c r="J11" s="1">
        <f>(Sheet1!J11 - Sheet1!$B$34) / (Sheet1!$B$35 - Sheet1!$B$34)</f>
        <v>0.1001874958</v>
      </c>
      <c r="K11" s="1">
        <f>(Sheet1!K11 - Sheet1!$B$34) / (Sheet1!$B$35 - Sheet1!$B$34)</f>
        <v>0.09166250759</v>
      </c>
      <c r="L11" s="1">
        <f>(Sheet1!L11 - Sheet1!$B$34) / (Sheet1!$B$35 - Sheet1!$B$34)</f>
        <v>0.09743575909</v>
      </c>
      <c r="M11" s="1">
        <f>(Sheet1!M11 - Sheet1!$B$34) / (Sheet1!$B$35 - Sheet1!$B$34)</f>
        <v>0.08702232414</v>
      </c>
      <c r="O11" s="11"/>
      <c r="P11" s="12">
        <f>IFERROR(__xludf.DUMMYFUNCTION("""COMPUTED_VALUE"""),0.06414514062183854)</f>
        <v>0.06414514062</v>
      </c>
    </row>
    <row r="12">
      <c r="A12" s="3" t="s">
        <v>10</v>
      </c>
      <c r="B12" s="1">
        <f>(Sheet1!B12 - Sheet1!$B$34) / (Sheet1!$B$35 - Sheet1!$B$34)</f>
        <v>0.3725015175</v>
      </c>
      <c r="C12" s="1">
        <f>(Sheet1!C12 - Sheet1!$B$34) / (Sheet1!$B$35 - Sheet1!$B$34)</f>
        <v>0.322970257</v>
      </c>
      <c r="D12" s="1">
        <f>(Sheet1!D12 - Sheet1!$B$34) / (Sheet1!$B$35 - Sheet1!$B$34)</f>
        <v>0.2467849194</v>
      </c>
      <c r="E12" s="1">
        <f>(Sheet1!E12 - Sheet1!$B$34) / (Sheet1!$B$35 - Sheet1!$B$34)</f>
        <v>0.1798799487</v>
      </c>
      <c r="F12" s="1">
        <f>(Sheet1!F12 - Sheet1!$B$34) / (Sheet1!$B$35 - Sheet1!$B$34)</f>
        <v>0.1334241586</v>
      </c>
      <c r="G12" s="1">
        <f>(Sheet1!G12 - Sheet1!$B$34) / (Sheet1!$B$35 - Sheet1!$B$34)</f>
        <v>0.06716665543</v>
      </c>
      <c r="H12" s="1">
        <f>(Sheet1!H12 - Sheet1!$B$34) / (Sheet1!$B$35 - Sheet1!$B$34)</f>
        <v>0.02389424698</v>
      </c>
      <c r="I12" s="1">
        <f>(Sheet1!I12 - Sheet1!$B$34) / (Sheet1!$B$35 - Sheet1!$B$34)</f>
        <v>0.05281446011</v>
      </c>
      <c r="J12" s="1">
        <f>(Sheet1!J12 - Sheet1!$B$34) / (Sheet1!$B$35 - Sheet1!$B$34)</f>
        <v>0.0741269306</v>
      </c>
      <c r="K12" s="1">
        <f>(Sheet1!K12 - Sheet1!$B$34) / (Sheet1!$B$35 - Sheet1!$B$34)</f>
        <v>0.08259796318</v>
      </c>
      <c r="L12" s="1">
        <f>(Sheet1!L12 - Sheet1!$B$34) / (Sheet1!$B$35 - Sheet1!$B$34)</f>
        <v>0.1028852769</v>
      </c>
      <c r="M12" s="1">
        <f>(Sheet1!M12 - Sheet1!$B$34) / (Sheet1!$B$35 - Sheet1!$B$34)</f>
        <v>0.5047467458</v>
      </c>
      <c r="O12" s="11"/>
      <c r="P12" s="12">
        <f>IFERROR(__xludf.DUMMYFUNCTION("""COMPUTED_VALUE"""),0.04898361097996897)</f>
        <v>0.04898361098</v>
      </c>
    </row>
    <row r="13">
      <c r="A13" s="3" t="s">
        <v>11</v>
      </c>
      <c r="B13" s="1">
        <f>(Sheet1!B13 - Sheet1!$B$34) / (Sheet1!$B$35 - Sheet1!$B$34)</f>
        <v>0.3358116949</v>
      </c>
      <c r="C13" s="1">
        <f>(Sheet1!C13 - Sheet1!$B$34) / (Sheet1!$B$35 - Sheet1!$B$34)</f>
        <v>0.3306859108</v>
      </c>
      <c r="D13" s="1">
        <f>(Sheet1!D13 - Sheet1!$B$34) / (Sheet1!$B$35 - Sheet1!$B$34)</f>
        <v>0.2991218723</v>
      </c>
      <c r="E13" s="1">
        <f>(Sheet1!E13 - Sheet1!$B$34) / (Sheet1!$B$35 - Sheet1!$B$34)</f>
        <v>0.2714426384</v>
      </c>
      <c r="F13" s="1">
        <f>(Sheet1!F13 - Sheet1!$B$34) / (Sheet1!$B$35 - Sheet1!$B$34)</f>
        <v>0.2342672152</v>
      </c>
      <c r="G13" s="1">
        <f>(Sheet1!G13 - Sheet1!$B$34) / (Sheet1!$B$35 - Sheet1!$B$34)</f>
        <v>0.1986025494</v>
      </c>
      <c r="H13" s="1">
        <f>(Sheet1!H13 - Sheet1!$B$34) / (Sheet1!$B$35 - Sheet1!$B$34)</f>
        <v>0.179556215</v>
      </c>
      <c r="I13" s="1">
        <f>(Sheet1!I13 - Sheet1!$B$34) / (Sheet1!$B$35 - Sheet1!$B$34)</f>
        <v>0.3717461388</v>
      </c>
      <c r="J13" s="1">
        <f>(Sheet1!J13 - Sheet1!$B$34) / (Sheet1!$B$35 - Sheet1!$B$34)</f>
        <v>0.3273406623</v>
      </c>
      <c r="K13" s="1">
        <f>(Sheet1!K13 - Sheet1!$B$34) / (Sheet1!$B$35 - Sheet1!$B$34)</f>
        <v>0.3071073042</v>
      </c>
      <c r="L13" s="1">
        <f>(Sheet1!L13 - Sheet1!$B$34) / (Sheet1!$B$35 - Sheet1!$B$34)</f>
        <v>0.5727847845</v>
      </c>
      <c r="M13" s="1">
        <f>(Sheet1!M13 - Sheet1!$B$34) / (Sheet1!$B$35 - Sheet1!$B$34)</f>
        <v>0.9948796115</v>
      </c>
      <c r="O13" s="11"/>
      <c r="P13" s="12">
        <f>IFERROR(__xludf.DUMMYFUNCTION("""COMPUTED_VALUE"""),0.03425372631010993)</f>
        <v>0.03425372631</v>
      </c>
    </row>
    <row r="14">
      <c r="A14" s="3" t="s">
        <v>12</v>
      </c>
      <c r="B14" s="1">
        <f>(Sheet1!B14 - Sheet1!$B$34) / (Sheet1!$B$35 - Sheet1!$B$34)</f>
        <v>0.1383880758</v>
      </c>
      <c r="C14" s="1">
        <f>(Sheet1!C14 - Sheet1!$B$34) / (Sheet1!$B$35 - Sheet1!$B$34)</f>
        <v>0.07704053416</v>
      </c>
      <c r="D14" s="1">
        <f>(Sheet1!D14 - Sheet1!$B$34) / (Sheet1!$B$35 - Sheet1!$B$34)</f>
        <v>0.07207661698</v>
      </c>
      <c r="E14" s="1">
        <f>(Sheet1!E14 - Sheet1!$B$34) / (Sheet1!$B$35 - Sheet1!$B$34)</f>
        <v>0.05540432994</v>
      </c>
      <c r="F14" s="1">
        <f>(Sheet1!F14 - Sheet1!$B$34) / (Sheet1!$B$35 - Sheet1!$B$34)</f>
        <v>0.04639374115</v>
      </c>
      <c r="G14" s="1">
        <f>(Sheet1!G14 - Sheet1!$B$34) / (Sheet1!$B$35 - Sheet1!$B$34)</f>
        <v>0.05583597491</v>
      </c>
      <c r="H14" s="1">
        <f>(Sheet1!H14 - Sheet1!$B$34) / (Sheet1!$B$35 - Sheet1!$B$34)</f>
        <v>0.04391178256</v>
      </c>
      <c r="I14" s="1">
        <f>(Sheet1!I14 - Sheet1!$B$34) / (Sheet1!$B$35 - Sheet1!$B$34)</f>
        <v>0.03830039792</v>
      </c>
      <c r="J14" s="1">
        <f>(Sheet1!J14 - Sheet1!$B$34) / (Sheet1!$B$35 - Sheet1!$B$34)</f>
        <v>0.03425372631</v>
      </c>
      <c r="K14" s="1">
        <f>(Sheet1!K14 - Sheet1!$B$34) / (Sheet1!$B$35 - Sheet1!$B$34)</f>
        <v>0.03026101032</v>
      </c>
      <c r="L14" s="1">
        <f>(Sheet1!L14 - Sheet1!$B$34) / (Sheet1!$B$35 - Sheet1!$B$34)</f>
        <v>0.05340797194</v>
      </c>
      <c r="M14" s="1">
        <f>(Sheet1!M14 - Sheet1!$B$34) / (Sheet1!$B$35 - Sheet1!$B$34)</f>
        <v>0.04849801039</v>
      </c>
      <c r="O14" s="11"/>
      <c r="P14" s="12">
        <f>IFERROR(__xludf.DUMMYFUNCTION("""COMPUTED_VALUE"""),0.19504147838402916)</f>
        <v>0.1950414784</v>
      </c>
    </row>
    <row r="15">
      <c r="A15" s="3" t="s">
        <v>13</v>
      </c>
      <c r="B15" s="1">
        <f>(Sheet1!B15 - Sheet1!$B$34) / (Sheet1!$B$35 - Sheet1!$B$34)</f>
        <v>0.5891333378</v>
      </c>
      <c r="C15" s="1">
        <f>(Sheet1!C15 - Sheet1!$B$34) / (Sheet1!$B$35 - Sheet1!$B$34)</f>
        <v>0.4820853848</v>
      </c>
      <c r="D15" s="1">
        <f>(Sheet1!D15 - Sheet1!$B$34) / (Sheet1!$B$35 - Sheet1!$B$34)</f>
        <v>0.3930046537</v>
      </c>
      <c r="E15" s="1">
        <f>(Sheet1!E15 - Sheet1!$B$34) / (Sheet1!$B$35 - Sheet1!$B$34)</f>
        <v>0.3163337155</v>
      </c>
      <c r="F15" s="1">
        <f>(Sheet1!F15 - Sheet1!$B$34) / (Sheet1!$B$35 - Sheet1!$B$34)</f>
        <v>0.2610831591</v>
      </c>
      <c r="G15" s="1">
        <f>(Sheet1!G15 - Sheet1!$B$34) / (Sheet1!$B$35 - Sheet1!$B$34)</f>
        <v>0.229734943</v>
      </c>
      <c r="H15" s="1">
        <f>(Sheet1!H15 - Sheet1!$B$34) / (Sheet1!$B$35 - Sheet1!$B$34)</f>
        <v>0.1922897417</v>
      </c>
      <c r="I15" s="1">
        <f>(Sheet1!I15 - Sheet1!$B$34) / (Sheet1!$B$35 - Sheet1!$B$34)</f>
        <v>0.164880286</v>
      </c>
      <c r="J15" s="1">
        <f>(Sheet1!J15 - Sheet1!$B$34) / (Sheet1!$B$35 - Sheet1!$B$34)</f>
        <v>0.1335860255</v>
      </c>
      <c r="K15" s="1">
        <f>(Sheet1!K15 - Sheet1!$B$34) / (Sheet1!$B$35 - Sheet1!$B$34)</f>
        <v>0.09047548391</v>
      </c>
      <c r="L15" s="1">
        <f>(Sheet1!L15 - Sheet1!$B$34) / (Sheet1!$B$35 - Sheet1!$B$34)</f>
        <v>0.2012463749</v>
      </c>
      <c r="M15" s="1">
        <f>(Sheet1!M15 - Sheet1!$B$34) / (Sheet1!$B$35 - Sheet1!$B$34)</f>
        <v>0.1620745936</v>
      </c>
      <c r="O15" s="11"/>
      <c r="P15" s="12">
        <f>IFERROR(__xludf.DUMMYFUNCTION("""COMPUTED_VALUE"""),0.2958845349699872)</f>
        <v>0.295884535</v>
      </c>
    </row>
    <row r="16">
      <c r="A16" s="3" t="s">
        <v>14</v>
      </c>
      <c r="B16" s="1">
        <f>(Sheet1!B16 - Sheet1!$B$34) / (Sheet1!$B$35 - Sheet1!$B$34)</f>
        <v>0.5782882579</v>
      </c>
      <c r="C16" s="1">
        <f>(Sheet1!C16 - Sheet1!$B$34) / (Sheet1!$B$35 - Sheet1!$B$34)</f>
        <v>0.4951966008</v>
      </c>
      <c r="D16" s="1">
        <f>(Sheet1!D16 - Sheet1!$B$34) / (Sheet1!$B$35 - Sheet1!$B$34)</f>
        <v>0.3903608282</v>
      </c>
      <c r="E16" s="1">
        <f>(Sheet1!E16 - Sheet1!$B$34) / (Sheet1!$B$35 - Sheet1!$B$34)</f>
        <v>0.3212976327</v>
      </c>
      <c r="F16" s="1">
        <f>(Sheet1!F16 - Sheet1!$B$34) / (Sheet1!$B$35 - Sheet1!$B$34)</f>
        <v>0.4333095029</v>
      </c>
      <c r="G16" s="1">
        <f>(Sheet1!G16 - Sheet1!$B$34) / (Sheet1!$B$35 - Sheet1!$B$34)</f>
        <v>0.3552896742</v>
      </c>
      <c r="H16" s="1">
        <f>(Sheet1!H16 - Sheet1!$B$34) / (Sheet1!$B$35 - Sheet1!$B$34)</f>
        <v>0.3307398665</v>
      </c>
      <c r="I16" s="1">
        <f>(Sheet1!I16 - Sheet1!$B$34) / (Sheet1!$B$35 - Sheet1!$B$34)</f>
        <v>0.2718742834</v>
      </c>
      <c r="J16" s="1">
        <f>(Sheet1!J16 - Sheet1!$B$34) / (Sheet1!$B$35 - Sheet1!$B$34)</f>
        <v>0.2209401767</v>
      </c>
      <c r="K16" s="1">
        <f>(Sheet1!K16 - Sheet1!$B$34) / (Sheet1!$B$35 - Sheet1!$B$34)</f>
        <v>0.2329183247</v>
      </c>
      <c r="L16" s="1">
        <f>(Sheet1!L16 - Sheet1!$B$34) / (Sheet1!$B$35 - Sheet1!$B$34)</f>
        <v>0.2637269846</v>
      </c>
      <c r="M16" s="1">
        <f>(Sheet1!M16 - Sheet1!$B$34) / (Sheet1!$B$35 - Sheet1!$B$34)</f>
        <v>0.2727375733</v>
      </c>
      <c r="O16" s="11"/>
      <c r="P16" s="12">
        <f>IFERROR(__xludf.DUMMYFUNCTION("""COMPUTED_VALUE"""),0.2196991974101302)</f>
        <v>0.2196991974</v>
      </c>
    </row>
    <row r="17">
      <c r="A17" s="3" t="s">
        <v>15</v>
      </c>
      <c r="B17" s="1">
        <f>(Sheet1!B17 - Sheet1!$B$34) / (Sheet1!$B$35 - Sheet1!$B$34)</f>
        <v>0.6094746071</v>
      </c>
      <c r="C17" s="1">
        <f>(Sheet1!C17 - Sheet1!$B$34) / (Sheet1!$B$35 - Sheet1!$B$34)</f>
        <v>0.5319943347</v>
      </c>
      <c r="D17" s="1">
        <f>(Sheet1!D17 - Sheet1!$B$34) / (Sheet1!$B$35 - Sheet1!$B$34)</f>
        <v>0.4848371215</v>
      </c>
      <c r="E17" s="1">
        <f>(Sheet1!E17 - Sheet1!$B$34) / (Sheet1!$B$35 - Sheet1!$B$34)</f>
        <v>0.3060821474</v>
      </c>
      <c r="F17" s="1">
        <f>(Sheet1!F17 - Sheet1!$B$34) / (Sheet1!$B$35 - Sheet1!$B$34)</f>
        <v>0.07579955487</v>
      </c>
      <c r="G17" s="1">
        <f>(Sheet1!G17 - Sheet1!$B$34) / (Sheet1!$B$35 - Sheet1!$B$34)</f>
        <v>0</v>
      </c>
      <c r="H17" s="1">
        <f>(Sheet1!H17 - Sheet1!$B$34) / (Sheet1!$B$35 - Sheet1!$B$34)</f>
        <v>0.2514251029</v>
      </c>
      <c r="I17" s="1">
        <f>(Sheet1!I17 - Sheet1!$B$34) / (Sheet1!$B$35 - Sheet1!$B$34)</f>
        <v>0.3601996358</v>
      </c>
      <c r="J17" s="1">
        <f>(Sheet1!J17 - Sheet1!$B$34) / (Sheet1!$B$35 - Sheet1!$B$34)</f>
        <v>0.172002428</v>
      </c>
      <c r="K17" s="1">
        <f>(Sheet1!K17 - Sheet1!$B$34) / (Sheet1!$B$35 - Sheet1!$B$34)</f>
        <v>0.293456532</v>
      </c>
      <c r="L17" s="1">
        <f>(Sheet1!L17 - Sheet1!$B$34) / (Sheet1!$B$35 - Sheet1!$B$34)</f>
        <v>0.2621622715</v>
      </c>
      <c r="M17" s="1">
        <f>(Sheet1!M17 - Sheet1!$B$34) / (Sheet1!$B$35 - Sheet1!$B$34)</f>
        <v>0.397806704</v>
      </c>
      <c r="O17" s="11"/>
      <c r="P17" s="12">
        <f>IFERROR(__xludf.DUMMYFUNCTION("""COMPUTED_VALUE"""),0.15910703446415325)</f>
        <v>0.1591070345</v>
      </c>
    </row>
    <row r="18">
      <c r="A18" s="3" t="s">
        <v>16</v>
      </c>
      <c r="B18" s="1">
        <f>(Sheet1!B18 - Sheet1!$B$34) / (Sheet1!$B$35 - Sheet1!$B$34)</f>
        <v>1</v>
      </c>
      <c r="C18" s="1">
        <f>(Sheet1!C18 - Sheet1!$B$34) / (Sheet1!$B$35 - Sheet1!$B$34)</f>
        <v>1</v>
      </c>
      <c r="D18" s="1">
        <f>(Sheet1!D18 - Sheet1!$B$34) / (Sheet1!$B$35 - Sheet1!$B$34)</f>
        <v>1</v>
      </c>
      <c r="E18" s="1">
        <f>(Sheet1!E18 - Sheet1!$B$34) / (Sheet1!$B$35 - Sheet1!$B$34)</f>
        <v>0.6816132731</v>
      </c>
      <c r="F18" s="1">
        <f>(Sheet1!F18 - Sheet1!$B$34) / (Sheet1!$B$35 - Sheet1!$B$34)</f>
        <v>0.7726364066</v>
      </c>
      <c r="G18" s="1">
        <f>(Sheet1!G18 - Sheet1!$B$34) / (Sheet1!$B$35 - Sheet1!$B$34)</f>
        <v>1</v>
      </c>
      <c r="H18" s="1">
        <f>(Sheet1!H18 - Sheet1!$B$34) / (Sheet1!$B$35 - Sheet1!$B$34)</f>
        <v>1</v>
      </c>
      <c r="I18" s="1">
        <f>(Sheet1!I18 - Sheet1!$B$34) / (Sheet1!$B$35 - Sheet1!$B$34)</f>
        <v>1</v>
      </c>
      <c r="J18" s="1">
        <f>(Sheet1!J18 - Sheet1!$B$34) / (Sheet1!$B$35 - Sheet1!$B$34)</f>
        <v>1</v>
      </c>
      <c r="K18" s="1">
        <f>(Sheet1!K18 - Sheet1!$B$34) / (Sheet1!$B$35 - Sheet1!$B$34)</f>
        <v>0.9705456262</v>
      </c>
      <c r="L18" s="1">
        <f>(Sheet1!L18 - Sheet1!$B$34) / (Sheet1!$B$35 - Sheet1!$B$34)</f>
        <v>0.6687178795</v>
      </c>
      <c r="M18" s="1">
        <f>(Sheet1!M18 - Sheet1!$B$34) / (Sheet1!$B$35 - Sheet1!$B$34)</f>
        <v>0.4982181156</v>
      </c>
      <c r="O18" s="11"/>
      <c r="P18" s="12">
        <f>IFERROR(__xludf.DUMMYFUNCTION("""COMPUTED_VALUE"""),0.16525797531530315)</f>
        <v>0.1652579753</v>
      </c>
    </row>
    <row r="19">
      <c r="A19" s="3" t="s">
        <v>17</v>
      </c>
      <c r="B19" s="1">
        <f>(Sheet1!B19 - Sheet1!$B$34) / (Sheet1!$B$35 - Sheet1!$B$34)</f>
        <v>0.09840696028</v>
      </c>
      <c r="C19" s="1">
        <f>(Sheet1!C19 - Sheet1!$B$34) / (Sheet1!$B$35 - Sheet1!$B$34)</f>
        <v>0.1044499899</v>
      </c>
      <c r="D19" s="1">
        <f>(Sheet1!D19 - Sheet1!$B$34) / (Sheet1!$B$35 - Sheet1!$B$34)</f>
        <v>0.08507992176</v>
      </c>
      <c r="E19" s="1">
        <f>(Sheet1!E19 - Sheet1!$B$34) / (Sheet1!$B$35 - Sheet1!$B$34)</f>
        <v>0.07315572941</v>
      </c>
      <c r="F19" s="1">
        <f>(Sheet1!F19 - Sheet1!$B$34) / (Sheet1!$B$35 - Sheet1!$B$34)</f>
        <v>0.06889323531</v>
      </c>
      <c r="G19" s="1">
        <f>(Sheet1!G19 - Sheet1!$B$34) / (Sheet1!$B$35 - Sheet1!$B$34)</f>
        <v>0.05189721454</v>
      </c>
      <c r="H19" s="1">
        <f>(Sheet1!H19 - Sheet1!$B$34) / (Sheet1!$B$35 - Sheet1!$B$34)</f>
        <v>0.06355162879</v>
      </c>
      <c r="I19" s="1">
        <f>(Sheet1!I19 - Sheet1!$B$34) / (Sheet1!$B$35 - Sheet1!$B$34)</f>
        <v>0.04617791866</v>
      </c>
      <c r="J19" s="1">
        <f>(Sheet1!J19 - Sheet1!$B$34) / (Sheet1!$B$35 - Sheet1!$B$34)</f>
        <v>0.05880353409</v>
      </c>
      <c r="K19" s="1">
        <f>(Sheet1!K19 - Sheet1!$B$34) / (Sheet1!$B$35 - Sheet1!$B$34)</f>
        <v>0.05934309031</v>
      </c>
      <c r="L19" s="1">
        <f>(Sheet1!L19 - Sheet1!$B$34) / (Sheet1!$B$35 - Sheet1!$B$34)</f>
        <v>0.05400148378</v>
      </c>
      <c r="M19" s="1">
        <f>(Sheet1!M19 - Sheet1!$B$34) / (Sheet1!$B$35 - Sheet1!$B$34)</f>
        <v>0.06328185068</v>
      </c>
      <c r="O19" s="11"/>
      <c r="P19" s="12">
        <f>IFERROR(__xludf.DUMMYFUNCTION("""COMPUTED_VALUE"""),0.1408160787752074)</f>
        <v>0.1408160788</v>
      </c>
    </row>
    <row r="20">
      <c r="A20" s="3" t="s">
        <v>18</v>
      </c>
      <c r="B20" s="1">
        <f>(Sheet1!B20 - Sheet1!$B$34) / (Sheet1!$B$35 - Sheet1!$B$34)</f>
        <v>0.07871315843</v>
      </c>
      <c r="C20" s="1">
        <f>(Sheet1!C20 - Sheet1!$B$34) / (Sheet1!$B$35 - Sheet1!$B$34)</f>
        <v>0.08232818507</v>
      </c>
      <c r="D20" s="1">
        <f>(Sheet1!D20 - Sheet1!$B$34) / (Sheet1!$B$35 - Sheet1!$B$34)</f>
        <v>0.1079031497</v>
      </c>
      <c r="E20" s="1">
        <f>(Sheet1!E20 - Sheet1!$B$34) / (Sheet1!$B$35 - Sheet1!$B$34)</f>
        <v>0.1188021852</v>
      </c>
      <c r="F20" s="1">
        <f>(Sheet1!F20 - Sheet1!$B$34) / (Sheet1!$B$35 - Sheet1!$B$34)</f>
        <v>0.1128131112</v>
      </c>
      <c r="G20" s="1">
        <f>(Sheet1!G20 - Sheet1!$B$34) / (Sheet1!$B$35 - Sheet1!$B$34)</f>
        <v>0.10272341</v>
      </c>
      <c r="H20" s="1">
        <f>(Sheet1!H20 - Sheet1!$B$34) / (Sheet1!$B$35 - Sheet1!$B$34)</f>
        <v>0.09214810818</v>
      </c>
      <c r="I20" s="1">
        <f>(Sheet1!I20 - Sheet1!$B$34) / (Sheet1!$B$35 - Sheet1!$B$34)</f>
        <v>0.07326364066</v>
      </c>
      <c r="J20" s="1">
        <f>(Sheet1!J20 - Sheet1!$B$34) / (Sheet1!$B$35 - Sheet1!$B$34)</f>
        <v>0.06549403116</v>
      </c>
      <c r="K20" s="1">
        <f>(Sheet1!K20 - Sheet1!$B$34) / (Sheet1!$B$35 - Sheet1!$B$34)</f>
        <v>0.05011667903</v>
      </c>
      <c r="L20" s="1">
        <f>(Sheet1!L20 - Sheet1!$B$34) / (Sheet1!$B$35 - Sheet1!$B$34)</f>
        <v>0.04072840089</v>
      </c>
      <c r="M20" s="1">
        <f>(Sheet1!M20 - Sheet1!$B$34) / (Sheet1!$B$35 - Sheet1!$B$34)</f>
        <v>0.0397571997</v>
      </c>
      <c r="O20" s="11"/>
      <c r="P20" s="12">
        <f>IFERROR(__xludf.DUMMYFUNCTION("""COMPUTED_VALUE"""),0.10995346327645512)</f>
        <v>0.1099534633</v>
      </c>
    </row>
    <row r="21">
      <c r="A21" s="3" t="s">
        <v>19</v>
      </c>
      <c r="B21" s="1">
        <f>(Sheet1!B21 - Sheet1!$B$34) / (Sheet1!$B$35 - Sheet1!$B$34)</f>
        <v>0.26637081</v>
      </c>
      <c r="C21" s="1">
        <f>(Sheet1!C21 - Sheet1!$B$34) / (Sheet1!$B$35 - Sheet1!$B$34)</f>
        <v>0.5438645714</v>
      </c>
      <c r="D21" s="1">
        <f>(Sheet1!D21 - Sheet1!$B$34) / (Sheet1!$B$35 - Sheet1!$B$34)</f>
        <v>0.5206096985</v>
      </c>
      <c r="E21" s="1">
        <f>(Sheet1!E21 - Sheet1!$B$34) / (Sheet1!$B$35 - Sheet1!$B$34)</f>
        <v>0.4788480475</v>
      </c>
      <c r="F21" s="1">
        <f>(Sheet1!F21 - Sheet1!$B$34) / (Sheet1!$B$35 - Sheet1!$B$34)</f>
        <v>0.3944614555</v>
      </c>
      <c r="G21" s="1">
        <f>(Sheet1!G21 - Sheet1!$B$34) / (Sheet1!$B$35 - Sheet1!$B$34)</f>
        <v>0.3289053753</v>
      </c>
      <c r="H21" s="1">
        <f>(Sheet1!H21 - Sheet1!$B$34) / (Sheet1!$B$35 - Sheet1!$B$34)</f>
        <v>0.3490847778</v>
      </c>
      <c r="I21" s="1">
        <f>(Sheet1!I21 - Sheet1!$B$34) / (Sheet1!$B$35 - Sheet1!$B$34)</f>
        <v>0.3171970055</v>
      </c>
      <c r="J21" s="1">
        <f>(Sheet1!J21 - Sheet1!$B$34) / (Sheet1!$B$35 - Sheet1!$B$34)</f>
        <v>0.534368382</v>
      </c>
      <c r="K21" s="1">
        <f>(Sheet1!K21 - Sheet1!$B$34) / (Sheet1!$B$35 - Sheet1!$B$34)</f>
        <v>0.5322641128</v>
      </c>
      <c r="L21" s="1">
        <f>(Sheet1!L21 - Sheet1!$B$34) / (Sheet1!$B$35 - Sheet1!$B$34)</f>
        <v>0.42089971</v>
      </c>
      <c r="M21" s="1">
        <f>(Sheet1!M21 - Sheet1!$B$34) / (Sheet1!$B$35 - Sheet1!$B$34)</f>
        <v>0.4016915087</v>
      </c>
      <c r="O21" s="11"/>
      <c r="P21" s="12">
        <f>IFERROR(__xludf.DUMMYFUNCTION("""COMPUTED_VALUE"""),0.10337087745329468)</f>
        <v>0.1033708775</v>
      </c>
    </row>
    <row r="22">
      <c r="A22" s="3" t="s">
        <v>20</v>
      </c>
      <c r="B22" s="1">
        <f>(Sheet1!B22 - Sheet1!$B$34) / (Sheet1!$B$35 - Sheet1!$B$34)</f>
        <v>0.4575895326</v>
      </c>
      <c r="C22" s="1">
        <f>(Sheet1!C22 - Sheet1!$B$34) / (Sheet1!$B$35 - Sheet1!$B$34)</f>
        <v>0.394245633</v>
      </c>
      <c r="D22" s="1">
        <f>(Sheet1!D22 - Sheet1!$B$34) / (Sheet1!$B$35 - Sheet1!$B$34)</f>
        <v>0.3250745262</v>
      </c>
      <c r="E22" s="1">
        <f>(Sheet1!E22 - Sheet1!$B$34) / (Sheet1!$B$35 - Sheet1!$B$34)</f>
        <v>0.2025413098</v>
      </c>
      <c r="F22" s="1">
        <f>(Sheet1!F22 - Sheet1!$B$34) / (Sheet1!$B$35 - Sheet1!$B$34)</f>
        <v>0.1241437917</v>
      </c>
      <c r="G22" s="1">
        <f>(Sheet1!G22 - Sheet1!$B$34) / (Sheet1!$B$35 - Sheet1!$B$34)</f>
        <v>0.1081729278</v>
      </c>
      <c r="H22" s="1">
        <f>(Sheet1!H22 - Sheet1!$B$34) / (Sheet1!$B$35 - Sheet1!$B$34)</f>
        <v>0.002581776489</v>
      </c>
      <c r="I22" s="1">
        <f>(Sheet1!I22 - Sheet1!$B$34) / (Sheet1!$B$35 - Sheet1!$B$34)</f>
        <v>0</v>
      </c>
      <c r="J22" s="1">
        <f>(Sheet1!J22 - Sheet1!$B$34) / (Sheet1!$B$35 - Sheet1!$B$34)</f>
        <v>0</v>
      </c>
      <c r="K22" s="1">
        <f>(Sheet1!K22 - Sheet1!$B$34) / (Sheet1!$B$35 - Sheet1!$B$34)</f>
        <v>0.07472044244</v>
      </c>
      <c r="L22" s="1">
        <f>(Sheet1!L22 - Sheet1!$B$34) / (Sheet1!$B$35 - Sheet1!$B$34)</f>
        <v>0.1114642207</v>
      </c>
      <c r="M22" s="1">
        <f>(Sheet1!M22 - Sheet1!$B$34) / (Sheet1!$B$35 - Sheet1!$B$34)</f>
        <v>1</v>
      </c>
      <c r="O22" s="11"/>
      <c r="P22" s="12">
        <f>IFERROR(__xludf.DUMMYFUNCTION("""COMPUTED_VALUE"""),0.09775949281715789)</f>
        <v>0.09775949282</v>
      </c>
    </row>
    <row r="23">
      <c r="A23" s="3" t="s">
        <v>21</v>
      </c>
      <c r="B23" s="1">
        <f>(Sheet1!B23 - Sheet1!$B$34) / (Sheet1!$B$35 - Sheet1!$B$34)</f>
        <v>0.2346988602</v>
      </c>
      <c r="C23" s="1">
        <f>(Sheet1!C23 - Sheet1!$B$34) / (Sheet1!$B$35 - Sheet1!$B$34)</f>
        <v>0.2039441559</v>
      </c>
      <c r="D23" s="1">
        <f>(Sheet1!D23 - Sheet1!$B$34) / (Sheet1!$B$35 - Sheet1!$B$34)</f>
        <v>0.17912457</v>
      </c>
      <c r="E23" s="1">
        <f>(Sheet1!E23 - Sheet1!$B$34) / (Sheet1!$B$35 - Sheet1!$B$34)</f>
        <v>0.06204087138</v>
      </c>
      <c r="F23" s="1">
        <f>(Sheet1!F23 - Sheet1!$B$34) / (Sheet1!$B$35 - Sheet1!$B$34)</f>
        <v>0.05394752816</v>
      </c>
      <c r="G23" s="1">
        <f>(Sheet1!G23 - Sheet1!$B$34) / (Sheet1!$B$35 - Sheet1!$B$34)</f>
        <v>0.0733715519</v>
      </c>
      <c r="H23" s="1">
        <f>(Sheet1!H23 - Sheet1!$B$34) / (Sheet1!$B$35 - Sheet1!$B$34)</f>
        <v>0.04855196601</v>
      </c>
      <c r="I23" s="1">
        <f>(Sheet1!I23 - Sheet1!$B$34) / (Sheet1!$B$35 - Sheet1!$B$34)</f>
        <v>0.03722128549</v>
      </c>
      <c r="J23" s="1">
        <f>(Sheet1!J23 - Sheet1!$B$34) / (Sheet1!$B$35 - Sheet1!$B$34)</f>
        <v>0.1451325285</v>
      </c>
      <c r="K23" s="1">
        <f>(Sheet1!K23 - Sheet1!$B$34) / (Sheet1!$B$35 - Sheet1!$B$34)</f>
        <v>0.09063735078</v>
      </c>
      <c r="L23" s="1">
        <f>(Sheet1!L23 - Sheet1!$B$34) / (Sheet1!$B$35 - Sheet1!$B$34)</f>
        <v>0.09063735078</v>
      </c>
      <c r="M23" s="1">
        <f>(Sheet1!M23 - Sheet1!$B$34) / (Sheet1!$B$35 - Sheet1!$B$34)</f>
        <v>0.07067377082</v>
      </c>
      <c r="O23" s="11"/>
      <c r="P23" s="12">
        <f>IFERROR(__xludf.DUMMYFUNCTION("""COMPUTED_VALUE"""),0.08680650165239091)</f>
        <v>0.08680650165</v>
      </c>
    </row>
    <row r="24">
      <c r="A24" s="3" t="s">
        <v>22</v>
      </c>
      <c r="B24" s="1">
        <f>(Sheet1!B24 - Sheet1!$B$34) / (Sheet1!$B$35 - Sheet1!$B$34)</f>
        <v>0.4135617455</v>
      </c>
      <c r="C24" s="1">
        <f>(Sheet1!C24 - Sheet1!$B$34) / (Sheet1!$B$35 - Sheet1!$B$34)</f>
        <v>0.430449855</v>
      </c>
      <c r="D24" s="1">
        <f>(Sheet1!D24 - Sheet1!$B$34) / (Sheet1!$B$35 - Sheet1!$B$34)</f>
        <v>0.02259931207</v>
      </c>
      <c r="E24" s="1">
        <f>(Sheet1!E24 - Sheet1!$B$34) / (Sheet1!$B$35 - Sheet1!$B$34)</f>
        <v>0</v>
      </c>
      <c r="F24" s="1">
        <f>(Sheet1!F24 - Sheet1!$B$34) / (Sheet1!$B$35 - Sheet1!$B$34)</f>
        <v>0</v>
      </c>
      <c r="G24" s="1">
        <f>(Sheet1!G24 - Sheet1!$B$34) / (Sheet1!$B$35 - Sheet1!$B$34)</f>
        <v>0</v>
      </c>
      <c r="H24" s="1">
        <f>(Sheet1!H24 - Sheet1!$B$34) / (Sheet1!$B$35 - Sheet1!$B$34)</f>
        <v>0</v>
      </c>
      <c r="I24" s="1">
        <f>(Sheet1!I24 - Sheet1!$B$34) / (Sheet1!$B$35 - Sheet1!$B$34)</f>
        <v>0.131373845</v>
      </c>
      <c r="J24" s="1">
        <f>(Sheet1!J24 - Sheet1!$B$34) / (Sheet1!$B$35 - Sheet1!$B$34)</f>
        <v>0.1069859041</v>
      </c>
      <c r="K24" s="1">
        <f>(Sheet1!K24 - Sheet1!$B$34) / (Sheet1!$B$35 - Sheet1!$B$34)</f>
        <v>0.1734052742</v>
      </c>
      <c r="L24" s="1">
        <f>(Sheet1!L24 - Sheet1!$B$34) / (Sheet1!$B$35 - Sheet1!$B$34)</f>
        <v>0.2229904903</v>
      </c>
      <c r="M24" s="1">
        <f>(Sheet1!M24 - Sheet1!$B$34) / (Sheet1!$B$35 - Sheet1!$B$34)</f>
        <v>0.2233681797</v>
      </c>
      <c r="O24" s="11"/>
      <c r="P24" s="12">
        <f>IFERROR(__xludf.DUMMYFUNCTION("""COMPUTED_VALUE"""),0.06711269980441087)</f>
        <v>0.0671126998</v>
      </c>
    </row>
    <row r="25">
      <c r="A25" s="3" t="s">
        <v>23</v>
      </c>
      <c r="B25" s="1">
        <f>(Sheet1!B25 - Sheet1!$B$34) / (Sheet1!$B$35 - Sheet1!$B$34)</f>
        <v>0.003445066433</v>
      </c>
      <c r="C25" s="1">
        <f>(Sheet1!C25 - Sheet1!$B$34) / (Sheet1!$B$35 - Sheet1!$B$34)</f>
        <v>0</v>
      </c>
      <c r="D25" s="1">
        <f>(Sheet1!D25 - Sheet1!$B$34) / (Sheet1!$B$35 - Sheet1!$B$34)</f>
        <v>0.02734740676</v>
      </c>
      <c r="E25" s="1">
        <f>(Sheet1!E25 - Sheet1!$B$34) / (Sheet1!$B$35 - Sheet1!$B$34)</f>
        <v>1</v>
      </c>
      <c r="F25" s="1">
        <f>(Sheet1!F25 - Sheet1!$B$34) / (Sheet1!$B$35 - Sheet1!$B$34)</f>
        <v>0.3327901801</v>
      </c>
      <c r="G25" s="1">
        <f>(Sheet1!G25 - Sheet1!$B$34) / (Sheet1!$B$35 - Sheet1!$B$34)</f>
        <v>0.05265259324</v>
      </c>
      <c r="H25" s="1">
        <f>(Sheet1!H25 - Sheet1!$B$34) / (Sheet1!$B$35 - Sheet1!$B$34)</f>
        <v>0.4620678492</v>
      </c>
      <c r="I25" s="1">
        <f>(Sheet1!I25 - Sheet1!$B$34) / (Sheet1!$B$35 - Sheet1!$B$34)</f>
        <v>0.6798327376</v>
      </c>
      <c r="J25" s="1">
        <f>(Sheet1!J25 - Sheet1!$B$34) / (Sheet1!$B$35 - Sheet1!$B$34)</f>
        <v>0</v>
      </c>
      <c r="K25" s="1">
        <f>(Sheet1!K25 - Sheet1!$B$34) / (Sheet1!$B$35 - Sheet1!$B$34)</f>
        <v>0</v>
      </c>
      <c r="L25" s="1">
        <f>(Sheet1!L25 - Sheet1!$B$34) / (Sheet1!$B$35 - Sheet1!$B$34)</f>
        <v>0</v>
      </c>
      <c r="M25" s="1">
        <f>(Sheet1!M25 - Sheet1!$B$34) / (Sheet1!$B$35 - Sheet1!$B$34)</f>
        <v>0.1785310582</v>
      </c>
      <c r="O25" s="11"/>
      <c r="P25" s="12">
        <f>IFERROR(__xludf.DUMMYFUNCTION("""COMPUTED_VALUE"""),0.0572388210696702)</f>
        <v>0.05723882107</v>
      </c>
    </row>
    <row r="26">
      <c r="A26" s="3" t="s">
        <v>24</v>
      </c>
      <c r="B26" s="1">
        <f>(Sheet1!B26 - Sheet1!$B$34) / (Sheet1!$B$35 - Sheet1!$B$34)</f>
        <v>0.7126917111</v>
      </c>
      <c r="C26" s="1">
        <f>(Sheet1!C26 - Sheet1!$B$34) / (Sheet1!$B$35 - Sheet1!$B$34)</f>
        <v>0.6678545896</v>
      </c>
      <c r="D26" s="1">
        <f>(Sheet1!D26 - Sheet1!$B$34) / (Sheet1!$B$35 - Sheet1!$B$34)</f>
        <v>0.6101760302</v>
      </c>
      <c r="E26" s="1">
        <f>(Sheet1!E26 - Sheet1!$B$34) / (Sheet1!$B$35 - Sheet1!$B$34)</f>
        <v>0.5477493761</v>
      </c>
      <c r="F26" s="1">
        <f>(Sheet1!F26 - Sheet1!$B$34) / (Sheet1!$B$35 - Sheet1!$B$34)</f>
        <v>0.4565104202</v>
      </c>
      <c r="G26" s="1">
        <f>(Sheet1!G26 - Sheet1!$B$34) / (Sheet1!$B$35 - Sheet1!$B$34)</f>
        <v>0.4537047279</v>
      </c>
      <c r="H26" s="1">
        <f>(Sheet1!H26 - Sheet1!$B$34) / (Sheet1!$B$35 - Sheet1!$B$34)</f>
        <v>0.4367626627</v>
      </c>
      <c r="I26" s="1">
        <f>(Sheet1!I26 - Sheet1!$B$34) / (Sheet1!$B$35 - Sheet1!$B$34)</f>
        <v>0.7126917111</v>
      </c>
      <c r="J26" s="1">
        <f>(Sheet1!J26 - Sheet1!$B$34) / (Sheet1!$B$35 - Sheet1!$B$34)</f>
        <v>0.7084831726</v>
      </c>
      <c r="K26" s="1">
        <f>(Sheet1!K26 - Sheet1!$B$34) / (Sheet1!$B$35 - Sheet1!$B$34)</f>
        <v>0.6532865718</v>
      </c>
      <c r="L26" s="1">
        <f>(Sheet1!L26 - Sheet1!$B$34) / (Sheet1!$B$35 - Sheet1!$B$34)</f>
        <v>0.5355014501</v>
      </c>
      <c r="M26" s="1">
        <f>(Sheet1!M26 - Sheet1!$B$34) / (Sheet1!$B$35 - Sheet1!$B$34)</f>
        <v>0.5156457813</v>
      </c>
      <c r="O26" s="11"/>
      <c r="P26" s="12">
        <f>IFERROR(__xludf.DUMMYFUNCTION("""COMPUTED_VALUE"""),0.4752330208403589)</f>
        <v>0.4752330208</v>
      </c>
    </row>
    <row r="27">
      <c r="A27" s="3" t="s">
        <v>25</v>
      </c>
      <c r="B27" s="1">
        <f>(Sheet1!B27 - Sheet1!$B$34) / (Sheet1!$B$35 - Sheet1!$B$34)</f>
        <v>0.2471626088</v>
      </c>
      <c r="C27" s="1">
        <f>(Sheet1!C27 - Sheet1!$B$34) / (Sheet1!$B$35 - Sheet1!$B$34)</f>
        <v>0.1320752681</v>
      </c>
      <c r="D27" s="1">
        <f>(Sheet1!D27 - Sheet1!$B$34) / (Sheet1!$B$35 - Sheet1!$B$34)</f>
        <v>0.2841222095</v>
      </c>
      <c r="E27" s="1">
        <f>(Sheet1!E27 - Sheet1!$B$34) / (Sheet1!$B$35 - Sheet1!$B$34)</f>
        <v>0.3275564848</v>
      </c>
      <c r="F27" s="1">
        <f>(Sheet1!F27 - Sheet1!$B$34) / (Sheet1!$B$35 - Sheet1!$B$34)</f>
        <v>0.2594644905</v>
      </c>
      <c r="G27" s="1">
        <f>(Sheet1!G27 - Sheet1!$B$34) / (Sheet1!$B$35 - Sheet1!$B$34)</f>
        <v>0.2360477507</v>
      </c>
      <c r="H27" s="1">
        <f>(Sheet1!H27 - Sheet1!$B$34) / (Sheet1!$B$35 - Sheet1!$B$34)</f>
        <v>0.2461374519</v>
      </c>
      <c r="I27" s="1">
        <f>(Sheet1!I27 - Sheet1!$B$34) / (Sheet1!$B$35 - Sheet1!$B$34)</f>
        <v>0.2188359075</v>
      </c>
      <c r="J27" s="1">
        <f>(Sheet1!J27 - Sheet1!$B$34) / (Sheet1!$B$35 - Sheet1!$B$34)</f>
        <v>0.1593768126</v>
      </c>
      <c r="K27" s="1">
        <f>(Sheet1!K27 - Sheet1!$B$34) / (Sheet1!$B$35 - Sheet1!$B$34)</f>
        <v>0.1705456262</v>
      </c>
      <c r="L27" s="1">
        <f>(Sheet1!L27 - Sheet1!$B$34) / (Sheet1!$B$35 - Sheet1!$B$34)</f>
        <v>0.132938558</v>
      </c>
      <c r="M27" s="1">
        <f>(Sheet1!M27 - Sheet1!$B$34) / (Sheet1!$B$35 - Sheet1!$B$34)</f>
        <v>0.6727105955</v>
      </c>
      <c r="O27" s="11"/>
      <c r="P27" s="12">
        <f>IFERROR(__xludf.DUMMYFUNCTION("""COMPUTED_VALUE"""),0.44733796452417895)</f>
        <v>0.4473379645</v>
      </c>
    </row>
    <row r="28">
      <c r="A28" s="3" t="s">
        <v>26</v>
      </c>
      <c r="B28" s="1">
        <f>(Sheet1!B28 - Sheet1!$B$34) / (Sheet1!$B$35 - Sheet1!$B$34)</f>
        <v>0.1915883186</v>
      </c>
      <c r="C28" s="1">
        <f>(Sheet1!C28 - Sheet1!$B$34) / (Sheet1!$B$35 - Sheet1!$B$34)</f>
        <v>0.2011384636</v>
      </c>
      <c r="D28" s="1">
        <f>(Sheet1!D28 - Sheet1!$B$34) / (Sheet1!$B$35 - Sheet1!$B$34)</f>
        <v>0.1861927565</v>
      </c>
      <c r="E28" s="1">
        <f>(Sheet1!E28 - Sheet1!$B$34) / (Sheet1!$B$35 - Sheet1!$B$34)</f>
        <v>0.1207985432</v>
      </c>
      <c r="F28" s="1">
        <f>(Sheet1!F28 - Sheet1!$B$34) / (Sheet1!$B$35 - Sheet1!$B$34)</f>
        <v>0.04779658731</v>
      </c>
      <c r="G28" s="1">
        <f>(Sheet1!G28 - Sheet1!$B$34) / (Sheet1!$B$35 - Sheet1!$B$34)</f>
        <v>0.0799001821</v>
      </c>
      <c r="H28" s="1">
        <f>(Sheet1!H28 - Sheet1!$B$34) / (Sheet1!$B$35 - Sheet1!$B$34)</f>
        <v>0.07401901936</v>
      </c>
      <c r="I28" s="1">
        <f>(Sheet1!I28 - Sheet1!$B$34) / (Sheet1!$B$35 - Sheet1!$B$34)</f>
        <v>0.05745464356</v>
      </c>
      <c r="J28" s="1">
        <f>(Sheet1!J28 - Sheet1!$B$34) / (Sheet1!$B$35 - Sheet1!$B$34)</f>
        <v>0.03274296891</v>
      </c>
      <c r="K28" s="1">
        <f>(Sheet1!K28 - Sheet1!$B$34) / (Sheet1!$B$35 - Sheet1!$B$34)</f>
        <v>0.02966749848</v>
      </c>
      <c r="L28" s="1">
        <f>(Sheet1!L28 - Sheet1!$B$34) / (Sheet1!$B$35 - Sheet1!$B$34)</f>
        <v>0.0382464423</v>
      </c>
      <c r="M28" s="1">
        <f>(Sheet1!M28 - Sheet1!$B$34) / (Sheet1!$B$35 - Sheet1!$B$34)</f>
        <v>0.03333648074</v>
      </c>
      <c r="O28" s="11"/>
      <c r="P28" s="12">
        <f>IFERROR(__xludf.DUMMYFUNCTION("""COMPUTED_VALUE"""),0.17772172388210697)</f>
        <v>0.1777217239</v>
      </c>
    </row>
    <row r="29">
      <c r="A29" s="3" t="s">
        <v>27</v>
      </c>
      <c r="B29" s="1">
        <f>(Sheet1!B29 - Sheet1!$B$34) / (Sheet1!$B$35 - Sheet1!$B$34)</f>
        <v>0.2234221353</v>
      </c>
      <c r="C29" s="1">
        <f>(Sheet1!C29 - Sheet1!$B$34) / (Sheet1!$B$35 - Sheet1!$B$34)</f>
        <v>0.2143036353</v>
      </c>
      <c r="D29" s="1">
        <f>(Sheet1!D29 - Sheet1!$B$34) / (Sheet1!$B$35 - Sheet1!$B$34)</f>
        <v>0.05615970864</v>
      </c>
      <c r="E29" s="1">
        <f>(Sheet1!E29 - Sheet1!$B$34) / (Sheet1!$B$35 - Sheet1!$B$34)</f>
        <v>0.004740001349</v>
      </c>
      <c r="F29" s="1">
        <f>(Sheet1!F29 - Sheet1!$B$34) / (Sheet1!$B$35 - Sheet1!$B$34)</f>
        <v>0</v>
      </c>
      <c r="G29" s="1">
        <f>(Sheet1!G29 - Sheet1!$B$34) / (Sheet1!$B$35 - Sheet1!$B$34)</f>
        <v>0.007707560531</v>
      </c>
      <c r="H29" s="1">
        <f>(Sheet1!H29 - Sheet1!$B$34) / (Sheet1!$B$35 - Sheet1!$B$34)</f>
        <v>0.00441626762</v>
      </c>
      <c r="I29" s="1">
        <f>(Sheet1!I29 - Sheet1!$B$34) / (Sheet1!$B$35 - Sheet1!$B$34)</f>
        <v>0.002797598975</v>
      </c>
      <c r="J29" s="1">
        <f>(Sheet1!J29 - Sheet1!$B$34) / (Sheet1!$B$35 - Sheet1!$B$34)</f>
        <v>0.002419909624</v>
      </c>
      <c r="K29" s="1">
        <f>(Sheet1!K29 - Sheet1!$B$34) / (Sheet1!$B$35 - Sheet1!$B$34)</f>
        <v>0</v>
      </c>
      <c r="L29" s="1">
        <f>(Sheet1!L29 - Sheet1!$B$34) / (Sheet1!$B$35 - Sheet1!$B$34)</f>
        <v>0.198656505</v>
      </c>
      <c r="M29" s="1">
        <f>(Sheet1!M29 - Sheet1!$B$34) / (Sheet1!$B$35 - Sheet1!$B$34)</f>
        <v>0</v>
      </c>
      <c r="O29" s="11"/>
      <c r="P29" s="12">
        <f>IFERROR(__xludf.DUMMYFUNCTION("""COMPUTED_VALUE"""),0.23637148445403655)</f>
        <v>0.2363714845</v>
      </c>
    </row>
    <row r="30">
      <c r="A30" s="3" t="s">
        <v>28</v>
      </c>
      <c r="B30" s="1">
        <f>(Sheet1!B30 - Sheet1!$B$34) / (Sheet1!$B$35 - Sheet1!$B$34)</f>
        <v>1</v>
      </c>
      <c r="C30" s="1">
        <f>(Sheet1!C30 - Sheet1!$B$34) / (Sheet1!$B$35 - Sheet1!$B$34)</f>
        <v>1</v>
      </c>
      <c r="D30" s="1">
        <f>(Sheet1!D30 - Sheet1!$B$34) / (Sheet1!$B$35 - Sheet1!$B$34)</f>
        <v>0.935798206</v>
      </c>
      <c r="E30" s="1">
        <f>(Sheet1!E30 - Sheet1!$B$34) / (Sheet1!$B$35 - Sheet1!$B$34)</f>
        <v>1</v>
      </c>
      <c r="F30" s="1">
        <f>(Sheet1!F30 - Sheet1!$B$34) / (Sheet1!$B$35 - Sheet1!$B$34)</f>
        <v>1</v>
      </c>
      <c r="G30" s="1">
        <f>(Sheet1!G30 - Sheet1!$B$34) / (Sheet1!$B$35 - Sheet1!$B$34)</f>
        <v>1</v>
      </c>
      <c r="H30" s="1">
        <f>(Sheet1!H30 - Sheet1!$B$34) / (Sheet1!$B$35 - Sheet1!$B$34)</f>
        <v>0.4418884468</v>
      </c>
      <c r="I30" s="1">
        <f>(Sheet1!I30 - Sheet1!$B$34) / (Sheet1!$B$35 - Sheet1!$B$34)</f>
        <v>0.4252701153</v>
      </c>
      <c r="J30" s="1">
        <f>(Sheet1!J30 - Sheet1!$B$34) / (Sheet1!$B$35 - Sheet1!$B$34)</f>
        <v>0.5221744115</v>
      </c>
      <c r="K30" s="1">
        <f>(Sheet1!K30 - Sheet1!$B$34) / (Sheet1!$B$35 - Sheet1!$B$34)</f>
        <v>0.4756107102</v>
      </c>
      <c r="L30" s="1">
        <f>(Sheet1!L30 - Sheet1!$B$34) / (Sheet1!$B$35 - Sheet1!$B$34)</f>
        <v>0.4010979969</v>
      </c>
      <c r="M30" s="1">
        <f>(Sheet1!M30 - Sheet1!$B$34) / (Sheet1!$B$35 - Sheet1!$B$34)</f>
        <v>0.4225723343</v>
      </c>
      <c r="O30" s="11"/>
      <c r="P30" s="12">
        <f>IFERROR(__xludf.DUMMYFUNCTION("""COMPUTED_VALUE"""),0.11917987455318002)</f>
        <v>0.1191798746</v>
      </c>
    </row>
    <row r="31">
      <c r="P31" s="1">
        <f>IFERROR(__xludf.DUMMYFUNCTION("""COMPUTED_VALUE"""),0.02535104876239293)</f>
        <v>0.02535104876</v>
      </c>
    </row>
    <row r="32">
      <c r="P32" s="1">
        <f>IFERROR(__xludf.DUMMYFUNCTION("""COMPUTED_VALUE"""),0.09382073244756188)</f>
        <v>0.09382073245</v>
      </c>
    </row>
    <row r="33">
      <c r="P33" s="1">
        <f>IFERROR(__xludf.DUMMYFUNCTION("""COMPUTED_VALUE"""),0.0)</f>
        <v>0</v>
      </c>
    </row>
    <row r="34">
      <c r="A34" s="7" t="s">
        <v>29</v>
      </c>
      <c r="B34" s="1">
        <f>MIN(B2:N30)</f>
        <v>0</v>
      </c>
      <c r="P34" s="1">
        <f>IFERROR(__xludf.DUMMYFUNCTION("""COMPUTED_VALUE"""),0.07758009037566602)</f>
        <v>0.07758009038</v>
      </c>
    </row>
    <row r="35">
      <c r="A35" s="7" t="s">
        <v>30</v>
      </c>
      <c r="B35" s="1">
        <f>MAX(B2:N30)</f>
        <v>1</v>
      </c>
      <c r="P35" s="1">
        <f>IFERROR(__xludf.DUMMYFUNCTION("""COMPUTED_VALUE"""),0.1771282120455925)</f>
        <v>0.177128212</v>
      </c>
    </row>
    <row r="36">
      <c r="P36" s="1">
        <f>IFERROR(__xludf.DUMMYFUNCTION("""COMPUTED_VALUE"""),0.1571646320901059)</f>
        <v>0.1571646321</v>
      </c>
    </row>
    <row r="37">
      <c r="P37" s="1">
        <f>IFERROR(__xludf.DUMMYFUNCTION("""COMPUTED_VALUE"""),0.7127456666891483)</f>
        <v>0.7127456667</v>
      </c>
    </row>
    <row r="38">
      <c r="P38" s="1">
        <f>IFERROR(__xludf.DUMMYFUNCTION("""COMPUTED_VALUE"""),0.040998178997774325)</f>
        <v>0.040998179</v>
      </c>
    </row>
    <row r="39">
      <c r="P39" s="1">
        <f>IFERROR(__xludf.DUMMYFUNCTION("""COMPUTED_VALUE"""),0.02804882983745869)</f>
        <v>0.02804882984</v>
      </c>
    </row>
    <row r="40">
      <c r="P40" s="1">
        <f>IFERROR(__xludf.DUMMYFUNCTION("""COMPUTED_VALUE"""),0.013480812032103589)</f>
        <v>0.01348081203</v>
      </c>
    </row>
    <row r="41">
      <c r="P41" s="1">
        <f>IFERROR(__xludf.DUMMYFUNCTION("""COMPUTED_VALUE"""),0.132183179334997)</f>
        <v>0.1321831793</v>
      </c>
    </row>
    <row r="42">
      <c r="P42" s="1">
        <f>IFERROR(__xludf.DUMMYFUNCTION("""COMPUTED_VALUE"""),0.0490915222229716)</f>
        <v>0.04909152222</v>
      </c>
    </row>
    <row r="43">
      <c r="P43" s="1">
        <f>IFERROR(__xludf.DUMMYFUNCTION("""COMPUTED_VALUE"""),0.2147352802320092)</f>
        <v>0.2147352802</v>
      </c>
    </row>
    <row r="44">
      <c r="P44" s="1">
        <f>IFERROR(__xludf.DUMMYFUNCTION("""COMPUTED_VALUE"""),0.0927955756390369)</f>
        <v>0.09279557564</v>
      </c>
    </row>
    <row r="45">
      <c r="P45" s="1">
        <f>IFERROR(__xludf.DUMMYFUNCTION("""COMPUTED_VALUE"""),0.03668172927766911)</f>
        <v>0.03668172928</v>
      </c>
    </row>
    <row r="46">
      <c r="P46" s="1">
        <f>IFERROR(__xludf.DUMMYFUNCTION("""COMPUTED_VALUE"""),0.01240169960207729)</f>
        <v>0.0124016996</v>
      </c>
    </row>
    <row r="47">
      <c r="P47" s="1">
        <f>IFERROR(__xludf.DUMMYFUNCTION("""COMPUTED_VALUE"""),0.044235516287853244)</f>
        <v>0.04423551629</v>
      </c>
    </row>
    <row r="48">
      <c r="P48" s="1">
        <f>IFERROR(__xludf.DUMMYFUNCTION("""COMPUTED_VALUE"""),0.031286167127537595)</f>
        <v>0.03128616713</v>
      </c>
    </row>
    <row r="49">
      <c r="P49" s="1">
        <f>IFERROR(__xludf.DUMMYFUNCTION("""COMPUTED_VALUE"""),0.0167181493221825)</f>
        <v>0.01671814932</v>
      </c>
    </row>
    <row r="50">
      <c r="P50" s="1">
        <f>IFERROR(__xludf.DUMMYFUNCTION("""COMPUTED_VALUE"""),1.0)</f>
        <v>1</v>
      </c>
    </row>
    <row r="51">
      <c r="P51" s="1">
        <f>IFERROR(__xludf.DUMMYFUNCTION("""COMPUTED_VALUE"""),1.0)</f>
        <v>1</v>
      </c>
    </row>
    <row r="52">
      <c r="P52" s="1">
        <f>IFERROR(__xludf.DUMMYFUNCTION("""COMPUTED_VALUE"""),1.0)</f>
        <v>1</v>
      </c>
    </row>
    <row r="53">
      <c r="P53" s="1">
        <f>IFERROR(__xludf.DUMMYFUNCTION("""COMPUTED_VALUE"""),0.613413367505227)</f>
        <v>0.6134133675</v>
      </c>
    </row>
    <row r="54">
      <c r="P54" s="1">
        <f>IFERROR(__xludf.DUMMYFUNCTION("""COMPUTED_VALUE"""),0.38253726310109937)</f>
        <v>0.3825372631</v>
      </c>
    </row>
    <row r="55">
      <c r="P55" s="1">
        <f>IFERROR(__xludf.DUMMYFUNCTION("""COMPUTED_VALUE"""),0.46924394685371285)</f>
        <v>0.4692439469</v>
      </c>
    </row>
    <row r="56">
      <c r="P56" s="1">
        <f>IFERROR(__xludf.DUMMYFUNCTION("""COMPUTED_VALUE"""),0.3596061239630404)</f>
        <v>0.359606124</v>
      </c>
    </row>
    <row r="57">
      <c r="P57" s="1">
        <f>IFERROR(__xludf.DUMMYFUNCTION("""COMPUTED_VALUE"""),0.2425224253051865)</f>
        <v>0.2425224253</v>
      </c>
    </row>
    <row r="58">
      <c r="P58" s="1">
        <f>IFERROR(__xludf.DUMMYFUNCTION("""COMPUTED_VALUE"""),0.1703298037364268)</f>
        <v>0.1703298037</v>
      </c>
    </row>
    <row r="59">
      <c r="P59" s="1">
        <f>IFERROR(__xludf.DUMMYFUNCTION("""COMPUTED_VALUE"""),1.0)</f>
        <v>1</v>
      </c>
    </row>
    <row r="60">
      <c r="P60" s="1">
        <f>IFERROR(__xludf.DUMMYFUNCTION("""COMPUTED_VALUE"""),0.9474526202198693)</f>
        <v>0.9474526202</v>
      </c>
    </row>
    <row r="61">
      <c r="P61" s="1">
        <f>IFERROR(__xludf.DUMMYFUNCTION("""COMPUTED_VALUE"""),0.7637337290078912)</f>
        <v>0.763733729</v>
      </c>
    </row>
    <row r="62">
      <c r="P62" s="1">
        <f>IFERROR(__xludf.DUMMYFUNCTION("""COMPUTED_VALUE"""),0.027940918594456063)</f>
        <v>0.02794091859</v>
      </c>
    </row>
    <row r="63">
      <c r="P63" s="1">
        <f>IFERROR(__xludf.DUMMYFUNCTION("""COMPUTED_VALUE"""),0.018067039859715382)</f>
        <v>0.01806703986</v>
      </c>
    </row>
    <row r="64">
      <c r="P64" s="1">
        <f>IFERROR(__xludf.DUMMYFUNCTION("""COMPUTED_VALUE"""),0.010729075335536516)</f>
        <v>0.01072907534</v>
      </c>
    </row>
    <row r="65">
      <c r="P65" s="1">
        <f>IFERROR(__xludf.DUMMYFUNCTION("""COMPUTED_VALUE"""),0.04180751332029405)</f>
        <v>0.04180751332</v>
      </c>
    </row>
    <row r="66">
      <c r="P66" s="1">
        <f>IFERROR(__xludf.DUMMYFUNCTION("""COMPUTED_VALUE"""),0.035170971875632284)</f>
        <v>0.03517097188</v>
      </c>
    </row>
    <row r="67">
      <c r="P67" s="1">
        <f>IFERROR(__xludf.DUMMYFUNCTION("""COMPUTED_VALUE"""),0.029073986645983676)</f>
        <v>0.02907398665</v>
      </c>
    </row>
    <row r="68">
      <c r="P68" s="1">
        <f>IFERROR(__xludf.DUMMYFUNCTION("""COMPUTED_VALUE"""),0.030422877183516554)</f>
        <v>0.03042287718</v>
      </c>
    </row>
    <row r="69">
      <c r="P69" s="1">
        <f>IFERROR(__xludf.DUMMYFUNCTION("""COMPUTED_VALUE"""),0.020117353476765357)</f>
        <v>0.02011735348</v>
      </c>
    </row>
    <row r="70">
      <c r="P70" s="1">
        <f>IFERROR(__xludf.DUMMYFUNCTION("""COMPUTED_VALUE"""),0.020710865313279828)</f>
        <v>0.02071086531</v>
      </c>
    </row>
    <row r="71">
      <c r="P71" s="1">
        <f>IFERROR(__xludf.DUMMYFUNCTION("""COMPUTED_VALUE"""),0.018714507317731166)</f>
        <v>0.01871450732</v>
      </c>
    </row>
    <row r="72">
      <c r="P72" s="1">
        <f>IFERROR(__xludf.DUMMYFUNCTION("""COMPUTED_VALUE"""),0.7961071019086803)</f>
        <v>0.7961071019</v>
      </c>
    </row>
    <row r="73">
      <c r="P73" s="1">
        <f>IFERROR(__xludf.DUMMYFUNCTION("""COMPUTED_VALUE"""),0.6302475214136374)</f>
        <v>0.6302475214</v>
      </c>
    </row>
    <row r="74">
      <c r="P74" s="1">
        <f>IFERROR(__xludf.DUMMYFUNCTION("""COMPUTED_VALUE"""),0.29102852903486887)</f>
        <v>0.291028529</v>
      </c>
    </row>
    <row r="75">
      <c r="P75" s="1">
        <f>IFERROR(__xludf.DUMMYFUNCTION("""COMPUTED_VALUE"""),0.057724421663182035)</f>
        <v>0.05772442166</v>
      </c>
    </row>
    <row r="76">
      <c r="P76" s="1">
        <f>IFERROR(__xludf.DUMMYFUNCTION("""COMPUTED_VALUE"""),0.06727456666891482)</f>
        <v>0.06727456667</v>
      </c>
    </row>
    <row r="77">
      <c r="P77" s="1">
        <f>IFERROR(__xludf.DUMMYFUNCTION("""COMPUTED_VALUE"""),0.02982936534700209)</f>
        <v>0.02982936535</v>
      </c>
    </row>
    <row r="78">
      <c r="P78" s="1">
        <f>IFERROR(__xludf.DUMMYFUNCTION("""COMPUTED_VALUE"""),0.0)</f>
        <v>0</v>
      </c>
    </row>
    <row r="79">
      <c r="P79" s="1">
        <f>IFERROR(__xludf.DUMMYFUNCTION("""COMPUTED_VALUE"""),0.0)</f>
        <v>0</v>
      </c>
    </row>
    <row r="80">
      <c r="P80" s="1">
        <f>IFERROR(__xludf.DUMMYFUNCTION("""COMPUTED_VALUE"""),0.0)</f>
        <v>0</v>
      </c>
    </row>
    <row r="81">
      <c r="P81" s="1">
        <f>IFERROR(__xludf.DUMMYFUNCTION("""COMPUTED_VALUE"""),0.0034990220543602837)</f>
        <v>0.003499022054</v>
      </c>
    </row>
    <row r="82">
      <c r="P82" s="1">
        <f>IFERROR(__xludf.DUMMYFUNCTION("""COMPUTED_VALUE"""),0.039973022189249335)</f>
        <v>0.03997302219</v>
      </c>
    </row>
    <row r="83">
      <c r="P83" s="1">
        <f>IFERROR(__xludf.DUMMYFUNCTION("""COMPUTED_VALUE"""),0.07067377082349767)</f>
        <v>0.07067377082</v>
      </c>
    </row>
    <row r="84">
      <c r="P84" s="1">
        <f>IFERROR(__xludf.DUMMYFUNCTION("""COMPUTED_VALUE"""),0.05103392459701895)</f>
        <v>0.0510339246</v>
      </c>
    </row>
    <row r="85">
      <c r="P85" s="1">
        <f>IFERROR(__xludf.DUMMYFUNCTION("""COMPUTED_VALUE"""),0.026484116813920544)</f>
        <v>0.02648411681</v>
      </c>
    </row>
    <row r="86">
      <c r="P86" s="1">
        <f>IFERROR(__xludf.DUMMYFUNCTION("""COMPUTED_VALUE"""),0.33446280434342757)</f>
        <v>0.3344628043</v>
      </c>
    </row>
    <row r="87">
      <c r="P87" s="1">
        <f>IFERROR(__xludf.DUMMYFUNCTION("""COMPUTED_VALUE"""),0.3008484521481082)</f>
        <v>0.3008484521</v>
      </c>
    </row>
    <row r="88">
      <c r="P88" s="1">
        <f>IFERROR(__xludf.DUMMYFUNCTION("""COMPUTED_VALUE"""),0.28428407634720443)</f>
        <v>0.2842840763</v>
      </c>
    </row>
    <row r="89">
      <c r="P89" s="1">
        <f>IFERROR(__xludf.DUMMYFUNCTION("""COMPUTED_VALUE"""),0.25719835435354427)</f>
        <v>0.2571983544</v>
      </c>
    </row>
    <row r="90">
      <c r="P90" s="1">
        <f>IFERROR(__xludf.DUMMYFUNCTION("""COMPUTED_VALUE"""),0.21025696364740004)</f>
        <v>0.2102569636</v>
      </c>
    </row>
    <row r="91">
      <c r="P91" s="1">
        <f>IFERROR(__xludf.DUMMYFUNCTION("""COMPUTED_VALUE"""),0.20853038375935795)</f>
        <v>0.2085303838</v>
      </c>
    </row>
    <row r="92">
      <c r="P92" s="1">
        <f>IFERROR(__xludf.DUMMYFUNCTION("""COMPUTED_VALUE"""),0.3855048222836717)</f>
        <v>0.3855048223</v>
      </c>
    </row>
    <row r="93">
      <c r="P93" s="1">
        <f>IFERROR(__xludf.DUMMYFUNCTION("""COMPUTED_VALUE"""),0.32421123625817766)</f>
        <v>0.3242112363</v>
      </c>
    </row>
    <row r="94">
      <c r="P94" s="1">
        <f>IFERROR(__xludf.DUMMYFUNCTION("""COMPUTED_VALUE"""),0.3138517569299252)</f>
        <v>0.3138517569</v>
      </c>
    </row>
    <row r="95">
      <c r="P95" s="1">
        <f>IFERROR(__xludf.DUMMYFUNCTION("""COMPUTED_VALUE"""),0.20281108788021854)</f>
        <v>0.2028110879</v>
      </c>
    </row>
    <row r="96">
      <c r="P96" s="1">
        <f>IFERROR(__xludf.DUMMYFUNCTION("""COMPUTED_VALUE"""),0.26809738989680987)</f>
        <v>0.2680973899</v>
      </c>
    </row>
    <row r="97">
      <c r="P97" s="1">
        <f>IFERROR(__xludf.DUMMYFUNCTION("""COMPUTED_VALUE"""),0.484675254603089)</f>
        <v>0.4846752546</v>
      </c>
    </row>
    <row r="98">
      <c r="P98" s="1">
        <f>IFERROR(__xludf.DUMMYFUNCTION("""COMPUTED_VALUE"""),0.4871572131921495)</f>
        <v>0.4871572132</v>
      </c>
    </row>
    <row r="99">
      <c r="P99" s="1">
        <f>IFERROR(__xludf.DUMMYFUNCTION("""COMPUTED_VALUE"""),0.47431577527483654)</f>
        <v>0.4743157753</v>
      </c>
    </row>
    <row r="100">
      <c r="P100" s="1">
        <f>IFERROR(__xludf.DUMMYFUNCTION("""COMPUTED_VALUE"""),0.4325541242328185)</f>
        <v>0.4325541242</v>
      </c>
    </row>
    <row r="101">
      <c r="P101" s="1">
        <f>IFERROR(__xludf.DUMMYFUNCTION("""COMPUTED_VALUE"""),0.3572320766169826)</f>
        <v>0.3572320766</v>
      </c>
    </row>
    <row r="102">
      <c r="P102" s="1">
        <f>IFERROR(__xludf.DUMMYFUNCTION("""COMPUTED_VALUE"""),0.29949956161057534)</f>
        <v>0.2994995616</v>
      </c>
    </row>
    <row r="103">
      <c r="P103" s="1">
        <f>IFERROR(__xludf.DUMMYFUNCTION("""COMPUTED_VALUE"""),0.25552573008700347)</f>
        <v>0.2555257301</v>
      </c>
    </row>
    <row r="104">
      <c r="P104" s="1">
        <f>IFERROR(__xludf.DUMMYFUNCTION("""COMPUTED_VALUE"""),0.43384905914885014)</f>
        <v>0.4338490591</v>
      </c>
    </row>
    <row r="105">
      <c r="P105" s="1">
        <f>IFERROR(__xludf.DUMMYFUNCTION("""COMPUTED_VALUE"""),0.3704512038848048)</f>
        <v>0.3704512039</v>
      </c>
    </row>
    <row r="106">
      <c r="P106" s="1">
        <f>IFERROR(__xludf.DUMMYFUNCTION("""COMPUTED_VALUE"""),0.3078626829432792)</f>
        <v>0.3078626829</v>
      </c>
    </row>
    <row r="107">
      <c r="P107" s="1">
        <f>IFERROR(__xludf.DUMMYFUNCTION("""COMPUTED_VALUE"""),0.25973426856410603)</f>
        <v>0.2597342686</v>
      </c>
    </row>
    <row r="108">
      <c r="P108" s="1">
        <f>IFERROR(__xludf.DUMMYFUNCTION("""COMPUTED_VALUE"""),0.22390773588723278)</f>
        <v>0.2239077359</v>
      </c>
    </row>
    <row r="109">
      <c r="P109" s="1">
        <f>IFERROR(__xludf.DUMMYFUNCTION("""COMPUTED_VALUE"""),0.184574087812774)</f>
        <v>0.1845740878</v>
      </c>
    </row>
    <row r="110">
      <c r="P110" s="1">
        <f>IFERROR(__xludf.DUMMYFUNCTION("""COMPUTED_VALUE"""),0.23318810278545898)</f>
        <v>0.2331881028</v>
      </c>
    </row>
    <row r="111">
      <c r="P111" s="1">
        <f>IFERROR(__xludf.DUMMYFUNCTION("""COMPUTED_VALUE"""),0.2246631145882512)</f>
        <v>0.2246631146</v>
      </c>
    </row>
    <row r="112">
      <c r="P112" s="1">
        <f>IFERROR(__xludf.DUMMYFUNCTION("""COMPUTED_VALUE"""),0.22104808794766306)</f>
        <v>0.2210480879</v>
      </c>
    </row>
    <row r="113">
      <c r="P113" s="1">
        <f>IFERROR(__xludf.DUMMYFUNCTION("""COMPUTED_VALUE"""),0.19255951979496866)</f>
        <v>0.1925595198</v>
      </c>
    </row>
    <row r="114">
      <c r="P114" s="1">
        <f>IFERROR(__xludf.DUMMYFUNCTION("""COMPUTED_VALUE"""),0.17227220611047414)</f>
        <v>0.1722722061</v>
      </c>
    </row>
    <row r="115">
      <c r="P115" s="1">
        <f>IFERROR(__xludf.DUMMYFUNCTION("""COMPUTED_VALUE"""),0.15684089836109802)</f>
        <v>0.1568408984</v>
      </c>
    </row>
    <row r="116">
      <c r="P116" s="1">
        <f>IFERROR(__xludf.DUMMYFUNCTION("""COMPUTED_VALUE"""),0.13952114385917583)</f>
        <v>0.1395211439</v>
      </c>
    </row>
    <row r="117">
      <c r="P117" s="1">
        <f>IFERROR(__xludf.DUMMYFUNCTION("""COMPUTED_VALUE"""),0.11858636271666553)</f>
        <v>0.1185863627</v>
      </c>
    </row>
    <row r="118">
      <c r="P118" s="1">
        <f>IFERROR(__xludf.DUMMYFUNCTION("""COMPUTED_VALUE"""),0.10018749578471708)</f>
        <v>0.1001874958</v>
      </c>
    </row>
    <row r="119">
      <c r="P119" s="1">
        <f>IFERROR(__xludf.DUMMYFUNCTION("""COMPUTED_VALUE"""),0.09166250758750928)</f>
        <v>0.09166250759</v>
      </c>
    </row>
    <row r="120">
      <c r="P120" s="1">
        <f>IFERROR(__xludf.DUMMYFUNCTION("""COMPUTED_VALUE"""),0.09743575908815)</f>
        <v>0.09743575909</v>
      </c>
    </row>
    <row r="121">
      <c r="P121" s="1">
        <f>IFERROR(__xludf.DUMMYFUNCTION("""COMPUTED_VALUE"""),0.08702232413839617)</f>
        <v>0.08702232414</v>
      </c>
    </row>
    <row r="122">
      <c r="P122" s="1">
        <f>IFERROR(__xludf.DUMMYFUNCTION("""COMPUTED_VALUE"""),0.3725015175018548)</f>
        <v>0.3725015175</v>
      </c>
    </row>
    <row r="123">
      <c r="P123" s="1">
        <f>IFERROR(__xludf.DUMMYFUNCTION("""COMPUTED_VALUE"""),0.32297025696364745)</f>
        <v>0.322970257</v>
      </c>
    </row>
    <row r="124">
      <c r="P124" s="1">
        <f>IFERROR(__xludf.DUMMYFUNCTION("""COMPUTED_VALUE"""),0.2467849194037904)</f>
        <v>0.2467849194</v>
      </c>
    </row>
    <row r="125">
      <c r="P125" s="1">
        <f>IFERROR(__xludf.DUMMYFUNCTION("""COMPUTED_VALUE"""),0.17987994874215957)</f>
        <v>0.1798799487</v>
      </c>
    </row>
    <row r="126">
      <c r="P126" s="1">
        <f>IFERROR(__xludf.DUMMYFUNCTION("""COMPUTED_VALUE"""),0.13342415862952722)</f>
        <v>0.1334241586</v>
      </c>
    </row>
    <row r="127">
      <c r="P127" s="1">
        <f>IFERROR(__xludf.DUMMYFUNCTION("""COMPUTED_VALUE"""),0.06716665542591219)</f>
        <v>0.06716665543</v>
      </c>
    </row>
    <row r="128">
      <c r="P128" s="1">
        <f>IFERROR(__xludf.DUMMYFUNCTION("""COMPUTED_VALUE"""),0.023894246981857423)</f>
        <v>0.02389424698</v>
      </c>
    </row>
    <row r="129">
      <c r="P129" s="1">
        <f>IFERROR(__xludf.DUMMYFUNCTION("""COMPUTED_VALUE"""),0.05281446010656236)</f>
        <v>0.05281446011</v>
      </c>
    </row>
    <row r="130">
      <c r="P130" s="1">
        <f>IFERROR(__xludf.DUMMYFUNCTION("""COMPUTED_VALUE"""),0.07412693059958185)</f>
        <v>0.0741269306</v>
      </c>
    </row>
    <row r="131">
      <c r="P131" s="1">
        <f>IFERROR(__xludf.DUMMYFUNCTION("""COMPUTED_VALUE"""),0.08259796317528832)</f>
        <v>0.08259796318</v>
      </c>
    </row>
    <row r="132">
      <c r="P132" s="1">
        <f>IFERROR(__xludf.DUMMYFUNCTION("""COMPUTED_VALUE"""),0.10288527685978284)</f>
        <v>0.1028852769</v>
      </c>
    </row>
    <row r="133">
      <c r="P133" s="1">
        <f>IFERROR(__xludf.DUMMYFUNCTION("""COMPUTED_VALUE"""),0.5047467458015783)</f>
        <v>0.5047467458</v>
      </c>
    </row>
    <row r="134">
      <c r="P134" s="1">
        <f>IFERROR(__xludf.DUMMYFUNCTION("""COMPUTED_VALUE"""),0.33581169488096047)</f>
        <v>0.3358116949</v>
      </c>
    </row>
    <row r="135">
      <c r="P135" s="1">
        <f>IFERROR(__xludf.DUMMYFUNCTION("""COMPUTED_VALUE"""),0.3306859108383355)</f>
        <v>0.3306859108</v>
      </c>
    </row>
    <row r="136">
      <c r="P136" s="1">
        <f>IFERROR(__xludf.DUMMYFUNCTION("""COMPUTED_VALUE"""),0.29912187226006615)</f>
        <v>0.2991218723</v>
      </c>
    </row>
    <row r="137">
      <c r="P137" s="1">
        <f>IFERROR(__xludf.DUMMYFUNCTION("""COMPUTED_VALUE"""),0.2714426384298914)</f>
        <v>0.2714426384</v>
      </c>
    </row>
    <row r="138">
      <c r="P138" s="1">
        <f>IFERROR(__xludf.DUMMYFUNCTION("""COMPUTED_VALUE"""),0.2342672152154853)</f>
        <v>0.2342672152</v>
      </c>
    </row>
    <row r="139">
      <c r="P139" s="1">
        <f>IFERROR(__xludf.DUMMYFUNCTION("""COMPUTED_VALUE"""),0.19860254940311595)</f>
        <v>0.1986025494</v>
      </c>
    </row>
    <row r="140">
      <c r="P140" s="1">
        <f>IFERROR(__xludf.DUMMYFUNCTION("""COMPUTED_VALUE"""),0.17955621501315172)</f>
        <v>0.179556215</v>
      </c>
    </row>
    <row r="141">
      <c r="P141" s="1">
        <f>IFERROR(__xludf.DUMMYFUNCTION("""COMPUTED_VALUE"""),0.37174613880083635)</f>
        <v>0.3717461388</v>
      </c>
    </row>
    <row r="142">
      <c r="P142" s="1">
        <f>IFERROR(__xludf.DUMMYFUNCTION("""COMPUTED_VALUE"""),0.327340662305254)</f>
        <v>0.3273406623</v>
      </c>
    </row>
    <row r="143">
      <c r="P143" s="1">
        <f>IFERROR(__xludf.DUMMYFUNCTION("""COMPUTED_VALUE"""),0.3071073042422608)</f>
        <v>0.3071073042</v>
      </c>
    </row>
    <row r="144">
      <c r="P144" s="1">
        <f>IFERROR(__xludf.DUMMYFUNCTION("""COMPUTED_VALUE"""),0.5727847845147367)</f>
        <v>0.5727847845</v>
      </c>
    </row>
    <row r="145">
      <c r="P145" s="1">
        <f>IFERROR(__xludf.DUMMYFUNCTION("""COMPUTED_VALUE"""),0.9948796115195254)</f>
        <v>0.9948796115</v>
      </c>
    </row>
    <row r="146">
      <c r="P146" s="1">
        <f>IFERROR(__xludf.DUMMYFUNCTION("""COMPUTED_VALUE"""),0.13838807580764823)</f>
        <v>0.1383880758</v>
      </c>
    </row>
    <row r="147">
      <c r="P147" s="1">
        <f>IFERROR(__xludf.DUMMYFUNCTION("""COMPUTED_VALUE"""),0.07704053416065286)</f>
        <v>0.07704053416</v>
      </c>
    </row>
    <row r="148">
      <c r="P148" s="1">
        <f>IFERROR(__xludf.DUMMYFUNCTION("""COMPUTED_VALUE"""),0.07207661698253187)</f>
        <v>0.07207661698</v>
      </c>
    </row>
    <row r="149">
      <c r="P149" s="1">
        <f>IFERROR(__xludf.DUMMYFUNCTION("""COMPUTED_VALUE"""),0.05540432993862548)</f>
        <v>0.05540432994</v>
      </c>
    </row>
    <row r="150">
      <c r="P150" s="1">
        <f>IFERROR(__xludf.DUMMYFUNCTION("""COMPUTED_VALUE"""),0.04639374114790584)</f>
        <v>0.04639374115</v>
      </c>
    </row>
    <row r="151">
      <c r="P151" s="1">
        <f>IFERROR(__xludf.DUMMYFUNCTION("""COMPUTED_VALUE"""),0.055835974910635994)</f>
        <v>0.05583597491</v>
      </c>
    </row>
    <row r="152">
      <c r="P152" s="1">
        <f>IFERROR(__xludf.DUMMYFUNCTION("""COMPUTED_VALUE"""),0.04391178255884535)</f>
        <v>0.04391178256</v>
      </c>
    </row>
    <row r="153">
      <c r="P153" s="1">
        <f>IFERROR(__xludf.DUMMYFUNCTION("""COMPUTED_VALUE"""),0.03830039792270856)</f>
        <v>0.03830039792</v>
      </c>
    </row>
    <row r="154">
      <c r="P154" s="1">
        <f>IFERROR(__xludf.DUMMYFUNCTION("""COMPUTED_VALUE"""),0.03425372631010993)</f>
        <v>0.03425372631</v>
      </c>
    </row>
    <row r="155">
      <c r="P155" s="1">
        <f>IFERROR(__xludf.DUMMYFUNCTION("""COMPUTED_VALUE"""),0.030261010319012613)</f>
        <v>0.03026101032</v>
      </c>
    </row>
    <row r="156">
      <c r="P156" s="1">
        <f>IFERROR(__xludf.DUMMYFUNCTION("""COMPUTED_VALUE"""),0.05340797194307682)</f>
        <v>0.05340797194</v>
      </c>
    </row>
    <row r="157">
      <c r="P157" s="1">
        <f>IFERROR(__xludf.DUMMYFUNCTION("""COMPUTED_VALUE"""),0.04849801038645714)</f>
        <v>0.04849801039</v>
      </c>
    </row>
    <row r="158">
      <c r="P158" s="1">
        <f>IFERROR(__xludf.DUMMYFUNCTION("""COMPUTED_VALUE"""),0.5891333378296352)</f>
        <v>0.5891333378</v>
      </c>
    </row>
    <row r="159">
      <c r="P159" s="1">
        <f>IFERROR(__xludf.DUMMYFUNCTION("""COMPUTED_VALUE"""),0.4820853847710259)</f>
        <v>0.4820853848</v>
      </c>
    </row>
    <row r="160">
      <c r="P160" s="1">
        <f>IFERROR(__xludf.DUMMYFUNCTION("""COMPUTED_VALUE"""),0.39300465367235454)</f>
        <v>0.3930046537</v>
      </c>
    </row>
    <row r="161">
      <c r="P161" s="1">
        <f>IFERROR(__xludf.DUMMYFUNCTION("""COMPUTED_VALUE"""),0.31633371551898565)</f>
        <v>0.3163337155</v>
      </c>
    </row>
    <row r="162">
      <c r="P162" s="1">
        <f>IFERROR(__xludf.DUMMYFUNCTION("""COMPUTED_VALUE"""),0.26108315910163893)</f>
        <v>0.2610831591</v>
      </c>
    </row>
    <row r="163">
      <c r="P163" s="1">
        <f>IFERROR(__xludf.DUMMYFUNCTION("""COMPUTED_VALUE"""),0.2297349430093748)</f>
        <v>0.229734943</v>
      </c>
    </row>
    <row r="164">
      <c r="P164" s="1">
        <f>IFERROR(__xludf.DUMMYFUNCTION("""COMPUTED_VALUE"""),0.1922897416874621)</f>
        <v>0.1922897417</v>
      </c>
    </row>
    <row r="165">
      <c r="P165" s="1">
        <f>IFERROR(__xludf.DUMMYFUNCTION("""COMPUTED_VALUE"""),0.16488028596479395)</f>
        <v>0.164880286</v>
      </c>
    </row>
    <row r="166">
      <c r="P166" s="1">
        <f>IFERROR(__xludf.DUMMYFUNCTION("""COMPUTED_VALUE"""),0.13358602549403117)</f>
        <v>0.1335860255</v>
      </c>
    </row>
    <row r="167">
      <c r="P167" s="1">
        <f>IFERROR(__xludf.DUMMYFUNCTION("""COMPUTED_VALUE"""),0.09047548391448035)</f>
        <v>0.09047548391</v>
      </c>
    </row>
    <row r="168">
      <c r="P168" s="1">
        <f>IFERROR(__xludf.DUMMYFUNCTION("""COMPUTED_VALUE"""),0.2012463748566804)</f>
        <v>0.2012463749</v>
      </c>
    </row>
    <row r="169">
      <c r="P169" s="1">
        <f>IFERROR(__xludf.DUMMYFUNCTION("""COMPUTED_VALUE"""),0.16207459364672558)</f>
        <v>0.1620745936</v>
      </c>
    </row>
    <row r="170">
      <c r="P170" s="1">
        <f>IFERROR(__xludf.DUMMYFUNCTION("""COMPUTED_VALUE"""),0.5782882579078709)</f>
        <v>0.5782882579</v>
      </c>
    </row>
    <row r="171">
      <c r="P171" s="1">
        <f>IFERROR(__xludf.DUMMYFUNCTION("""COMPUTED_VALUE"""),0.49519660079584543)</f>
        <v>0.4951966008</v>
      </c>
    </row>
    <row r="172">
      <c r="P172" s="1">
        <f>IFERROR(__xludf.DUMMYFUNCTION("""COMPUTED_VALUE"""),0.3903608282187901)</f>
        <v>0.3903608282</v>
      </c>
    </row>
    <row r="173">
      <c r="P173" s="1">
        <f>IFERROR(__xludf.DUMMYFUNCTION("""COMPUTED_VALUE"""),0.32129763269710665)</f>
        <v>0.3212976327</v>
      </c>
    </row>
    <row r="174">
      <c r="P174" s="1">
        <f>IFERROR(__xludf.DUMMYFUNCTION("""COMPUTED_VALUE"""),0.43330950293383697)</f>
        <v>0.4333095029</v>
      </c>
    </row>
    <row r="175">
      <c r="P175" s="1">
        <f>IFERROR(__xludf.DUMMYFUNCTION("""COMPUTED_VALUE"""),0.3552896742429352)</f>
        <v>0.3552896742</v>
      </c>
    </row>
    <row r="176">
      <c r="P176" s="1">
        <f>IFERROR(__xludf.DUMMYFUNCTION("""COMPUTED_VALUE"""),0.33073986645983683)</f>
        <v>0.3307398665</v>
      </c>
    </row>
    <row r="177">
      <c r="P177" s="1">
        <f>IFERROR(__xludf.DUMMYFUNCTION("""COMPUTED_VALUE"""),0.27187428340190195)</f>
        <v>0.2718742834</v>
      </c>
    </row>
    <row r="178">
      <c r="P178" s="1">
        <f>IFERROR(__xludf.DUMMYFUNCTION("""COMPUTED_VALUE"""),0.22094017670466043)</f>
        <v>0.2209401767</v>
      </c>
    </row>
    <row r="179">
      <c r="P179" s="1">
        <f>IFERROR(__xludf.DUMMYFUNCTION("""COMPUTED_VALUE"""),0.23291832467795243)</f>
        <v>0.2329183247</v>
      </c>
    </row>
    <row r="180">
      <c r="P180" s="1">
        <f>IFERROR(__xludf.DUMMYFUNCTION("""COMPUTED_VALUE"""),0.2637269845552033)</f>
        <v>0.2637269846</v>
      </c>
    </row>
    <row r="181">
      <c r="P181" s="1">
        <f>IFERROR(__xludf.DUMMYFUNCTION("""COMPUTED_VALUE"""),0.272737573345923)</f>
        <v>0.2727375733</v>
      </c>
    </row>
    <row r="182">
      <c r="P182" s="1">
        <f>IFERROR(__xludf.DUMMYFUNCTION("""COMPUTED_VALUE"""),0.6094746071356311)</f>
        <v>0.6094746071</v>
      </c>
    </row>
    <row r="183">
      <c r="P183" s="1">
        <f>IFERROR(__xludf.DUMMYFUNCTION("""COMPUTED_VALUE"""),0.5319943346597424)</f>
        <v>0.5319943347</v>
      </c>
    </row>
    <row r="184">
      <c r="P184" s="1">
        <f>IFERROR(__xludf.DUMMYFUNCTION("""COMPUTED_VALUE"""),0.48483712146759295)</f>
        <v>0.4848371215</v>
      </c>
    </row>
    <row r="185">
      <c r="P185" s="1">
        <f>IFERROR(__xludf.DUMMYFUNCTION("""COMPUTED_VALUE"""),0.3060821474337358)</f>
        <v>0.3060821474</v>
      </c>
    </row>
    <row r="186">
      <c r="P186" s="1">
        <f>IFERROR(__xludf.DUMMYFUNCTION("""COMPUTED_VALUE"""),0.07579955486612261)</f>
        <v>0.07579955487</v>
      </c>
    </row>
    <row r="187">
      <c r="P187" s="1">
        <f>IFERROR(__xludf.DUMMYFUNCTION("""COMPUTED_VALUE"""),0.0)</f>
        <v>0</v>
      </c>
    </row>
    <row r="188">
      <c r="P188" s="1">
        <f>IFERROR(__xludf.DUMMYFUNCTION("""COMPUTED_VALUE"""),0.25142510285290354)</f>
        <v>0.2514251029</v>
      </c>
    </row>
    <row r="189">
      <c r="P189" s="1">
        <f>IFERROR(__xludf.DUMMYFUNCTION("""COMPUTED_VALUE"""),0.3601996357995549)</f>
        <v>0.3601996358</v>
      </c>
    </row>
    <row r="190">
      <c r="P190" s="1">
        <f>IFERROR(__xludf.DUMMYFUNCTION("""COMPUTED_VALUE"""),0.17200242800296756)</f>
        <v>0.172002428</v>
      </c>
    </row>
    <row r="191">
      <c r="P191" s="1">
        <f>IFERROR(__xludf.DUMMYFUNCTION("""COMPUTED_VALUE"""),0.29345653200242805)</f>
        <v>0.293456532</v>
      </c>
    </row>
    <row r="192">
      <c r="P192" s="1">
        <f>IFERROR(__xludf.DUMMYFUNCTION("""COMPUTED_VALUE"""),0.2621622715316652)</f>
        <v>0.2621622715</v>
      </c>
    </row>
    <row r="193">
      <c r="P193" s="1">
        <f>IFERROR(__xludf.DUMMYFUNCTION("""COMPUTED_VALUE"""),0.39780670398597157)</f>
        <v>0.397806704</v>
      </c>
    </row>
    <row r="194">
      <c r="P194" s="1">
        <f>IFERROR(__xludf.DUMMYFUNCTION("""COMPUTED_VALUE"""),1.0)</f>
        <v>1</v>
      </c>
    </row>
    <row r="195">
      <c r="P195" s="1">
        <f>IFERROR(__xludf.DUMMYFUNCTION("""COMPUTED_VALUE"""),1.0)</f>
        <v>1</v>
      </c>
    </row>
    <row r="196">
      <c r="P196" s="1">
        <f>IFERROR(__xludf.DUMMYFUNCTION("""COMPUTED_VALUE"""),1.0)</f>
        <v>1</v>
      </c>
    </row>
    <row r="197">
      <c r="P197" s="1">
        <f>IFERROR(__xludf.DUMMYFUNCTION("""COMPUTED_VALUE"""),0.6816132730828894)</f>
        <v>0.6816132731</v>
      </c>
    </row>
    <row r="198">
      <c r="P198" s="1">
        <f>IFERROR(__xludf.DUMMYFUNCTION("""COMPUTED_VALUE"""),0.7726364065556083)</f>
        <v>0.7726364066</v>
      </c>
    </row>
    <row r="199">
      <c r="P199" s="1">
        <f>IFERROR(__xludf.DUMMYFUNCTION("""COMPUTED_VALUE"""),1.0)</f>
        <v>1</v>
      </c>
    </row>
    <row r="200">
      <c r="P200" s="1">
        <f>IFERROR(__xludf.DUMMYFUNCTION("""COMPUTED_VALUE"""),1.0)</f>
        <v>1</v>
      </c>
    </row>
    <row r="201">
      <c r="P201" s="1">
        <f>IFERROR(__xludf.DUMMYFUNCTION("""COMPUTED_VALUE"""),1.0)</f>
        <v>1</v>
      </c>
    </row>
    <row r="202">
      <c r="P202" s="1">
        <f>IFERROR(__xludf.DUMMYFUNCTION("""COMPUTED_VALUE"""),1.0)</f>
        <v>1</v>
      </c>
    </row>
    <row r="203">
      <c r="P203" s="1">
        <f>IFERROR(__xludf.DUMMYFUNCTION("""COMPUTED_VALUE"""),0.9705456262224322)</f>
        <v>0.9705456262</v>
      </c>
    </row>
    <row r="204">
      <c r="P204" s="1">
        <f>IFERROR(__xludf.DUMMYFUNCTION("""COMPUTED_VALUE"""),0.6687178795440751)</f>
        <v>0.6687178795</v>
      </c>
    </row>
    <row r="205">
      <c r="P205" s="1">
        <f>IFERROR(__xludf.DUMMYFUNCTION("""COMPUTED_VALUE"""),0.49821811559991913)</f>
        <v>0.4982181156</v>
      </c>
    </row>
    <row r="206">
      <c r="P206" s="1">
        <f>IFERROR(__xludf.DUMMYFUNCTION("""COMPUTED_VALUE"""),0.09840696027517368)</f>
        <v>0.09840696028</v>
      </c>
    </row>
    <row r="207">
      <c r="P207" s="1">
        <f>IFERROR(__xludf.DUMMYFUNCTION("""COMPUTED_VALUE"""),0.10444998988332098)</f>
        <v>0.1044499899</v>
      </c>
    </row>
    <row r="208">
      <c r="P208" s="1">
        <f>IFERROR(__xludf.DUMMYFUNCTION("""COMPUTED_VALUE"""),0.08507992176434884)</f>
        <v>0.08507992176</v>
      </c>
    </row>
    <row r="209">
      <c r="P209" s="1">
        <f>IFERROR(__xludf.DUMMYFUNCTION("""COMPUTED_VALUE"""),0.07315572941255817)</f>
        <v>0.07315572941</v>
      </c>
    </row>
    <row r="210">
      <c r="P210" s="1">
        <f>IFERROR(__xludf.DUMMYFUNCTION("""COMPUTED_VALUE"""),0.06889323531395426)</f>
        <v>0.06889323531</v>
      </c>
    </row>
    <row r="211">
      <c r="P211" s="1">
        <f>IFERROR(__xludf.DUMMYFUNCTION("""COMPUTED_VALUE"""),0.051897214541039995)</f>
        <v>0.05189721454</v>
      </c>
    </row>
    <row r="212">
      <c r="P212" s="1">
        <f>IFERROR(__xludf.DUMMYFUNCTION("""COMPUTED_VALUE"""),0.06355162878532407)</f>
        <v>0.06355162879</v>
      </c>
    </row>
    <row r="213">
      <c r="P213" s="1">
        <f>IFERROR(__xludf.DUMMYFUNCTION("""COMPUTED_VALUE"""),0.04617791866190059)</f>
        <v>0.04617791866</v>
      </c>
    </row>
    <row r="214">
      <c r="P214" s="1">
        <f>IFERROR(__xludf.DUMMYFUNCTION("""COMPUTED_VALUE"""),0.058803534093208334)</f>
        <v>0.05880353409</v>
      </c>
    </row>
    <row r="215">
      <c r="P215" s="1">
        <f>IFERROR(__xludf.DUMMYFUNCTION("""COMPUTED_VALUE"""),0.059343090308221484)</f>
        <v>0.05934309031</v>
      </c>
    </row>
    <row r="216">
      <c r="P216" s="1">
        <f>IFERROR(__xludf.DUMMYFUNCTION("""COMPUTED_VALUE"""),0.05400148377959128)</f>
        <v>0.05400148378</v>
      </c>
    </row>
    <row r="217">
      <c r="P217" s="1">
        <f>IFERROR(__xludf.DUMMYFUNCTION("""COMPUTED_VALUE"""),0.0632818506778175)</f>
        <v>0.06328185068</v>
      </c>
    </row>
    <row r="218">
      <c r="P218" s="1">
        <f>IFERROR(__xludf.DUMMYFUNCTION("""COMPUTED_VALUE"""),0.07871315842719365)</f>
        <v>0.07871315843</v>
      </c>
    </row>
    <row r="219">
      <c r="P219" s="1">
        <f>IFERROR(__xludf.DUMMYFUNCTION("""COMPUTED_VALUE"""),0.08232818506778175)</f>
        <v>0.08232818507</v>
      </c>
    </row>
    <row r="220">
      <c r="P220" s="1">
        <f>IFERROR(__xludf.DUMMYFUNCTION("""COMPUTED_VALUE"""),0.10790314965940515)</f>
        <v>0.1079031497</v>
      </c>
    </row>
    <row r="221">
      <c r="P221" s="1">
        <f>IFERROR(__xludf.DUMMYFUNCTION("""COMPUTED_VALUE"""),0.11880218520267082)</f>
        <v>0.1188021852</v>
      </c>
    </row>
    <row r="222">
      <c r="P222" s="1">
        <f>IFERROR(__xludf.DUMMYFUNCTION("""COMPUTED_VALUE"""),0.11281311121602483)</f>
        <v>0.1128131112</v>
      </c>
    </row>
    <row r="223">
      <c r="P223" s="1">
        <f>IFERROR(__xludf.DUMMYFUNCTION("""COMPUTED_VALUE"""),0.10272340999527889)</f>
        <v>0.10272341</v>
      </c>
    </row>
    <row r="224">
      <c r="P224" s="1">
        <f>IFERROR(__xludf.DUMMYFUNCTION("""COMPUTED_VALUE"""),0.09214810818102111)</f>
        <v>0.09214810818</v>
      </c>
    </row>
    <row r="225">
      <c r="P225" s="1">
        <f>IFERROR(__xludf.DUMMYFUNCTION("""COMPUTED_VALUE"""),0.0732636406555608)</f>
        <v>0.07326364066</v>
      </c>
    </row>
    <row r="226">
      <c r="P226" s="1">
        <f>IFERROR(__xludf.DUMMYFUNCTION("""COMPUTED_VALUE"""),0.06549403115937141)</f>
        <v>0.06549403116</v>
      </c>
    </row>
    <row r="227">
      <c r="P227" s="1">
        <f>IFERROR(__xludf.DUMMYFUNCTION("""COMPUTED_VALUE"""),0.050116679031496594)</f>
        <v>0.05011667903</v>
      </c>
    </row>
    <row r="228">
      <c r="P228" s="1">
        <f>IFERROR(__xludf.DUMMYFUNCTION("""COMPUTED_VALUE"""),0.04072840089026775)</f>
        <v>0.04072840089</v>
      </c>
    </row>
    <row r="229">
      <c r="P229" s="1">
        <f>IFERROR(__xludf.DUMMYFUNCTION("""COMPUTED_VALUE"""),0.03975719970324408)</f>
        <v>0.0397571997</v>
      </c>
    </row>
    <row r="230">
      <c r="P230" s="1">
        <f>IFERROR(__xludf.DUMMYFUNCTION("""COMPUTED_VALUE"""),0.26637081000876783)</f>
        <v>0.26637081</v>
      </c>
    </row>
    <row r="231">
      <c r="P231" s="1">
        <f>IFERROR(__xludf.DUMMYFUNCTION("""COMPUTED_VALUE"""),0.5438645713900317)</f>
        <v>0.5438645714</v>
      </c>
    </row>
    <row r="232">
      <c r="P232" s="1">
        <f>IFERROR(__xludf.DUMMYFUNCTION("""COMPUTED_VALUE"""),0.5206096985229649)</f>
        <v>0.5206096985</v>
      </c>
    </row>
    <row r="233">
      <c r="P233" s="1">
        <f>IFERROR(__xludf.DUMMYFUNCTION("""COMPUTED_VALUE"""),0.47884804748094695)</f>
        <v>0.4788480475</v>
      </c>
    </row>
    <row r="234">
      <c r="P234" s="1">
        <f>IFERROR(__xludf.DUMMYFUNCTION("""COMPUTED_VALUE"""),0.39446145545289)</f>
        <v>0.3944614555</v>
      </c>
    </row>
    <row r="235">
      <c r="P235" s="1">
        <f>IFERROR(__xludf.DUMMYFUNCTION("""COMPUTED_VALUE"""),0.3289053753287921)</f>
        <v>0.3289053753</v>
      </c>
    </row>
    <row r="236">
      <c r="P236" s="1">
        <f>IFERROR(__xludf.DUMMYFUNCTION("""COMPUTED_VALUE"""),0.34908477777028396)</f>
        <v>0.3490847778</v>
      </c>
    </row>
    <row r="237">
      <c r="P237" s="1">
        <f>IFERROR(__xludf.DUMMYFUNCTION("""COMPUTED_VALUE"""),0.3171970054630067)</f>
        <v>0.3171970055</v>
      </c>
    </row>
    <row r="238">
      <c r="P238" s="1">
        <f>IFERROR(__xludf.DUMMYFUNCTION("""COMPUTED_VALUE"""),0.5343683820058003)</f>
        <v>0.534368382</v>
      </c>
    </row>
    <row r="239">
      <c r="P239" s="1">
        <f>IFERROR(__xludf.DUMMYFUNCTION("""COMPUTED_VALUE"""),0.5322641127672489)</f>
        <v>0.5322641128</v>
      </c>
    </row>
    <row r="240">
      <c r="P240" s="1">
        <f>IFERROR(__xludf.DUMMYFUNCTION("""COMPUTED_VALUE"""),0.4208997099885345)</f>
        <v>0.42089971</v>
      </c>
    </row>
    <row r="241">
      <c r="P241" s="1">
        <f>IFERROR(__xludf.DUMMYFUNCTION("""COMPUTED_VALUE"""),0.4016915087340663)</f>
        <v>0.4016915087</v>
      </c>
    </row>
    <row r="242">
      <c r="P242" s="1">
        <f>IFERROR(__xludf.DUMMYFUNCTION("""COMPUTED_VALUE"""),0.45758953260942875)</f>
        <v>0.4575895326</v>
      </c>
    </row>
    <row r="243">
      <c r="P243" s="1">
        <f>IFERROR(__xludf.DUMMYFUNCTION("""COMPUTED_VALUE"""),0.3942456329668848)</f>
        <v>0.394245633</v>
      </c>
    </row>
    <row r="244">
      <c r="P244" s="1">
        <f>IFERROR(__xludf.DUMMYFUNCTION("""COMPUTED_VALUE"""),0.32507452620219873)</f>
        <v>0.3250745262</v>
      </c>
    </row>
    <row r="245">
      <c r="P245" s="1">
        <f>IFERROR(__xludf.DUMMYFUNCTION("""COMPUTED_VALUE"""),0.20254130977271195)</f>
        <v>0.2025413098</v>
      </c>
    </row>
    <row r="246">
      <c r="P246" s="1">
        <f>IFERROR(__xludf.DUMMYFUNCTION("""COMPUTED_VALUE"""),0.12414379173130101)</f>
        <v>0.1241437917</v>
      </c>
    </row>
    <row r="247">
      <c r="P247" s="1">
        <f>IFERROR(__xludf.DUMMYFUNCTION("""COMPUTED_VALUE"""),0.10817292776691172)</f>
        <v>0.1081729278</v>
      </c>
    </row>
    <row r="248">
      <c r="P248" s="1">
        <f>IFERROR(__xludf.DUMMYFUNCTION("""COMPUTED_VALUE"""),0.002581776488837926)</f>
        <v>0.002581776489</v>
      </c>
    </row>
    <row r="249">
      <c r="P249" s="1">
        <f>IFERROR(__xludf.DUMMYFUNCTION("""COMPUTED_VALUE"""),0.0)</f>
        <v>0</v>
      </c>
    </row>
    <row r="250">
      <c r="P250" s="1">
        <f>IFERROR(__xludf.DUMMYFUNCTION("""COMPUTED_VALUE"""),0.0)</f>
        <v>0</v>
      </c>
    </row>
    <row r="251">
      <c r="P251" s="1">
        <f>IFERROR(__xludf.DUMMYFUNCTION("""COMPUTED_VALUE"""),0.07472044243609631)</f>
        <v>0.07472044244</v>
      </c>
    </row>
    <row r="252">
      <c r="P252" s="1">
        <f>IFERROR(__xludf.DUMMYFUNCTION("""COMPUTED_VALUE"""),0.11146422067849196)</f>
        <v>0.1114642207</v>
      </c>
    </row>
    <row r="253">
      <c r="P253" s="1">
        <f>IFERROR(__xludf.DUMMYFUNCTION("""COMPUTED_VALUE"""),1.0)</f>
        <v>1</v>
      </c>
    </row>
    <row r="254">
      <c r="P254" s="1">
        <f>IFERROR(__xludf.DUMMYFUNCTION("""COMPUTED_VALUE"""),0.2346988601874958)</f>
        <v>0.2346988602</v>
      </c>
    </row>
    <row r="255">
      <c r="P255" s="1">
        <f>IFERROR(__xludf.DUMMYFUNCTION("""COMPUTED_VALUE"""),0.20394415593174614)</f>
        <v>0.2039441559</v>
      </c>
    </row>
    <row r="256">
      <c r="P256" s="1">
        <f>IFERROR(__xludf.DUMMYFUNCTION("""COMPUTED_VALUE"""),0.17912457004114116)</f>
        <v>0.17912457</v>
      </c>
    </row>
    <row r="257">
      <c r="P257" s="1">
        <f>IFERROR(__xludf.DUMMYFUNCTION("""COMPUTED_VALUE"""),0.06204087138328725)</f>
        <v>0.06204087138</v>
      </c>
    </row>
    <row r="258">
      <c r="P258" s="1">
        <f>IFERROR(__xludf.DUMMYFUNCTION("""COMPUTED_VALUE"""),0.053947528158089966)</f>
        <v>0.05394752816</v>
      </c>
    </row>
    <row r="259">
      <c r="P259" s="1">
        <f>IFERROR(__xludf.DUMMYFUNCTION("""COMPUTED_VALUE"""),0.07337155189856343)</f>
        <v>0.0733715519</v>
      </c>
    </row>
    <row r="260">
      <c r="P260" s="1">
        <f>IFERROR(__xludf.DUMMYFUNCTION("""COMPUTED_VALUE"""),0.04855196600795845)</f>
        <v>0.04855196601</v>
      </c>
    </row>
    <row r="261">
      <c r="P261" s="1">
        <f>IFERROR(__xludf.DUMMYFUNCTION("""COMPUTED_VALUE"""),0.03722128549268226)</f>
        <v>0.03722128549</v>
      </c>
    </row>
    <row r="262">
      <c r="P262" s="1">
        <f>IFERROR(__xludf.DUMMYFUNCTION("""COMPUTED_VALUE"""),0.1451325284953126)</f>
        <v>0.1451325285</v>
      </c>
    </row>
    <row r="263">
      <c r="P263" s="1">
        <f>IFERROR(__xludf.DUMMYFUNCTION("""COMPUTED_VALUE"""),0.09063735077898429)</f>
        <v>0.09063735078</v>
      </c>
    </row>
    <row r="264">
      <c r="P264" s="1">
        <f>IFERROR(__xludf.DUMMYFUNCTION("""COMPUTED_VALUE"""),0.09063735077898429)</f>
        <v>0.09063735078</v>
      </c>
    </row>
    <row r="265">
      <c r="P265" s="1">
        <f>IFERROR(__xludf.DUMMYFUNCTION("""COMPUTED_VALUE"""),0.07067377082349767)</f>
        <v>0.07067377082</v>
      </c>
    </row>
    <row r="266">
      <c r="P266" s="1">
        <f>IFERROR(__xludf.DUMMYFUNCTION("""COMPUTED_VALUE"""),0.4135617454643556)</f>
        <v>0.4135617455</v>
      </c>
    </row>
    <row r="267">
      <c r="P267" s="1">
        <f>IFERROR(__xludf.DUMMYFUNCTION("""COMPUTED_VALUE"""),0.43044985499426724)</f>
        <v>0.430449855</v>
      </c>
    </row>
    <row r="268">
      <c r="P268" s="1">
        <f>IFERROR(__xludf.DUMMYFUNCTION("""COMPUTED_VALUE"""),0.02259931206582586)</f>
        <v>0.02259931207</v>
      </c>
    </row>
    <row r="269">
      <c r="P269" s="1">
        <f>IFERROR(__xludf.DUMMYFUNCTION("""COMPUTED_VALUE"""),0.0)</f>
        <v>0</v>
      </c>
    </row>
    <row r="270">
      <c r="P270" s="1">
        <f>IFERROR(__xludf.DUMMYFUNCTION("""COMPUTED_VALUE"""),0.0)</f>
        <v>0</v>
      </c>
    </row>
    <row r="271">
      <c r="P271" s="1">
        <f>IFERROR(__xludf.DUMMYFUNCTION("""COMPUTED_VALUE"""),0.0)</f>
        <v>0</v>
      </c>
    </row>
    <row r="272">
      <c r="P272" s="1">
        <f>IFERROR(__xludf.DUMMYFUNCTION("""COMPUTED_VALUE"""),0.0)</f>
        <v>0</v>
      </c>
    </row>
    <row r="273">
      <c r="P273" s="1">
        <f>IFERROR(__xludf.DUMMYFUNCTION("""COMPUTED_VALUE"""),0.13137384501247723)</f>
        <v>0.131373845</v>
      </c>
    </row>
    <row r="274">
      <c r="P274" s="1">
        <f>IFERROR(__xludf.DUMMYFUNCTION("""COMPUTED_VALUE"""),0.10698590409388278)</f>
        <v>0.1069859041</v>
      </c>
    </row>
    <row r="275">
      <c r="P275" s="1">
        <f>IFERROR(__xludf.DUMMYFUNCTION("""COMPUTED_VALUE"""),0.17340527416200177)</f>
        <v>0.1734052742</v>
      </c>
    </row>
    <row r="276">
      <c r="P276" s="1">
        <f>IFERROR(__xludf.DUMMYFUNCTION("""COMPUTED_VALUE"""),0.22299049032171042)</f>
        <v>0.2229904903</v>
      </c>
    </row>
    <row r="277">
      <c r="P277" s="1">
        <f>IFERROR(__xludf.DUMMYFUNCTION("""COMPUTED_VALUE"""),0.2233681796722196)</f>
        <v>0.2233681797</v>
      </c>
    </row>
    <row r="278">
      <c r="P278" s="1">
        <f>IFERROR(__xludf.DUMMYFUNCTION("""COMPUTED_VALUE"""),0.0034450664328589697)</f>
        <v>0.003445066433</v>
      </c>
    </row>
    <row r="279">
      <c r="P279" s="1">
        <f>IFERROR(__xludf.DUMMYFUNCTION("""COMPUTED_VALUE"""),0.0)</f>
        <v>0</v>
      </c>
    </row>
    <row r="280">
      <c r="P280" s="1">
        <f>IFERROR(__xludf.DUMMYFUNCTION("""COMPUTED_VALUE"""),0.02734740675794159)</f>
        <v>0.02734740676</v>
      </c>
    </row>
    <row r="281">
      <c r="P281" s="1">
        <f>IFERROR(__xludf.DUMMYFUNCTION("""COMPUTED_VALUE"""),1.0)</f>
        <v>1</v>
      </c>
    </row>
    <row r="282">
      <c r="P282" s="1">
        <f>IFERROR(__xludf.DUMMYFUNCTION("""COMPUTED_VALUE"""),0.3327901800768868)</f>
        <v>0.3327901801</v>
      </c>
    </row>
    <row r="283">
      <c r="P283" s="1">
        <f>IFERROR(__xludf.DUMMYFUNCTION("""COMPUTED_VALUE"""),0.052652593242058406)</f>
        <v>0.05265259324</v>
      </c>
    </row>
    <row r="284">
      <c r="P284" s="1">
        <f>IFERROR(__xludf.DUMMYFUNCTION("""COMPUTED_VALUE"""),0.4620678491940379)</f>
        <v>0.4620678492</v>
      </c>
    </row>
    <row r="285">
      <c r="P285" s="1">
        <f>IFERROR(__xludf.DUMMYFUNCTION("""COMPUTED_VALUE"""),0.679832737573346)</f>
        <v>0.6798327376</v>
      </c>
    </row>
    <row r="286">
      <c r="P286" s="1">
        <f>IFERROR(__xludf.DUMMYFUNCTION("""COMPUTED_VALUE"""),0.0)</f>
        <v>0</v>
      </c>
    </row>
    <row r="287">
      <c r="P287" s="1">
        <f>IFERROR(__xludf.DUMMYFUNCTION("""COMPUTED_VALUE"""),0.0)</f>
        <v>0</v>
      </c>
    </row>
    <row r="288">
      <c r="P288" s="1">
        <f>IFERROR(__xludf.DUMMYFUNCTION("""COMPUTED_VALUE"""),0.0)</f>
        <v>0</v>
      </c>
    </row>
    <row r="289">
      <c r="P289" s="1">
        <f>IFERROR(__xludf.DUMMYFUNCTION("""COMPUTED_VALUE"""),0.1785310582046267)</f>
        <v>0.1785310582</v>
      </c>
    </row>
    <row r="290">
      <c r="P290" s="1">
        <f>IFERROR(__xludf.DUMMYFUNCTION("""COMPUTED_VALUE"""),0.712691711067647)</f>
        <v>0.7126917111</v>
      </c>
    </row>
    <row r="291">
      <c r="P291" s="1">
        <f>IFERROR(__xludf.DUMMYFUNCTION("""COMPUTED_VALUE"""),0.6678545896000541)</f>
        <v>0.6678545896</v>
      </c>
    </row>
    <row r="292">
      <c r="P292" s="1">
        <f>IFERROR(__xludf.DUMMYFUNCTION("""COMPUTED_VALUE"""),0.6101760302151481)</f>
        <v>0.6101760302</v>
      </c>
    </row>
    <row r="293">
      <c r="P293" s="1">
        <f>IFERROR(__xludf.DUMMYFUNCTION("""COMPUTED_VALUE"""),0.5477493761381265)</f>
        <v>0.5477493761</v>
      </c>
    </row>
    <row r="294">
      <c r="P294" s="1">
        <f>IFERROR(__xludf.DUMMYFUNCTION("""COMPUTED_VALUE"""),0.45651042017940247)</f>
        <v>0.4565104202</v>
      </c>
    </row>
    <row r="295">
      <c r="P295" s="1">
        <f>IFERROR(__xludf.DUMMYFUNCTION("""COMPUTED_VALUE"""),0.4537047278613341)</f>
        <v>0.4537047279</v>
      </c>
    </row>
    <row r="296">
      <c r="P296" s="1">
        <f>IFERROR(__xludf.DUMMYFUNCTION("""COMPUTED_VALUE"""),0.43676266270992115)</f>
        <v>0.4367626627</v>
      </c>
    </row>
    <row r="297">
      <c r="P297" s="1">
        <f>IFERROR(__xludf.DUMMYFUNCTION("""COMPUTED_VALUE"""),0.712691711067647)</f>
        <v>0.7126917111</v>
      </c>
    </row>
    <row r="298">
      <c r="P298" s="1">
        <f>IFERROR(__xludf.DUMMYFUNCTION("""COMPUTED_VALUE"""),0.7084831725905444)</f>
        <v>0.7084831726</v>
      </c>
    </row>
    <row r="299">
      <c r="P299" s="1">
        <f>IFERROR(__xludf.DUMMYFUNCTION("""COMPUTED_VALUE"""),0.653286571794699)</f>
        <v>0.6532865718</v>
      </c>
    </row>
    <row r="300">
      <c r="P300" s="1">
        <f>IFERROR(__xludf.DUMMYFUNCTION("""COMPUTED_VALUE"""),0.5355014500573279)</f>
        <v>0.5355014501</v>
      </c>
    </row>
    <row r="301">
      <c r="P301" s="1">
        <f>IFERROR(__xludf.DUMMYFUNCTION("""COMPUTED_VALUE"""),0.515645781344844)</f>
        <v>0.5156457813</v>
      </c>
    </row>
    <row r="302">
      <c r="P302" s="1">
        <f>IFERROR(__xludf.DUMMYFUNCTION("""COMPUTED_VALUE"""),0.2471626087542996)</f>
        <v>0.2471626088</v>
      </c>
    </row>
    <row r="303">
      <c r="P303" s="1">
        <f>IFERROR(__xludf.DUMMYFUNCTION("""COMPUTED_VALUE"""),0.13207526809199432)</f>
        <v>0.1320752681</v>
      </c>
    </row>
    <row r="304">
      <c r="P304" s="1">
        <f>IFERROR(__xludf.DUMMYFUNCTION("""COMPUTED_VALUE"""),0.2841222094827005)</f>
        <v>0.2841222095</v>
      </c>
    </row>
    <row r="305">
      <c r="P305" s="1">
        <f>IFERROR(__xludf.DUMMYFUNCTION("""COMPUTED_VALUE"""),0.32755648479125926)</f>
        <v>0.3275564848</v>
      </c>
    </row>
    <row r="306">
      <c r="P306" s="1">
        <f>IFERROR(__xludf.DUMMYFUNCTION("""COMPUTED_VALUE"""),0.2594644904565995)</f>
        <v>0.2594644905</v>
      </c>
    </row>
    <row r="307">
      <c r="P307" s="1">
        <f>IFERROR(__xludf.DUMMYFUNCTION("""COMPUTED_VALUE"""),0.2360477507250287)</f>
        <v>0.2360477507</v>
      </c>
    </row>
    <row r="308">
      <c r="P308" s="1">
        <f>IFERROR(__xludf.DUMMYFUNCTION("""COMPUTED_VALUE"""),0.2461374519457746)</f>
        <v>0.2461374519</v>
      </c>
    </row>
    <row r="309">
      <c r="P309" s="1">
        <f>IFERROR(__xludf.DUMMYFUNCTION("""COMPUTED_VALUE"""),0.21883590746610912)</f>
        <v>0.2188359075</v>
      </c>
    </row>
    <row r="310">
      <c r="P310" s="1">
        <f>IFERROR(__xludf.DUMMYFUNCTION("""COMPUTED_VALUE"""),0.15937681257165984)</f>
        <v>0.1593768126</v>
      </c>
    </row>
    <row r="311">
      <c r="P311" s="1">
        <f>IFERROR(__xludf.DUMMYFUNCTION("""COMPUTED_VALUE"""),0.17054562622243208)</f>
        <v>0.1705456262</v>
      </c>
    </row>
    <row r="312">
      <c r="P312" s="1">
        <f>IFERROR(__xludf.DUMMYFUNCTION("""COMPUTED_VALUE"""),0.13293855803601537)</f>
        <v>0.132938558</v>
      </c>
    </row>
    <row r="313">
      <c r="P313" s="1">
        <f>IFERROR(__xludf.DUMMYFUNCTION("""COMPUTED_VALUE"""),0.6727105955351724)</f>
        <v>0.6727105955</v>
      </c>
    </row>
    <row r="314">
      <c r="P314" s="1">
        <f>IFERROR(__xludf.DUMMYFUNCTION("""COMPUTED_VALUE"""),0.19158831860794498)</f>
        <v>0.1915883186</v>
      </c>
    </row>
    <row r="315">
      <c r="P315" s="1">
        <f>IFERROR(__xludf.DUMMYFUNCTION("""COMPUTED_VALUE"""),0.2011384636136778)</f>
        <v>0.2011384636</v>
      </c>
    </row>
    <row r="316">
      <c r="P316" s="1">
        <f>IFERROR(__xludf.DUMMYFUNCTION("""COMPUTED_VALUE"""),0.18619275645781347)</f>
        <v>0.1861927565</v>
      </c>
    </row>
    <row r="317">
      <c r="P317" s="1">
        <f>IFERROR(__xludf.DUMMYFUNCTION("""COMPUTED_VALUE"""),0.12079854319821946)</f>
        <v>0.1207985432</v>
      </c>
    </row>
    <row r="318">
      <c r="P318" s="1">
        <f>IFERROR(__xludf.DUMMYFUNCTION("""COMPUTED_VALUE"""),0.047796587306940044)</f>
        <v>0.04779658731</v>
      </c>
    </row>
    <row r="319">
      <c r="P319" s="1">
        <f>IFERROR(__xludf.DUMMYFUNCTION("""COMPUTED_VALUE"""),0.07990018210022257)</f>
        <v>0.0799001821</v>
      </c>
    </row>
    <row r="320">
      <c r="P320" s="1">
        <f>IFERROR(__xludf.DUMMYFUNCTION("""COMPUTED_VALUE"""),0.07401901935657922)</f>
        <v>0.07401901936</v>
      </c>
    </row>
    <row r="321">
      <c r="P321" s="1">
        <f>IFERROR(__xludf.DUMMYFUNCTION("""COMPUTED_VALUE"""),0.05745464355567546)</f>
        <v>0.05745464356</v>
      </c>
    </row>
    <row r="322">
      <c r="P322" s="1">
        <f>IFERROR(__xludf.DUMMYFUNCTION("""COMPUTED_VALUE"""),0.03274296890807311)</f>
        <v>0.03274296891</v>
      </c>
    </row>
    <row r="323">
      <c r="P323" s="1">
        <f>IFERROR(__xludf.DUMMYFUNCTION("""COMPUTED_VALUE"""),0.02966749848249814)</f>
        <v>0.02966749848</v>
      </c>
    </row>
    <row r="324">
      <c r="P324" s="1">
        <f>IFERROR(__xludf.DUMMYFUNCTION("""COMPUTED_VALUE"""),0.03824644230120725)</f>
        <v>0.0382464423</v>
      </c>
    </row>
    <row r="325">
      <c r="P325" s="1">
        <f>IFERROR(__xludf.DUMMYFUNCTION("""COMPUTED_VALUE"""),0.03333648074458757)</f>
        <v>0.03333648074</v>
      </c>
    </row>
    <row r="326">
      <c r="P326" s="1">
        <f>IFERROR(__xludf.DUMMYFUNCTION("""COMPUTED_VALUE"""),0.22342213529372093)</f>
        <v>0.2234221353</v>
      </c>
    </row>
    <row r="327">
      <c r="P327" s="1">
        <f>IFERROR(__xludf.DUMMYFUNCTION("""COMPUTED_VALUE"""),0.21430363525999868)</f>
        <v>0.2143036353</v>
      </c>
    </row>
    <row r="328">
      <c r="P328" s="1">
        <f>IFERROR(__xludf.DUMMYFUNCTION("""COMPUTED_VALUE"""),0.05615970863964389)</f>
        <v>0.05615970864</v>
      </c>
    </row>
    <row r="329">
      <c r="P329" s="1">
        <f>IFERROR(__xludf.DUMMYFUNCTION("""COMPUTED_VALUE"""),0.0047400013488905325)</f>
        <v>0.004740001349</v>
      </c>
    </row>
    <row r="330">
      <c r="P330" s="1">
        <f>IFERROR(__xludf.DUMMYFUNCTION("""COMPUTED_VALUE"""),0.0)</f>
        <v>0</v>
      </c>
    </row>
    <row r="331">
      <c r="P331" s="1">
        <f>IFERROR(__xludf.DUMMYFUNCTION("""COMPUTED_VALUE"""),0.007707560531462866)</f>
        <v>0.007707560531</v>
      </c>
    </row>
    <row r="332">
      <c r="P332" s="1">
        <f>IFERROR(__xludf.DUMMYFUNCTION("""COMPUTED_VALUE"""),0.0044162676198826415)</f>
        <v>0.00441626762</v>
      </c>
    </row>
    <row r="333">
      <c r="P333" s="1">
        <f>IFERROR(__xludf.DUMMYFUNCTION("""COMPUTED_VALUE"""),0.0027975989748431867)</f>
        <v>0.002797598975</v>
      </c>
    </row>
    <row r="334">
      <c r="P334" s="1">
        <f>IFERROR(__xludf.DUMMYFUNCTION("""COMPUTED_VALUE"""),0.002419909624333979)</f>
        <v>0.002419909624</v>
      </c>
    </row>
    <row r="335">
      <c r="P335" s="1">
        <f>IFERROR(__xludf.DUMMYFUNCTION("""COMPUTED_VALUE"""),0.0)</f>
        <v>0</v>
      </c>
    </row>
    <row r="336">
      <c r="P336" s="1">
        <f>IFERROR(__xludf.DUMMYFUNCTION("""COMPUTED_VALUE"""),0.1986565050246173)</f>
        <v>0.198656505</v>
      </c>
    </row>
    <row r="337">
      <c r="P337" s="1">
        <f>IFERROR(__xludf.DUMMYFUNCTION("""COMPUTED_VALUE"""),0.0)</f>
        <v>0</v>
      </c>
    </row>
    <row r="338">
      <c r="P338" s="1">
        <f>IFERROR(__xludf.DUMMYFUNCTION("""COMPUTED_VALUE"""),1.0)</f>
        <v>1</v>
      </c>
    </row>
    <row r="339">
      <c r="P339" s="1">
        <f>IFERROR(__xludf.DUMMYFUNCTION("""COMPUTED_VALUE"""),1.0)</f>
        <v>1</v>
      </c>
    </row>
    <row r="340">
      <c r="P340" s="1">
        <f>IFERROR(__xludf.DUMMYFUNCTION("""COMPUTED_VALUE"""),0.9357982059755853)</f>
        <v>0.935798206</v>
      </c>
    </row>
    <row r="341">
      <c r="P341" s="1">
        <f>IFERROR(__xludf.DUMMYFUNCTION("""COMPUTED_VALUE"""),1.0)</f>
        <v>1</v>
      </c>
    </row>
    <row r="342">
      <c r="P342" s="1">
        <f>IFERROR(__xludf.DUMMYFUNCTION("""COMPUTED_VALUE"""),1.0)</f>
        <v>1</v>
      </c>
    </row>
    <row r="343">
      <c r="P343" s="1">
        <f>IFERROR(__xludf.DUMMYFUNCTION("""COMPUTED_VALUE"""),1.0)</f>
        <v>1</v>
      </c>
    </row>
    <row r="344">
      <c r="P344" s="1">
        <f>IFERROR(__xludf.DUMMYFUNCTION("""COMPUTED_VALUE"""),0.44188844675254607)</f>
        <v>0.4418884468</v>
      </c>
    </row>
    <row r="345">
      <c r="P345" s="1">
        <f>IFERROR(__xludf.DUMMYFUNCTION("""COMPUTED_VALUE"""),0.42527011533014103)</f>
        <v>0.4252701153</v>
      </c>
    </row>
    <row r="346">
      <c r="P346" s="1">
        <f>IFERROR(__xludf.DUMMYFUNCTION("""COMPUTED_VALUE"""),0.522174411546503)</f>
        <v>0.5221744115</v>
      </c>
    </row>
    <row r="347">
      <c r="P347" s="1">
        <f>IFERROR(__xludf.DUMMYFUNCTION("""COMPUTED_VALUE"""),0.47561071019086804)</f>
        <v>0.4756107102</v>
      </c>
    </row>
    <row r="348">
      <c r="P348" s="1">
        <f>IFERROR(__xludf.DUMMYFUNCTION("""COMPUTED_VALUE"""),0.40109799689755177)</f>
        <v>0.4010979969</v>
      </c>
    </row>
    <row r="349">
      <c r="P349" s="1">
        <f>IFERROR(__xludf.DUMMYFUNCTION("""COMPUTED_VALUE"""),0.42257233425507523)</f>
        <v>0.4225723343</v>
      </c>
    </row>
  </sheetData>
  <drawing r:id="rId1"/>
</worksheet>
</file>