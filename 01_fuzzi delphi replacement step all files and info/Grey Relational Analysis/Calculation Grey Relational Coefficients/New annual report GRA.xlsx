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_return_and_ratios" sheetId="1" r:id="rId5"/>
    <sheet state="visible" name="Deviation_sequence" sheetId="2" r:id="rId6"/>
    <sheet state="visible" name="GRC" sheetId="3" r:id="rId7"/>
    <sheet state="visible" name="GRG_RANKING" sheetId="4" r:id="rId8"/>
  </sheets>
  <definedNames/>
  <calcPr/>
</workbook>
</file>

<file path=xl/sharedStrings.xml><?xml version="1.0" encoding="utf-8"?>
<sst xmlns="http://schemas.openxmlformats.org/spreadsheetml/2006/main" count="1013" uniqueCount="125">
  <si>
    <t>Annual Return</t>
  </si>
  <si>
    <t>Diluted EPS</t>
  </si>
  <si>
    <t>Current Ratio</t>
  </si>
  <si>
    <t>Adani Ports and Special Economic Zone Ltd</t>
  </si>
  <si>
    <t>Asian Paints Ltd</t>
  </si>
  <si>
    <t>AXIS Bank Ltd</t>
  </si>
  <si>
    <t>Bajaj Finserv Ltd</t>
  </si>
  <si>
    <t>Bajaj Finance Ltd</t>
  </si>
  <si>
    <t>Bharat Electronics Ltd</t>
  </si>
  <si>
    <t>Bharti Airtel Ltd</t>
  </si>
  <si>
    <t>HCL Technologies Ltd</t>
  </si>
  <si>
    <t>HDFC Bank Ltd</t>
  </si>
  <si>
    <t>Hindustan Unilever Ltd</t>
  </si>
  <si>
    <t>ICICI Bank Ltd</t>
  </si>
  <si>
    <t>Infosys Ltd</t>
  </si>
  <si>
    <t>ITC Ltd</t>
  </si>
  <si>
    <t>Kotak Mahindra Bank Ltd</t>
  </si>
  <si>
    <t>Larsen &amp; Toubro Ltd</t>
  </si>
  <si>
    <t>Mahindra &amp; Mahindra Ltd</t>
  </si>
  <si>
    <t>Maruti Suzuki India Ltd</t>
  </si>
  <si>
    <t>NTPC Ltd</t>
  </si>
  <si>
    <t>Power Grid Corporation of India Ltd</t>
  </si>
  <si>
    <t>Reliance Industries Ltd</t>
  </si>
  <si>
    <t>State Bank of India</t>
  </si>
  <si>
    <t>Sun Pharmaceutical Industries Ltd</t>
  </si>
  <si>
    <t>Tata Motors Ltd</t>
  </si>
  <si>
    <t>Tata Steel Ltd</t>
  </si>
  <si>
    <t>Tata Consultancy Services Ltd</t>
  </si>
  <si>
    <t>Tech Mahindra Ltd</t>
  </si>
  <si>
    <t>Titan Company Ltd</t>
  </si>
  <si>
    <t>Trent Ltd</t>
  </si>
  <si>
    <t>UltraTech Cement Ltd</t>
  </si>
  <si>
    <t>payout ratio</t>
  </si>
  <si>
    <t>(PR)2025</t>
  </si>
  <si>
    <t>(PR)2024</t>
  </si>
  <si>
    <t>(PR)2023</t>
  </si>
  <si>
    <t>(PR)2022</t>
  </si>
  <si>
    <t>(PR)2021</t>
  </si>
  <si>
    <t>(PR)2020</t>
  </si>
  <si>
    <t>(PR)2019</t>
  </si>
  <si>
    <t>(PR)2018</t>
  </si>
  <si>
    <t>(PR)2017</t>
  </si>
  <si>
    <t>(PR)2016</t>
  </si>
  <si>
    <t>(PR)2015</t>
  </si>
  <si>
    <t>(PR)2014</t>
  </si>
  <si>
    <t>Profit margin</t>
  </si>
  <si>
    <t>(PM)2025</t>
  </si>
  <si>
    <t>(PM)2024</t>
  </si>
  <si>
    <t>(PM)2023</t>
  </si>
  <si>
    <t>(PM)2022</t>
  </si>
  <si>
    <t>(PM)2021</t>
  </si>
  <si>
    <t>(PM)2020</t>
  </si>
  <si>
    <t>(PM)2019</t>
  </si>
  <si>
    <t>(PM)2018</t>
  </si>
  <si>
    <t>(PM)2017</t>
  </si>
  <si>
    <t>(PM)2016</t>
  </si>
  <si>
    <t>(PM)2015</t>
  </si>
  <si>
    <t>(PM)2014</t>
  </si>
  <si>
    <t>Price to BV</t>
  </si>
  <si>
    <t>(P/B)2025</t>
  </si>
  <si>
    <t>(P/B)2024</t>
  </si>
  <si>
    <t>(P/B)2023</t>
  </si>
  <si>
    <t>(P/B)2022</t>
  </si>
  <si>
    <t>(P/B)2021</t>
  </si>
  <si>
    <t>(P/B)2020</t>
  </si>
  <si>
    <t>(P/B)2019</t>
  </si>
  <si>
    <t>(P/B)2018</t>
  </si>
  <si>
    <t>(P/B)2017</t>
  </si>
  <si>
    <t>(P/B)2016</t>
  </si>
  <si>
    <t>(P/B)2015</t>
  </si>
  <si>
    <t>(P/B)2014</t>
  </si>
  <si>
    <t>Price to Earng</t>
  </si>
  <si>
    <t>(P/E)2025</t>
  </si>
  <si>
    <t>(P/E)2024</t>
  </si>
  <si>
    <t>(P/E)2023</t>
  </si>
  <si>
    <t>(P/E)2022</t>
  </si>
  <si>
    <t>(P/E)2021</t>
  </si>
  <si>
    <t>(P/E)2020</t>
  </si>
  <si>
    <t>(P/E)2019</t>
  </si>
  <si>
    <t>(P/E)2018</t>
  </si>
  <si>
    <t>(P/E)2017</t>
  </si>
  <si>
    <t>(P/E)2016</t>
  </si>
  <si>
    <t>(P/E)2015</t>
  </si>
  <si>
    <t>(P/E)2014</t>
  </si>
  <si>
    <t>Price to sales</t>
  </si>
  <si>
    <t>(P/S)2025</t>
  </si>
  <si>
    <t>(P/S)2024</t>
  </si>
  <si>
    <t>(P/S)2023</t>
  </si>
  <si>
    <t>(P/S)2022</t>
  </si>
  <si>
    <t>(P/S)2021</t>
  </si>
  <si>
    <t>(P/S)2020</t>
  </si>
  <si>
    <t>(P/S)2019</t>
  </si>
  <si>
    <t>(P/S)2018</t>
  </si>
  <si>
    <t>(P/S)2017</t>
  </si>
  <si>
    <t>(P/S)2016</t>
  </si>
  <si>
    <t>(P/S)2015</t>
  </si>
  <si>
    <t>(P/S)2014</t>
  </si>
  <si>
    <t>Current ratio</t>
  </si>
  <si>
    <t>(CR)2025</t>
  </si>
  <si>
    <t>(CR)2024</t>
  </si>
  <si>
    <t>(CR)2023</t>
  </si>
  <si>
    <t>(CR)2022</t>
  </si>
  <si>
    <t>(CR)2021</t>
  </si>
  <si>
    <t>(CR)2020</t>
  </si>
  <si>
    <t>(CR)2019</t>
  </si>
  <si>
    <t>(CR)2018</t>
  </si>
  <si>
    <t>(CR)2017</t>
  </si>
  <si>
    <t>(CR)2016</t>
  </si>
  <si>
    <t>(CR)2015</t>
  </si>
  <si>
    <t>(CR)2014</t>
  </si>
  <si>
    <t>debt to equity</t>
  </si>
  <si>
    <t>Global max</t>
  </si>
  <si>
    <t>global min</t>
  </si>
  <si>
    <t>Company mean</t>
  </si>
  <si>
    <t>ratioscore=</t>
  </si>
  <si>
    <t>ratio score</t>
  </si>
  <si>
    <t>ratio a</t>
  </si>
  <si>
    <t>ratio acore</t>
  </si>
  <si>
    <t>ratio sctre</t>
  </si>
  <si>
    <t>Ratio</t>
  </si>
  <si>
    <t>AVG Score</t>
  </si>
  <si>
    <t>Rank</t>
  </si>
  <si>
    <t>Factor</t>
  </si>
  <si>
    <t>Grey Relational Grade</t>
  </si>
  <si>
    <t>EPS, PR, P/E, P/S, P/B and D/E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</si>
</sst>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sz val="12.0"/>
      <color rgb="FF00B050"/>
      <name val="Times New Roman"/>
    </font>
    <font>
      <sz val="11.0"/>
      <color theme="1"/>
      <name val="Calibri"/>
    </font>
    <font>
      <color theme="1"/>
      <name val="Arial"/>
      <scheme val="minor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10" xfId="0" applyAlignment="1" applyFill="1" applyFont="1" applyNumberFormat="1">
      <alignment readingOrder="0" vertical="bottom"/>
    </xf>
    <xf borderId="0" fillId="0" fontId="2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1" numFmtId="0" xfId="0" applyAlignment="1" applyFont="1">
      <alignment horizontal="right" vertical="bottom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2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1" numFmtId="0" xfId="0" applyAlignment="1" applyFont="1">
      <alignment horizontal="right" readingOrder="0" vertical="bottom"/>
    </xf>
    <xf borderId="0" fillId="3" fontId="4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ser>
          <c:idx val="0"/>
          <c:order val="0"/>
          <c:tx>
            <c:strRef>
              <c:f>Annual_return_and_ratios!$O$1</c:f>
            </c:strRef>
          </c:tx>
          <c:spPr>
            <a:solidFill>
              <a:srgbClr val="4285F4">
                <a:alpha val="10000"/>
              </a:srgbClr>
            </a:solidFill>
            <a:ln cmpd="sng" w="38100">
              <a:solidFill>
                <a:srgbClr val="4285F4"/>
              </a:solidFill>
              <a:prstDash val="solid"/>
            </a:ln>
          </c:spPr>
          <c:val>
            <c:numRef>
              <c:f>Annual_return_and_ratios!$O$2:$O$349</c:f>
              <c:numCache/>
            </c:numRef>
          </c:val>
        </c:ser>
        <c:ser>
          <c:idx val="1"/>
          <c:order val="1"/>
          <c:tx>
            <c:strRef>
              <c:f>Annual_return_and_ratios!$P$1</c:f>
            </c:strRef>
          </c:tx>
          <c:spPr>
            <a:solidFill>
              <a:srgbClr val="EA4335">
                <a:alpha val="10000"/>
              </a:srgbClr>
            </a:solidFill>
            <a:ln cmpd="sng" w="38100">
              <a:solidFill>
                <a:srgbClr val="EA4335"/>
              </a:solidFill>
              <a:prstDash val="solid"/>
            </a:ln>
          </c:spPr>
          <c:val>
            <c:numRef>
              <c:f>Annual_return_and_ratios!$P$2:$P$349</c:f>
              <c:numCache/>
            </c:numRef>
          </c:val>
        </c:ser>
        <c:ser>
          <c:idx val="2"/>
          <c:order val="2"/>
          <c:tx>
            <c:strRef>
              <c:f>Annual_return_and_ratios!$Q$1</c:f>
            </c:strRef>
          </c:tx>
          <c:spPr>
            <a:solidFill>
              <a:srgbClr val="FBBC04">
                <a:alpha val="10000"/>
              </a:srgbClr>
            </a:solidFill>
            <a:ln cmpd="sng" w="38100">
              <a:solidFill>
                <a:srgbClr val="FBBC04"/>
              </a:solidFill>
              <a:prstDash val="solid"/>
            </a:ln>
          </c:spPr>
          <c:val>
            <c:numRef>
              <c:f>Annual_return_and_ratios!$Q$2:$Q$349</c:f>
              <c:numCache/>
            </c:numRef>
          </c:val>
        </c:ser>
        <c:axId val="416596245"/>
        <c:axId val="997428346"/>
      </c:areaChart>
      <c:catAx>
        <c:axId val="4165962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7428346"/>
      </c:catAx>
      <c:valAx>
        <c:axId val="997428346"/>
        <c:scaling>
          <c:orientation val="minMax"/>
          <c:max val="1.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16596245"/>
      </c:valAx>
    </c:plotArea>
    <c:legend>
      <c:legendPos val="r"/>
      <c:overlay val="0"/>
      <c:txPr>
        <a:bodyPr/>
        <a:lstStyle/>
        <a:p>
          <a:pPr lvl="0">
            <a:defRPr b="0" sz="16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561975</xdr:colOff>
      <xdr:row>22</xdr:row>
      <xdr:rowOff>123825</xdr:rowOff>
    </xdr:from>
    <xdr:ext cx="10963275" cy="4486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2025.0</v>
      </c>
      <c r="C1" s="2">
        <v>2024.0</v>
      </c>
      <c r="D1" s="2">
        <v>2023.0</v>
      </c>
      <c r="E1" s="2">
        <v>2022.0</v>
      </c>
      <c r="F1" s="2">
        <v>2021.0</v>
      </c>
      <c r="G1" s="2">
        <v>2020.0</v>
      </c>
      <c r="H1" s="2">
        <v>2019.0</v>
      </c>
      <c r="I1" s="2">
        <v>2018.0</v>
      </c>
      <c r="J1" s="2">
        <v>2017.0</v>
      </c>
      <c r="K1" s="2">
        <v>2016.0</v>
      </c>
      <c r="L1" s="2">
        <v>2015.0</v>
      </c>
      <c r="M1" s="2">
        <v>2014.0</v>
      </c>
      <c r="O1" s="3" t="s">
        <v>0</v>
      </c>
      <c r="P1" s="4" t="s">
        <v>1</v>
      </c>
      <c r="Q1" s="4" t="s">
        <v>2</v>
      </c>
    </row>
    <row r="2">
      <c r="A2" s="4" t="s">
        <v>3</v>
      </c>
      <c r="B2" s="5">
        <v>-0.01838885255621591</v>
      </c>
      <c r="C2" s="5">
        <v>0.06486610376095205</v>
      </c>
      <c r="D2" s="5">
        <v>-0.01341101462370109</v>
      </c>
      <c r="E2" s="5">
        <v>0.004794169009003115</v>
      </c>
      <c r="F2" s="5">
        <v>0.09711201496689581</v>
      </c>
      <c r="G2" s="5">
        <v>-0.02803943999678881</v>
      </c>
      <c r="H2" s="5">
        <v>0.008140525116234972</v>
      </c>
      <c r="I2" s="5">
        <v>0.003489072436931193</v>
      </c>
      <c r="J2" s="5">
        <v>0.0287489292939952</v>
      </c>
      <c r="K2" s="5">
        <v>-0.01362453114351661</v>
      </c>
      <c r="L2" s="5">
        <v>0.04551687424786283</v>
      </c>
      <c r="M2" s="5">
        <v>0.02767869517985113</v>
      </c>
      <c r="O2" s="6">
        <f>IFERROR(__xludf.DUMMYFUNCTION("Flatten(B2:M30)"),-0.01838885255621591)</f>
        <v>-0.01838885256</v>
      </c>
      <c r="P2" s="6">
        <f>IFERROR(__xludf.DUMMYFUNCTION("Flatten(B35:M63)"),0.2657233426)</f>
        <v>0.2657233426</v>
      </c>
      <c r="Q2" s="6">
        <f>IFERROR(__xludf.DUMMYFUNCTION("Flatten(B233:M261)"),0.6883852691)</f>
        <v>0.6883852691</v>
      </c>
    </row>
    <row r="3">
      <c r="A3" s="4" t="s">
        <v>4</v>
      </c>
      <c r="B3" s="5">
        <v>-0.01550805906788396</v>
      </c>
      <c r="C3" s="5">
        <v>0.003423137479009528</v>
      </c>
      <c r="D3" s="5">
        <v>-0.004489747690076594</v>
      </c>
      <c r="E3" s="5">
        <v>0.01768406932126746</v>
      </c>
      <c r="F3" s="5">
        <v>0.03472094963678952</v>
      </c>
      <c r="G3" s="5">
        <v>0.009850388008809675</v>
      </c>
      <c r="H3" s="5">
        <v>0.0251098098275308</v>
      </c>
      <c r="I3" s="5">
        <v>0.002475005739429222</v>
      </c>
      <c r="J3" s="5">
        <v>0.01841294789589839</v>
      </c>
      <c r="K3" s="5">
        <v>0.005783047936699363</v>
      </c>
      <c r="L3" s="5">
        <v>0.03591692511264611</v>
      </c>
      <c r="M3" s="5">
        <v>0.01411927848446944</v>
      </c>
      <c r="O3" s="7">
        <f>IFERROR(__xludf.DUMMYFUNCTION("""COMPUTED_VALUE"""),0.06486610376095205)</f>
        <v>0.06486610376</v>
      </c>
      <c r="P3" s="7">
        <f>IFERROR(__xludf.DUMMYFUNCTION("""COMPUTED_VALUE"""),0.1912645849)</f>
        <v>0.1912645849</v>
      </c>
      <c r="Q3" s="7">
        <f>IFERROR(__xludf.DUMMYFUNCTION("""COMPUTED_VALUE"""),0.7337110482)</f>
        <v>0.7337110482</v>
      </c>
    </row>
    <row r="4">
      <c r="A4" s="4" t="s">
        <v>5</v>
      </c>
      <c r="B4" s="5">
        <v>0.003144981180246767</v>
      </c>
      <c r="C4" s="5">
        <v>0.0156425637222698</v>
      </c>
      <c r="D4" s="5">
        <v>0.01645051331551754</v>
      </c>
      <c r="E4" s="5">
        <v>0.005847555985461925</v>
      </c>
      <c r="F4" s="5">
        <v>0.05484000762334306</v>
      </c>
      <c r="G4" s="5">
        <v>-0.04374856333401774</v>
      </c>
      <c r="H4" s="5">
        <v>0.0375411415132909</v>
      </c>
      <c r="I4" s="5">
        <v>0.003598780509103944</v>
      </c>
      <c r="J4" s="5">
        <v>0.007245626328476344</v>
      </c>
      <c r="K4" s="5">
        <v>-0.01828814174192833</v>
      </c>
      <c r="L4" s="5">
        <v>0.05025385912291375</v>
      </c>
      <c r="M4" s="5">
        <v>0.02082425450500124</v>
      </c>
      <c r="O4" s="7">
        <f>IFERROR(__xludf.DUMMYFUNCTION("""COMPUTED_VALUE"""),-0.01341101462370109)</f>
        <v>-0.01341101462</v>
      </c>
      <c r="P4" s="7">
        <f>IFERROR(__xludf.DUMMYFUNCTION("""COMPUTED_VALUE"""),0.1212841438)</f>
        <v>0.1212841438</v>
      </c>
      <c r="Q4" s="7">
        <f>IFERROR(__xludf.DUMMYFUNCTION("""COMPUTED_VALUE"""),0.8158640227)</f>
        <v>0.8158640227</v>
      </c>
    </row>
    <row r="5">
      <c r="A5" s="4" t="s">
        <v>6</v>
      </c>
      <c r="B5" s="5">
        <v>0.01326890111153658</v>
      </c>
      <c r="C5" s="5">
        <v>0.02102731258654204</v>
      </c>
      <c r="D5" s="5">
        <v>-0.0157944904480797</v>
      </c>
      <c r="E5" s="5">
        <v>0.04993761237661055</v>
      </c>
      <c r="F5" s="5">
        <v>0.07471070482948455</v>
      </c>
      <c r="G5" s="5">
        <v>-0.01362733828095101</v>
      </c>
      <c r="H5" s="5">
        <v>0.02646716128931413</v>
      </c>
      <c r="I5" s="5">
        <v>0.0215932128507568</v>
      </c>
      <c r="J5" s="5">
        <v>0.07419742882408908</v>
      </c>
      <c r="K5" s="5">
        <v>0.01630419717550051</v>
      </c>
      <c r="L5" s="5">
        <v>0.05426508242025393</v>
      </c>
      <c r="M5" s="5">
        <v>0.005769616615423394</v>
      </c>
      <c r="O5" s="7">
        <f>IFERROR(__xludf.DUMMYFUNCTION("""COMPUTED_VALUE"""),0.004794169009003115)</f>
        <v>0.004794169009</v>
      </c>
      <c r="P5" s="7">
        <f>IFERROR(__xludf.DUMMYFUNCTION("""COMPUTED_VALUE"""),0.1094678627)</f>
        <v>0.1094678627</v>
      </c>
      <c r="Q5" s="7">
        <f>IFERROR(__xludf.DUMMYFUNCTION("""COMPUTED_VALUE"""),0.8866855524)</f>
        <v>0.8866855524</v>
      </c>
    </row>
    <row r="6">
      <c r="A6" s="4" t="s">
        <v>7</v>
      </c>
      <c r="B6" s="5">
        <v>0.01601211644650248</v>
      </c>
      <c r="C6" s="5">
        <v>0.02136385420964921</v>
      </c>
      <c r="D6" s="5">
        <v>-0.01342576101066626</v>
      </c>
      <c r="E6" s="5">
        <v>0.03088271557038757</v>
      </c>
      <c r="F6" s="5">
        <v>0.0857223075714149</v>
      </c>
      <c r="G6" s="5">
        <v>-0.004440944515757203</v>
      </c>
      <c r="H6" s="5">
        <v>0.04767520760201058</v>
      </c>
      <c r="I6" s="5">
        <v>0.03376590325780882</v>
      </c>
      <c r="J6" s="5">
        <v>0.04484866529795104</v>
      </c>
      <c r="K6" s="5">
        <v>0.04355062928916748</v>
      </c>
      <c r="L6" s="5">
        <v>0.06187286633370392</v>
      </c>
      <c r="M6" s="5">
        <v>0.04310699519610491</v>
      </c>
      <c r="O6" s="7">
        <f>IFERROR(__xludf.DUMMYFUNCTION("""COMPUTED_VALUE"""),0.09711201496689581)</f>
        <v>0.09711201497</v>
      </c>
      <c r="P6" s="7">
        <f>IFERROR(__xludf.DUMMYFUNCTION("""COMPUTED_VALUE"""),0.1212841438)</f>
        <v>0.1212841438</v>
      </c>
      <c r="Q6" s="7">
        <f>IFERROR(__xludf.DUMMYFUNCTION("""COMPUTED_VALUE"""),0.9376770538)</f>
        <v>0.9376770538</v>
      </c>
    </row>
    <row r="7">
      <c r="A7" s="4" t="s">
        <v>8</v>
      </c>
      <c r="B7" s="5">
        <v>0.02785406711317295</v>
      </c>
      <c r="C7" s="5">
        <v>0.06003251854615443</v>
      </c>
      <c r="D7" s="5">
        <v>0.02876091907921292</v>
      </c>
      <c r="E7" s="5">
        <v>0.04385666457728446</v>
      </c>
      <c r="F7" s="5">
        <v>0.05146526373579547</v>
      </c>
      <c r="G7" s="5">
        <v>-0.006532982534919865</v>
      </c>
      <c r="H7" s="5">
        <v>-0.03212617967245016</v>
      </c>
      <c r="I7" s="5">
        <v>-0.003359388218960351</v>
      </c>
      <c r="J7" s="5">
        <v>0.02168859577219879</v>
      </c>
      <c r="K7" s="5">
        <v>0.01368439652022365</v>
      </c>
      <c r="L7" s="5">
        <v>0.1042056304774356</v>
      </c>
      <c r="M7" s="5">
        <v>0.006110739245778565</v>
      </c>
      <c r="O7" s="7">
        <f>IFERROR(__xludf.DUMMYFUNCTION("""COMPUTED_VALUE"""),-0.02803943999678881)</f>
        <v>-0.02803944</v>
      </c>
      <c r="P7" s="7">
        <f>IFERROR(__xludf.DUMMYFUNCTION("""COMPUTED_VALUE"""),0.0876697916)</f>
        <v>0.0876697916</v>
      </c>
      <c r="Q7" s="7">
        <f>IFERROR(__xludf.DUMMYFUNCTION("""COMPUTED_VALUE"""),0.9801699717)</f>
        <v>0.9801699717</v>
      </c>
    </row>
    <row r="8">
      <c r="A8" s="4" t="s">
        <v>9</v>
      </c>
      <c r="B8" s="5">
        <v>0.02670265310725271</v>
      </c>
      <c r="C8" s="5">
        <v>0.04605162117843559</v>
      </c>
      <c r="D8" s="5">
        <v>-6.518402651160745E-4</v>
      </c>
      <c r="E8" s="5">
        <v>0.03253298914980095</v>
      </c>
      <c r="F8" s="5">
        <v>0.01275131806608723</v>
      </c>
      <c r="G8" s="5">
        <v>0.02898796598277473</v>
      </c>
      <c r="H8" s="5">
        <v>-0.01506366077335594</v>
      </c>
      <c r="I8" s="5">
        <v>0.01232435382021643</v>
      </c>
      <c r="J8" s="5">
        <v>0.00288833041413772</v>
      </c>
      <c r="K8" s="5">
        <v>-0.002887654425389955</v>
      </c>
      <c r="L8" s="5">
        <v>0.01999227389611892</v>
      </c>
      <c r="M8" s="5">
        <v>0.01350146304322639</v>
      </c>
      <c r="O8" s="7">
        <f>IFERROR(__xludf.DUMMYFUNCTION("""COMPUTED_VALUE"""),0.008140525116234972)</f>
        <v>0.008140525116</v>
      </c>
      <c r="P8" s="7">
        <f>IFERROR(__xludf.DUMMYFUNCTION("""COMPUTED_VALUE"""),0.09263370877)</f>
        <v>0.09263370877</v>
      </c>
      <c r="Q8" s="7">
        <f>IFERROR(__xludf.DUMMYFUNCTION("""COMPUTED_VALUE"""),0.8328611898)</f>
        <v>0.8328611898</v>
      </c>
    </row>
    <row r="9">
      <c r="A9" s="4" t="s">
        <v>10</v>
      </c>
      <c r="B9" s="5">
        <v>0.005940231823942157</v>
      </c>
      <c r="C9" s="5">
        <v>0.03303571244379668</v>
      </c>
      <c r="D9" s="5">
        <v>5.058831587710402E-4</v>
      </c>
      <c r="E9" s="5">
        <v>0.01773002475456282</v>
      </c>
      <c r="F9" s="5">
        <v>0.07575910669939087</v>
      </c>
      <c r="G9" s="5">
        <v>-0.01607678257973191</v>
      </c>
      <c r="H9" s="5">
        <v>0.01091866195308789</v>
      </c>
      <c r="I9" s="5">
        <v>0.01062199346479478</v>
      </c>
      <c r="J9" s="5">
        <v>0.006216468858179857</v>
      </c>
      <c r="K9" s="5">
        <v>0.004902309532710447</v>
      </c>
      <c r="L9" s="5">
        <v>0.02827059478120083</v>
      </c>
      <c r="M9" s="5">
        <v>0.05179764772161512</v>
      </c>
      <c r="O9" s="7">
        <f>IFERROR(__xludf.DUMMYFUNCTION("""COMPUTED_VALUE"""),0.003489072436931193)</f>
        <v>0.003489072437</v>
      </c>
      <c r="P9" s="7">
        <f>IFERROR(__xludf.DUMMYFUNCTION("""COMPUTED_VALUE"""),0.08437849868)</f>
        <v>0.08437849868</v>
      </c>
      <c r="Q9" s="7">
        <f>IFERROR(__xludf.DUMMYFUNCTION("""COMPUTED_VALUE"""),0.5580736544)</f>
        <v>0.5580736544</v>
      </c>
    </row>
    <row r="10">
      <c r="A10" s="4" t="s">
        <v>11</v>
      </c>
      <c r="B10" s="5">
        <v>0.01610113229278614</v>
      </c>
      <c r="C10" s="5">
        <v>-0.005827604352744331</v>
      </c>
      <c r="D10" s="5">
        <v>0.01005231398367576</v>
      </c>
      <c r="E10" s="5">
        <v>0.00185126563362924</v>
      </c>
      <c r="F10" s="5">
        <v>0.04643503800280763</v>
      </c>
      <c r="G10" s="5">
        <v>-0.01955833248889985</v>
      </c>
      <c r="H10" s="5">
        <v>0.0179257065060432</v>
      </c>
      <c r="I10" s="5">
        <v>0.02310927039680578</v>
      </c>
      <c r="J10" s="5">
        <v>0.02559142827098789</v>
      </c>
      <c r="K10" s="5">
        <v>0.005146507946667127</v>
      </c>
      <c r="L10" s="5">
        <v>0.02696063998152464</v>
      </c>
      <c r="M10" s="5">
        <v>0.01634985282417519</v>
      </c>
      <c r="O10" s="7">
        <f>IFERROR(__xludf.DUMMYFUNCTION("""COMPUTED_VALUE"""),0.0287489292939952)</f>
        <v>0.02874892929</v>
      </c>
      <c r="P10" s="7">
        <f>IFERROR(__xludf.DUMMYFUNCTION("""COMPUTED_VALUE"""),0.09058339516)</f>
        <v>0.09058339516</v>
      </c>
      <c r="Q10" s="7">
        <f>IFERROR(__xludf.DUMMYFUNCTION("""COMPUTED_VALUE"""),0.9490084986)</f>
        <v>0.9490084986</v>
      </c>
    </row>
    <row r="11">
      <c r="A11" s="4" t="s">
        <v>12</v>
      </c>
      <c r="B11" s="5">
        <v>0.002143894451868834</v>
      </c>
      <c r="C11" s="5">
        <v>-0.01016901540173236</v>
      </c>
      <c r="D11" s="5">
        <v>0.01951843783347793</v>
      </c>
      <c r="E11" s="5">
        <v>-0.01363159449676747</v>
      </c>
      <c r="F11" s="5">
        <v>0.00641058386590098</v>
      </c>
      <c r="G11" s="5">
        <v>0.02513348725591321</v>
      </c>
      <c r="H11" s="5">
        <v>0.02178399273824086</v>
      </c>
      <c r="I11" s="5">
        <v>0.03300565857703709</v>
      </c>
      <c r="J11" s="5">
        <v>0.003362416800025525</v>
      </c>
      <c r="K11" s="5">
        <v>0.0020781671213259</v>
      </c>
      <c r="L11" s="5">
        <v>0.03347957214014236</v>
      </c>
      <c r="M11" s="5">
        <v>0.02762527396705919</v>
      </c>
      <c r="O11" s="7">
        <f>IFERROR(__xludf.DUMMYFUNCTION("""COMPUTED_VALUE"""),-0.01362453114351661)</f>
        <v>-0.01362453114</v>
      </c>
      <c r="P11" s="7">
        <f>IFERROR(__xludf.DUMMYFUNCTION("""COMPUTED_VALUE"""),0.06414514062)</f>
        <v>0.06414514062</v>
      </c>
      <c r="Q11" s="7">
        <f>IFERROR(__xludf.DUMMYFUNCTION("""COMPUTED_VALUE"""),0.6855524079)</f>
        <v>0.6855524079</v>
      </c>
    </row>
    <row r="12">
      <c r="A12" s="4" t="s">
        <v>13</v>
      </c>
      <c r="B12" s="5">
        <v>0.0153042410183323</v>
      </c>
      <c r="C12" s="5">
        <v>0.01792811942273114</v>
      </c>
      <c r="D12" s="5">
        <v>0.0193520305125054</v>
      </c>
      <c r="E12" s="5">
        <v>0.02208928310935887</v>
      </c>
      <c r="F12" s="5">
        <v>0.046562780079129</v>
      </c>
      <c r="G12" s="5">
        <v>-0.008108648760442807</v>
      </c>
      <c r="H12" s="5">
        <v>0.03191041624302948</v>
      </c>
      <c r="I12" s="5">
        <v>0.0093822508415074</v>
      </c>
      <c r="J12" s="5">
        <v>0.02130010406904884</v>
      </c>
      <c r="K12" s="5">
        <v>-0.02089589810635638</v>
      </c>
      <c r="L12" s="5">
        <v>0.02027924544430266</v>
      </c>
      <c r="M12" s="5">
        <v>0.02113548976716801</v>
      </c>
      <c r="O12" s="7">
        <f>IFERROR(__xludf.DUMMYFUNCTION("""COMPUTED_VALUE"""),0.04551687424786283)</f>
        <v>0.04551687425</v>
      </c>
      <c r="P12" s="7">
        <f>IFERROR(__xludf.DUMMYFUNCTION("""COMPUTED_VALUE"""),0.04898361098)</f>
        <v>0.04898361098</v>
      </c>
      <c r="Q12" s="7">
        <f>IFERROR(__xludf.DUMMYFUNCTION("""COMPUTED_VALUE"""),0.7875354108)</f>
        <v>0.7875354108</v>
      </c>
    </row>
    <row r="13">
      <c r="A13" s="4" t="s">
        <v>14</v>
      </c>
      <c r="B13" s="5">
        <v>0.00719158794335268</v>
      </c>
      <c r="C13" s="5">
        <v>0.007572687888895466</v>
      </c>
      <c r="D13" s="5">
        <v>-0.01967252423843245</v>
      </c>
      <c r="E13" s="5">
        <v>0.02912290954560888</v>
      </c>
      <c r="F13" s="5">
        <v>0.07103376109062344</v>
      </c>
      <c r="G13" s="5">
        <v>-0.008910737746153115</v>
      </c>
      <c r="H13" s="5">
        <v>0.02321761728710545</v>
      </c>
      <c r="I13" s="5">
        <v>0.01032516785701669</v>
      </c>
      <c r="J13" s="5">
        <v>-0.01195093387542355</v>
      </c>
      <c r="K13" s="5">
        <v>0.01047737275994658</v>
      </c>
      <c r="L13" s="5">
        <v>0.02741054002847866</v>
      </c>
      <c r="M13" s="5">
        <v>0.01512799559273381</v>
      </c>
      <c r="O13" s="7">
        <f>IFERROR(__xludf.DUMMYFUNCTION("""COMPUTED_VALUE"""),0.02767869517985113)</f>
        <v>0.02767869518</v>
      </c>
      <c r="P13" s="7">
        <f>IFERROR(__xludf.DUMMYFUNCTION("""COMPUTED_VALUE"""),0.03425372631)</f>
        <v>0.03425372631</v>
      </c>
      <c r="Q13" s="7">
        <f>IFERROR(__xludf.DUMMYFUNCTION("""COMPUTED_VALUE"""),0.9433427762)</f>
        <v>0.9433427762</v>
      </c>
    </row>
    <row r="14">
      <c r="A14" s="4" t="s">
        <v>15</v>
      </c>
      <c r="B14" s="5">
        <v>8.001684323279372E-4</v>
      </c>
      <c r="C14" s="5">
        <v>0.01218268032457777</v>
      </c>
      <c r="D14" s="5">
        <v>0.04090390336435757</v>
      </c>
      <c r="E14" s="5">
        <v>0.01698634203707507</v>
      </c>
      <c r="F14" s="5">
        <v>0.02369426582982881</v>
      </c>
      <c r="G14" s="5">
        <v>-0.03640857048838255</v>
      </c>
      <c r="H14" s="5">
        <v>0.01312539665160893</v>
      </c>
      <c r="I14" s="5">
        <v>-0.0128790228732916</v>
      </c>
      <c r="J14" s="5">
        <v>0.02350127338555945</v>
      </c>
      <c r="K14" s="5">
        <v>0.002820345822834581</v>
      </c>
      <c r="L14" s="5">
        <v>0.002857170549436008</v>
      </c>
      <c r="M14" s="5">
        <v>0.01398898424680832</v>
      </c>
      <c r="O14" s="7">
        <f>IFERROR(__xludf.DUMMYFUNCTION("""COMPUTED_VALUE"""),-0.01550805906788396)</f>
        <v>-0.01550805907</v>
      </c>
      <c r="P14" s="7">
        <f>IFERROR(__xludf.DUMMYFUNCTION("""COMPUTED_VALUE"""),0.1950414784)</f>
        <v>0.1950414784</v>
      </c>
      <c r="Q14" s="7">
        <f>IFERROR(__xludf.DUMMYFUNCTION("""COMPUTED_VALUE"""),0.9745042493)</f>
        <v>0.9745042493</v>
      </c>
    </row>
    <row r="15">
      <c r="A15" s="4" t="s">
        <v>16</v>
      </c>
      <c r="B15" s="5">
        <v>0.01771402324312585</v>
      </c>
      <c r="C15" s="5">
        <v>0.006506558817513064</v>
      </c>
      <c r="D15" s="5">
        <v>0.003869346110167114</v>
      </c>
      <c r="E15" s="5">
        <v>-4.189522296470629E-4</v>
      </c>
      <c r="F15" s="5">
        <v>0.03073386235527275</v>
      </c>
      <c r="G15" s="5">
        <v>0.00351221607620953</v>
      </c>
      <c r="H15" s="5">
        <v>0.02491318851922294</v>
      </c>
      <c r="I15" s="5">
        <v>0.01516947202363843</v>
      </c>
      <c r="J15" s="5">
        <v>0.01929103467029438</v>
      </c>
      <c r="K15" s="5">
        <v>0.008023466605023564</v>
      </c>
      <c r="L15" s="5">
        <v>0.04161505898029685</v>
      </c>
      <c r="M15" s="5">
        <v>0.01936877280016058</v>
      </c>
      <c r="O15" s="7">
        <f>IFERROR(__xludf.DUMMYFUNCTION("""COMPUTED_VALUE"""),0.003423137479009528)</f>
        <v>0.003423137479</v>
      </c>
      <c r="P15" s="7">
        <f>IFERROR(__xludf.DUMMYFUNCTION("""COMPUTED_VALUE"""),0.295884535)</f>
        <v>0.295884535</v>
      </c>
      <c r="Q15" s="7">
        <f>IFERROR(__xludf.DUMMYFUNCTION("""COMPUTED_VALUE"""),0.9830028329)</f>
        <v>0.9830028329</v>
      </c>
    </row>
    <row r="16">
      <c r="A16" s="4" t="s">
        <v>17</v>
      </c>
      <c r="B16" s="5">
        <v>-0.007457998277221309</v>
      </c>
      <c r="C16" s="5">
        <v>0.04584985738068328</v>
      </c>
      <c r="D16" s="5">
        <v>0.02097723223167123</v>
      </c>
      <c r="E16" s="5">
        <v>0.02073511841549712</v>
      </c>
      <c r="F16" s="5">
        <v>0.04897880526655515</v>
      </c>
      <c r="G16" s="5">
        <v>-0.03255173067707993</v>
      </c>
      <c r="H16" s="5">
        <v>0.001270029500659183</v>
      </c>
      <c r="I16" s="5">
        <v>0.01803756836218642</v>
      </c>
      <c r="J16" s="5">
        <v>0.02406520731527247</v>
      </c>
      <c r="K16" s="5">
        <v>-0.02594112947278275</v>
      </c>
      <c r="L16" s="5">
        <v>0.02507987336389381</v>
      </c>
      <c r="M16" s="5">
        <v>0.03667369688729672</v>
      </c>
      <c r="O16" s="7">
        <f>IFERROR(__xludf.DUMMYFUNCTION("""COMPUTED_VALUE"""),-0.004489747690076594)</f>
        <v>-0.00448974769</v>
      </c>
      <c r="P16" s="7">
        <f>IFERROR(__xludf.DUMMYFUNCTION("""COMPUTED_VALUE"""),0.2196991974)</f>
        <v>0.2196991974</v>
      </c>
      <c r="Q16" s="7">
        <f>IFERROR(__xludf.DUMMYFUNCTION("""COMPUTED_VALUE"""),0.9745042493)</f>
        <v>0.9745042493</v>
      </c>
    </row>
    <row r="17">
      <c r="A17" s="4" t="s">
        <v>18</v>
      </c>
      <c r="B17" s="5">
        <v>0.02429435560834346</v>
      </c>
      <c r="C17" s="5">
        <v>0.04117361113020391</v>
      </c>
      <c r="D17" s="5">
        <v>0.0323855817285224</v>
      </c>
      <c r="E17" s="5">
        <v>0.00348849125191035</v>
      </c>
      <c r="F17" s="5">
        <v>0.09350722891174436</v>
      </c>
      <c r="G17" s="5">
        <v>-0.05388820998021817</v>
      </c>
      <c r="H17" s="5">
        <v>-0.01230838959981689</v>
      </c>
      <c r="I17" s="5">
        <v>0.009231610830514164</v>
      </c>
      <c r="J17" s="5">
        <v>0.005674501071632768</v>
      </c>
      <c r="K17" s="5">
        <v>0.004928553347474187</v>
      </c>
      <c r="L17" s="5">
        <v>0.02090099260171139</v>
      </c>
      <c r="M17" s="5">
        <v>0.01791808451650983</v>
      </c>
      <c r="O17" s="7">
        <f>IFERROR(__xludf.DUMMYFUNCTION("""COMPUTED_VALUE"""),0.01768406932126746)</f>
        <v>0.01768406932</v>
      </c>
      <c r="P17" s="7">
        <f>IFERROR(__xludf.DUMMYFUNCTION("""COMPUTED_VALUE"""),0.1591070345)</f>
        <v>0.1591070345</v>
      </c>
      <c r="Q17" s="7">
        <f>IFERROR(__xludf.DUMMYFUNCTION("""COMPUTED_VALUE"""),1.0)</f>
        <v>1</v>
      </c>
    </row>
    <row r="18">
      <c r="A18" s="4" t="s">
        <v>19</v>
      </c>
      <c r="B18" s="5">
        <v>-0.008573918248539971</v>
      </c>
      <c r="C18" s="5">
        <v>0.03567624769425169</v>
      </c>
      <c r="D18" s="5">
        <v>0.007840333570203325</v>
      </c>
      <c r="E18" s="5">
        <v>0.01081581839470476</v>
      </c>
      <c r="F18" s="5">
        <v>0.03931023176530601</v>
      </c>
      <c r="G18" s="5">
        <v>-0.02454486913950217</v>
      </c>
      <c r="H18" s="5">
        <v>-0.02485508159972409</v>
      </c>
      <c r="I18" s="5">
        <v>0.02802177002910561</v>
      </c>
      <c r="J18" s="5">
        <v>0.03827236196287698</v>
      </c>
      <c r="K18" s="5">
        <v>0.001833296861122466</v>
      </c>
      <c r="L18" s="5">
        <v>0.05653350621109909</v>
      </c>
      <c r="M18" s="5">
        <v>0.047620216149176</v>
      </c>
      <c r="O18" s="7">
        <f>IFERROR(__xludf.DUMMYFUNCTION("""COMPUTED_VALUE"""),0.03472094963678952)</f>
        <v>0.03472094964</v>
      </c>
      <c r="P18" s="7">
        <f>IFERROR(__xludf.DUMMYFUNCTION("""COMPUTED_VALUE"""),0.1652579753)</f>
        <v>0.1652579753</v>
      </c>
      <c r="Q18" s="7">
        <f>IFERROR(__xludf.DUMMYFUNCTION("""COMPUTED_VALUE"""),0.9915014164)</f>
        <v>0.9915014164</v>
      </c>
    </row>
    <row r="19">
      <c r="A19" s="4" t="s">
        <v>20</v>
      </c>
      <c r="B19" s="5">
        <v>-2.763520955830975E-4</v>
      </c>
      <c r="C19" s="5">
        <v>0.05937503200050073</v>
      </c>
      <c r="D19" s="5">
        <v>0.02579957556482034</v>
      </c>
      <c r="E19" s="5">
        <v>0.02461543398659095</v>
      </c>
      <c r="F19" s="5">
        <v>0.02920858181815071</v>
      </c>
      <c r="G19" s="5">
        <v>-0.03518132992559957</v>
      </c>
      <c r="H19" s="5">
        <v>0.001327955523393945</v>
      </c>
      <c r="I19" s="5">
        <v>0.004457556224978909</v>
      </c>
      <c r="J19" s="5">
        <v>0.02429323569216925</v>
      </c>
      <c r="K19" s="5">
        <v>-0.006071640638490561</v>
      </c>
      <c r="L19" s="5">
        <v>0.02320402969956155</v>
      </c>
      <c r="M19" s="5">
        <v>-0.007700739211578968</v>
      </c>
      <c r="O19" s="7">
        <f>IFERROR(__xludf.DUMMYFUNCTION("""COMPUTED_VALUE"""),0.009850388008809675)</f>
        <v>0.009850388009</v>
      </c>
      <c r="P19" s="7">
        <f>IFERROR(__xludf.DUMMYFUNCTION("""COMPUTED_VALUE"""),0.1408160788)</f>
        <v>0.1408160788</v>
      </c>
      <c r="Q19" s="7">
        <f>IFERROR(__xludf.DUMMYFUNCTION("""COMPUTED_VALUE"""),0.9235127479)</f>
        <v>0.9235127479</v>
      </c>
    </row>
    <row r="20">
      <c r="A20" s="4" t="s">
        <v>21</v>
      </c>
      <c r="B20" s="5">
        <v>8.314640619162261E-4</v>
      </c>
      <c r="C20" s="5">
        <v>0.04639607541561408</v>
      </c>
      <c r="D20" s="5">
        <v>0.007633924781609001</v>
      </c>
      <c r="E20" s="5">
        <v>0.03046160522725407</v>
      </c>
      <c r="F20" s="5">
        <v>0.02901707785504687</v>
      </c>
      <c r="G20" s="5">
        <v>-0.01430637565496437</v>
      </c>
      <c r="H20" s="5">
        <v>0.007667034228618749</v>
      </c>
      <c r="I20" s="5">
        <v>-4.636709688955893E-4</v>
      </c>
      <c r="J20" s="5">
        <v>0.03003379987311723</v>
      </c>
      <c r="K20" s="5">
        <v>-0.002588687426197238</v>
      </c>
      <c r="L20" s="5">
        <v>0.0306808661101274</v>
      </c>
      <c r="M20" s="5">
        <v>0.008361129538947572</v>
      </c>
      <c r="O20" s="7">
        <f>IFERROR(__xludf.DUMMYFUNCTION("""COMPUTED_VALUE"""),0.0251098098275308)</f>
        <v>0.02510980983</v>
      </c>
      <c r="P20" s="7">
        <f>IFERROR(__xludf.DUMMYFUNCTION("""COMPUTED_VALUE"""),0.1099534633)</f>
        <v>0.1099534633</v>
      </c>
      <c r="Q20" s="7">
        <f>IFERROR(__xludf.DUMMYFUNCTION("""COMPUTED_VALUE"""),0.8498583569)</f>
        <v>0.8498583569</v>
      </c>
    </row>
    <row r="21">
      <c r="A21" s="4" t="s">
        <v>22</v>
      </c>
      <c r="B21" s="5">
        <v>-0.01545755658587669</v>
      </c>
      <c r="C21" s="5">
        <v>0.02669123708804367</v>
      </c>
      <c r="D21" s="5">
        <v>-0.00983989484214899</v>
      </c>
      <c r="E21" s="5">
        <v>0.02388863320927615</v>
      </c>
      <c r="F21" s="5">
        <v>0.05413394429372975</v>
      </c>
      <c r="G21" s="5">
        <v>-0.01505734156884477</v>
      </c>
      <c r="H21" s="5">
        <v>0.03731877082364393</v>
      </c>
      <c r="I21" s="5">
        <v>0.0231108800480071</v>
      </c>
      <c r="J21" s="5">
        <v>0.02142174306534992</v>
      </c>
      <c r="K21" s="5">
        <v>0.02327443061247058</v>
      </c>
      <c r="L21" s="5">
        <v>-0.009220254516437184</v>
      </c>
      <c r="M21" s="5">
        <v>0.01847168205705021</v>
      </c>
      <c r="O21" s="7">
        <f>IFERROR(__xludf.DUMMYFUNCTION("""COMPUTED_VALUE"""),0.002475005739429222)</f>
        <v>0.002475005739</v>
      </c>
      <c r="P21" s="7">
        <f>IFERROR(__xludf.DUMMYFUNCTION("""COMPUTED_VALUE"""),0.1033708775)</f>
        <v>0.1033708775</v>
      </c>
      <c r="Q21" s="7">
        <f>IFERROR(__xludf.DUMMYFUNCTION("""COMPUTED_VALUE"""),0.8725212465)</f>
        <v>0.8725212465</v>
      </c>
    </row>
    <row r="22">
      <c r="A22" s="4" t="s">
        <v>23</v>
      </c>
      <c r="B22" s="5">
        <v>-9.153928741624287E-6</v>
      </c>
      <c r="C22" s="5">
        <v>0.03279969973340005</v>
      </c>
      <c r="D22" s="5">
        <v>0.00887335307934742</v>
      </c>
      <c r="E22" s="5">
        <v>0.02815952723552873</v>
      </c>
      <c r="F22" s="5">
        <v>0.05974920485500892</v>
      </c>
      <c r="G22" s="5">
        <v>-0.02780418584654784</v>
      </c>
      <c r="H22" s="5">
        <v>0.02020012658342258</v>
      </c>
      <c r="I22" s="5">
        <v>-0.01174835944639823</v>
      </c>
      <c r="J22" s="5">
        <v>0.03405140098151101</v>
      </c>
      <c r="K22" s="5">
        <v>-0.02514721553636509</v>
      </c>
      <c r="L22" s="5">
        <v>0.02937740385799728</v>
      </c>
      <c r="M22" s="5">
        <v>-5.629871398142722E-4</v>
      </c>
      <c r="O22" s="7">
        <f>IFERROR(__xludf.DUMMYFUNCTION("""COMPUTED_VALUE"""),0.01841294789589839)</f>
        <v>0.0184129479</v>
      </c>
      <c r="P22" s="7">
        <f>IFERROR(__xludf.DUMMYFUNCTION("""COMPUTED_VALUE"""),0.09775949282)</f>
        <v>0.09775949282</v>
      </c>
      <c r="Q22" s="7">
        <f>IFERROR(__xludf.DUMMYFUNCTION("""COMPUTED_VALUE"""),0.940509915)</f>
        <v>0.940509915</v>
      </c>
    </row>
    <row r="23">
      <c r="A23" s="4" t="s">
        <v>24</v>
      </c>
      <c r="B23" s="5">
        <v>0.00458648042492285</v>
      </c>
      <c r="C23" s="5">
        <v>0.04307016408355807</v>
      </c>
      <c r="D23" s="5">
        <v>0.007239943615408219</v>
      </c>
      <c r="E23" s="5">
        <v>0.03543065442953279</v>
      </c>
      <c r="F23" s="5">
        <v>0.04376936131790155</v>
      </c>
      <c r="G23" s="5">
        <v>-0.02054374773913064</v>
      </c>
      <c r="H23" s="5">
        <v>0.004476652584727923</v>
      </c>
      <c r="I23" s="5">
        <v>-0.02461149622386271</v>
      </c>
      <c r="J23" s="5">
        <v>-0.01711429938416075</v>
      </c>
      <c r="K23" s="5">
        <v>-0.01063667158082518</v>
      </c>
      <c r="L23" s="5">
        <v>0.04625998937010491</v>
      </c>
      <c r="M23" s="5">
        <v>0.03249862732219783</v>
      </c>
      <c r="O23" s="7">
        <f>IFERROR(__xludf.DUMMYFUNCTION("""COMPUTED_VALUE"""),0.005783047936699363)</f>
        <v>0.005783047937</v>
      </c>
      <c r="P23" s="7">
        <f>IFERROR(__xludf.DUMMYFUNCTION("""COMPUTED_VALUE"""),0.08680650165)</f>
        <v>0.08680650165</v>
      </c>
      <c r="Q23" s="7">
        <f>IFERROR(__xludf.DUMMYFUNCTION("""COMPUTED_VALUE"""),0.9490084986)</f>
        <v>0.9490084986</v>
      </c>
    </row>
    <row r="24">
      <c r="A24" s="4" t="s">
        <v>25</v>
      </c>
      <c r="B24" s="8">
        <v>0.07958817829</v>
      </c>
      <c r="C24" s="8">
        <v>0.3010389084</v>
      </c>
      <c r="D24" s="8">
        <v>0.1179561749</v>
      </c>
      <c r="E24" s="8">
        <v>0.1792926486</v>
      </c>
      <c r="F24" s="8">
        <v>0.5495296692</v>
      </c>
      <c r="G24" s="8">
        <v>0.04388831226</v>
      </c>
      <c r="H24" s="8">
        <v>0.06030117451</v>
      </c>
      <c r="I24" s="8">
        <v>0.0827423111</v>
      </c>
      <c r="J24" s="8">
        <v>0.1490187048</v>
      </c>
      <c r="K24" s="8">
        <v>0.08269886645</v>
      </c>
      <c r="L24" s="8">
        <v>0.1719763062</v>
      </c>
      <c r="M24" s="8">
        <v>0.1849616949</v>
      </c>
      <c r="O24" s="7">
        <f>IFERROR(__xludf.DUMMYFUNCTION("""COMPUTED_VALUE"""),0.03591692511264611)</f>
        <v>0.03591692511</v>
      </c>
      <c r="P24" s="7">
        <f>IFERROR(__xludf.DUMMYFUNCTION("""COMPUTED_VALUE"""),0.0671126998)</f>
        <v>0.0671126998</v>
      </c>
      <c r="Q24" s="7">
        <f>IFERROR(__xludf.DUMMYFUNCTION("""COMPUTED_VALUE"""),0.8640226629)</f>
        <v>0.8640226629</v>
      </c>
    </row>
    <row r="25">
      <c r="A25" s="4" t="s">
        <v>26</v>
      </c>
      <c r="B25" s="5">
        <v>-0.003476322325365507</v>
      </c>
      <c r="C25" s="5">
        <v>0.03386114279527395</v>
      </c>
      <c r="D25" s="5">
        <v>-0.01039939826289133</v>
      </c>
      <c r="E25" s="5">
        <v>0.04406029198773135</v>
      </c>
      <c r="F25" s="5">
        <v>0.1034116388722557</v>
      </c>
      <c r="G25" s="5">
        <v>-0.04081887056193328</v>
      </c>
      <c r="H25" s="5">
        <v>-0.01175667989902923</v>
      </c>
      <c r="I25" s="5">
        <v>0.01923830434818943</v>
      </c>
      <c r="J25" s="5">
        <v>0.03596726385500009</v>
      </c>
      <c r="K25" s="5">
        <v>0.009808201644440314</v>
      </c>
      <c r="L25" s="5">
        <v>-0.01344355110701005</v>
      </c>
      <c r="M25" s="5">
        <v>0.02912152802520943</v>
      </c>
      <c r="O25" s="7">
        <f>IFERROR(__xludf.DUMMYFUNCTION("""COMPUTED_VALUE"""),0.01411927848446944)</f>
        <v>0.01411927848</v>
      </c>
      <c r="P25" s="7">
        <f>IFERROR(__xludf.DUMMYFUNCTION("""COMPUTED_VALUE"""),0.05723882107)</f>
        <v>0.05723882107</v>
      </c>
      <c r="Q25" s="7">
        <f>IFERROR(__xludf.DUMMYFUNCTION("""COMPUTED_VALUE"""),0.8526912181)</f>
        <v>0.8526912181</v>
      </c>
    </row>
    <row r="26">
      <c r="A26" s="4" t="s">
        <v>27</v>
      </c>
      <c r="B26" s="5">
        <v>-0.002235286369726609</v>
      </c>
      <c r="C26" s="5">
        <v>0.01615716719455356</v>
      </c>
      <c r="D26" s="5">
        <v>-0.0105608256161337</v>
      </c>
      <c r="E26" s="5">
        <v>0.01376354104348635</v>
      </c>
      <c r="F26" s="5">
        <v>0.04862835222659218</v>
      </c>
      <c r="G26" s="5">
        <v>-0.006849600777712916</v>
      </c>
      <c r="H26" s="5">
        <v>0.03018665814381449</v>
      </c>
      <c r="I26" s="5">
        <v>0.0171719772706642</v>
      </c>
      <c r="J26" s="5">
        <v>-0.001770017297125195</v>
      </c>
      <c r="K26" s="5">
        <v>9.542857893895622E-5</v>
      </c>
      <c r="L26" s="5">
        <v>0.01666775424972431</v>
      </c>
      <c r="M26" s="5">
        <v>0.03318709540282299</v>
      </c>
      <c r="O26" s="7">
        <f>IFERROR(__xludf.DUMMYFUNCTION("""COMPUTED_VALUE"""),0.003144981180246767)</f>
        <v>0.00314498118</v>
      </c>
      <c r="P26" s="7">
        <f>IFERROR(__xludf.DUMMYFUNCTION("""COMPUTED_VALUE"""),0.4752330208)</f>
        <v>0.4752330208</v>
      </c>
      <c r="Q26" s="7">
        <f>IFERROR(__xludf.DUMMYFUNCTION("""COMPUTED_VALUE"""),0.7518413598)</f>
        <v>0.7518413598</v>
      </c>
    </row>
    <row r="27">
      <c r="A27" s="4" t="s">
        <v>28</v>
      </c>
      <c r="B27" s="5">
        <v>0.01217495055156818</v>
      </c>
      <c r="C27" s="5">
        <v>0.01297289614082412</v>
      </c>
      <c r="D27" s="5">
        <v>-0.01854543908565983</v>
      </c>
      <c r="E27" s="5">
        <v>0.04022466724781694</v>
      </c>
      <c r="F27" s="5">
        <v>0.05306833122587624</v>
      </c>
      <c r="G27" s="5">
        <v>-0.02242105031351834</v>
      </c>
      <c r="H27" s="5">
        <v>0.01845309556162968</v>
      </c>
      <c r="I27" s="5">
        <v>0.02798524047914695</v>
      </c>
      <c r="J27" s="5">
        <v>0.003304745571031654</v>
      </c>
      <c r="K27" s="5">
        <v>-0.01915068661792532</v>
      </c>
      <c r="L27" s="5">
        <v>0.03287652290715787</v>
      </c>
      <c r="M27" s="5">
        <v>0.04772376519980543</v>
      </c>
      <c r="O27" s="7">
        <f>IFERROR(__xludf.DUMMYFUNCTION("""COMPUTED_VALUE"""),0.0156425637222698)</f>
        <v>0.01564256372</v>
      </c>
      <c r="P27" s="7">
        <f>IFERROR(__xludf.DUMMYFUNCTION("""COMPUTED_VALUE"""),0.4473379645)</f>
        <v>0.4473379645</v>
      </c>
      <c r="Q27" s="7">
        <f>IFERROR(__xludf.DUMMYFUNCTION("""COMPUTED_VALUE"""),0.7487252125)</f>
        <v>0.7487252125</v>
      </c>
    </row>
    <row r="28">
      <c r="A28" s="4" t="s">
        <v>29</v>
      </c>
      <c r="B28" s="5">
        <v>-0.01885702509434362</v>
      </c>
      <c r="C28" s="5">
        <v>0.03248143819246841</v>
      </c>
      <c r="D28" s="5">
        <v>0.002958018706912582</v>
      </c>
      <c r="E28" s="5">
        <v>0.03945991197893355</v>
      </c>
      <c r="F28" s="5">
        <v>0.0455789729982325</v>
      </c>
      <c r="G28" s="5">
        <v>-0.008374709058371862</v>
      </c>
      <c r="H28" s="5">
        <v>0.0148505751741288</v>
      </c>
      <c r="I28" s="5">
        <v>0.06109454439272572</v>
      </c>
      <c r="J28" s="5">
        <v>0.02511110053636459</v>
      </c>
      <c r="K28" s="5">
        <v>-5.490476366508101E-4</v>
      </c>
      <c r="L28" s="5">
        <v>0.03257901924542615</v>
      </c>
      <c r="M28" s="5">
        <v>0.01201439673734698</v>
      </c>
      <c r="O28" s="7">
        <f>IFERROR(__xludf.DUMMYFUNCTION("""COMPUTED_VALUE"""),0.01645051331551754)</f>
        <v>0.01645051332</v>
      </c>
      <c r="P28" s="7">
        <f>IFERROR(__xludf.DUMMYFUNCTION("""COMPUTED_VALUE"""),0.1777217239)</f>
        <v>0.1777217239</v>
      </c>
      <c r="Q28" s="7">
        <f>IFERROR(__xludf.DUMMYFUNCTION("""COMPUTED_VALUE"""),0.7456090652)</f>
        <v>0.7456090652</v>
      </c>
    </row>
    <row r="29">
      <c r="A29" s="4" t="s">
        <v>30</v>
      </c>
      <c r="B29" s="5">
        <v>0.02524233881954087</v>
      </c>
      <c r="C29" s="5">
        <v>0.0923101442004925</v>
      </c>
      <c r="D29" s="5">
        <v>0.00809622391186966</v>
      </c>
      <c r="E29" s="5">
        <v>0.0456136277431818</v>
      </c>
      <c r="F29" s="5">
        <v>0.04265957489488357</v>
      </c>
      <c r="G29" s="5">
        <v>0.03391856732569443</v>
      </c>
      <c r="H29" s="5">
        <v>0.00521106696287784</v>
      </c>
      <c r="I29" s="5">
        <v>0.01454998108966455</v>
      </c>
      <c r="J29" s="5">
        <v>0.04026333059559339</v>
      </c>
      <c r="K29" s="5">
        <v>0.00892415639760893</v>
      </c>
      <c r="L29" s="5">
        <v>0.03504243821666245</v>
      </c>
      <c r="M29" s="5">
        <v>0.005748469361784319</v>
      </c>
      <c r="O29" s="7">
        <f>IFERROR(__xludf.DUMMYFUNCTION("""COMPUTED_VALUE"""),0.005847555985461925)</f>
        <v>0.005847555985</v>
      </c>
      <c r="P29" s="7">
        <f>IFERROR(__xludf.DUMMYFUNCTION("""COMPUTED_VALUE"""),0.2363714845)</f>
        <v>0.2363714845</v>
      </c>
      <c r="Q29" s="7">
        <f>IFERROR(__xludf.DUMMYFUNCTION("""COMPUTED_VALUE"""),0.7464589235)</f>
        <v>0.7464589235</v>
      </c>
    </row>
    <row r="30">
      <c r="A30" s="4" t="s">
        <v>31</v>
      </c>
      <c r="B30" s="5">
        <v>0.01126777641509852</v>
      </c>
      <c r="C30" s="5">
        <v>0.01911559684260707</v>
      </c>
      <c r="D30" s="5">
        <v>0.01425852107486944</v>
      </c>
      <c r="E30" s="5">
        <v>-0.002718961355323896</v>
      </c>
      <c r="F30" s="5">
        <v>0.0629232292406107</v>
      </c>
      <c r="G30" s="5">
        <v>-0.01034153242667817</v>
      </c>
      <c r="H30" s="5">
        <v>-0.00213004293333417</v>
      </c>
      <c r="I30" s="5">
        <v>-0.00322860412485805</v>
      </c>
      <c r="J30" s="5">
        <v>0.01791526757676973</v>
      </c>
      <c r="K30" s="5">
        <v>0.01167474210722776</v>
      </c>
      <c r="L30" s="5">
        <v>0.02194911132098757</v>
      </c>
      <c r="M30" s="5">
        <v>0.01781446103155151</v>
      </c>
      <c r="O30" s="7">
        <f>IFERROR(__xludf.DUMMYFUNCTION("""COMPUTED_VALUE"""),0.05484000762334306)</f>
        <v>0.05484000762</v>
      </c>
      <c r="P30" s="7">
        <f>IFERROR(__xludf.DUMMYFUNCTION("""COMPUTED_VALUE"""),0.1191798746)</f>
        <v>0.1191798746</v>
      </c>
      <c r="Q30" s="7">
        <f>IFERROR(__xludf.DUMMYFUNCTION("""COMPUTED_VALUE"""),0.747592068)</f>
        <v>0.747592068</v>
      </c>
    </row>
    <row r="31">
      <c r="O31" s="7">
        <f>IFERROR(__xludf.DUMMYFUNCTION("""COMPUTED_VALUE"""),-0.04374856333401774)</f>
        <v>-0.04374856333</v>
      </c>
      <c r="P31" s="7">
        <f>IFERROR(__xludf.DUMMYFUNCTION("""COMPUTED_VALUE"""),0.02535104876)</f>
        <v>0.02535104876</v>
      </c>
      <c r="Q31" s="7">
        <f>IFERROR(__xludf.DUMMYFUNCTION("""COMPUTED_VALUE"""),0.7441926346)</f>
        <v>0.7441926346</v>
      </c>
    </row>
    <row r="32">
      <c r="O32" s="7">
        <f>IFERROR(__xludf.DUMMYFUNCTION("""COMPUTED_VALUE"""),0.0375411415132909)</f>
        <v>0.03754114151</v>
      </c>
      <c r="P32" s="7">
        <f>IFERROR(__xludf.DUMMYFUNCTION("""COMPUTED_VALUE"""),0.09382073245)</f>
        <v>0.09382073245</v>
      </c>
      <c r="Q32" s="7">
        <f>IFERROR(__xludf.DUMMYFUNCTION("""COMPUTED_VALUE"""),0.7407932011)</f>
        <v>0.7407932011</v>
      </c>
    </row>
    <row r="33">
      <c r="O33" s="7">
        <f>IFERROR(__xludf.DUMMYFUNCTION("""COMPUTED_VALUE"""),0.003598780509103944)</f>
        <v>0.003598780509</v>
      </c>
      <c r="P33" s="7">
        <f>IFERROR(__xludf.DUMMYFUNCTION("""COMPUTED_VALUE"""),0.0)</f>
        <v>0</v>
      </c>
      <c r="Q33" s="7">
        <f>IFERROR(__xludf.DUMMYFUNCTION("""COMPUTED_VALUE"""),0.7433427762)</f>
        <v>0.7433427762</v>
      </c>
    </row>
    <row r="34">
      <c r="A34" s="9" t="s">
        <v>1</v>
      </c>
      <c r="B34" s="10">
        <v>2025.0</v>
      </c>
      <c r="C34" s="10">
        <v>2024.0</v>
      </c>
      <c r="D34" s="10">
        <v>2023.0</v>
      </c>
      <c r="E34" s="10">
        <v>2022.0</v>
      </c>
      <c r="F34" s="10">
        <v>2021.0</v>
      </c>
      <c r="G34" s="10">
        <v>2020.0</v>
      </c>
      <c r="H34" s="10">
        <v>2019.0</v>
      </c>
      <c r="I34" s="10">
        <v>2018.0</v>
      </c>
      <c r="J34" s="10">
        <v>2017.0</v>
      </c>
      <c r="K34" s="10">
        <v>2016.0</v>
      </c>
      <c r="L34" s="10">
        <v>2015.0</v>
      </c>
      <c r="M34" s="10">
        <v>2014.0</v>
      </c>
      <c r="O34" s="7">
        <f>IFERROR(__xludf.DUMMYFUNCTION("""COMPUTED_VALUE"""),0.007245626328476344)</f>
        <v>0.007245626328</v>
      </c>
      <c r="P34" s="7">
        <f>IFERROR(__xludf.DUMMYFUNCTION("""COMPUTED_VALUE"""),0.07758009038)</f>
        <v>0.07758009038</v>
      </c>
      <c r="Q34" s="7">
        <f>IFERROR(__xludf.DUMMYFUNCTION("""COMPUTED_VALUE"""),0.7436260623)</f>
        <v>0.7436260623</v>
      </c>
    </row>
    <row r="35">
      <c r="A35" s="10" t="s">
        <v>3</v>
      </c>
      <c r="B35" s="10">
        <v>0.2657233426</v>
      </c>
      <c r="C35" s="10">
        <v>0.1912645849</v>
      </c>
      <c r="D35" s="10">
        <v>0.1212841438</v>
      </c>
      <c r="E35" s="10">
        <v>0.1094678627</v>
      </c>
      <c r="F35" s="10">
        <v>0.1212841438</v>
      </c>
      <c r="G35" s="10">
        <v>0.0876697916</v>
      </c>
      <c r="H35" s="10">
        <v>0.09263370877</v>
      </c>
      <c r="I35" s="10">
        <v>0.08437849868</v>
      </c>
      <c r="J35" s="10">
        <v>0.09058339516</v>
      </c>
      <c r="K35" s="10">
        <v>0.06414514062</v>
      </c>
      <c r="L35" s="10">
        <v>0.04898361098</v>
      </c>
      <c r="M35" s="10">
        <v>0.03425372631</v>
      </c>
      <c r="O35" s="7">
        <f>IFERROR(__xludf.DUMMYFUNCTION("""COMPUTED_VALUE"""),-0.01828814174192833)</f>
        <v>-0.01828814174</v>
      </c>
      <c r="P35" s="7">
        <f>IFERROR(__xludf.DUMMYFUNCTION("""COMPUTED_VALUE"""),0.177128212)</f>
        <v>0.177128212</v>
      </c>
      <c r="Q35" s="7">
        <f>IFERROR(__xludf.DUMMYFUNCTION("""COMPUTED_VALUE"""),0.7461756374)</f>
        <v>0.7461756374</v>
      </c>
    </row>
    <row r="36">
      <c r="A36" s="10" t="s">
        <v>4</v>
      </c>
      <c r="B36" s="10">
        <v>0.1950414784</v>
      </c>
      <c r="C36" s="10">
        <v>0.295884535</v>
      </c>
      <c r="D36" s="10">
        <v>0.2196991974</v>
      </c>
      <c r="E36" s="10">
        <v>0.1591070345</v>
      </c>
      <c r="F36" s="10">
        <v>0.1652579753</v>
      </c>
      <c r="G36" s="10">
        <v>0.1408160788</v>
      </c>
      <c r="H36" s="10">
        <v>0.1099534633</v>
      </c>
      <c r="I36" s="10">
        <v>0.1033708775</v>
      </c>
      <c r="J36" s="10">
        <v>0.09775949282</v>
      </c>
      <c r="K36" s="10">
        <v>0.08680650165</v>
      </c>
      <c r="L36" s="10">
        <v>0.0671126998</v>
      </c>
      <c r="M36" s="10">
        <v>0.05723882107</v>
      </c>
      <c r="O36" s="7">
        <f>IFERROR(__xludf.DUMMYFUNCTION("""COMPUTED_VALUE"""),0.05025385912291375)</f>
        <v>0.05025385912</v>
      </c>
      <c r="P36" s="7">
        <f>IFERROR(__xludf.DUMMYFUNCTION("""COMPUTED_VALUE"""),0.1571646321)</f>
        <v>0.1571646321</v>
      </c>
      <c r="Q36" s="7">
        <f>IFERROR(__xludf.DUMMYFUNCTION("""COMPUTED_VALUE"""),0.745325779)</f>
        <v>0.745325779</v>
      </c>
    </row>
    <row r="37">
      <c r="A37" s="10" t="s">
        <v>5</v>
      </c>
      <c r="B37" s="10">
        <v>0.4752330208</v>
      </c>
      <c r="C37" s="10">
        <v>0.4473379645</v>
      </c>
      <c r="D37" s="10">
        <v>0.1777217239</v>
      </c>
      <c r="E37" s="10">
        <v>0.2363714845</v>
      </c>
      <c r="F37" s="10">
        <v>0.1191798746</v>
      </c>
      <c r="G37" s="10">
        <v>0.02535104876</v>
      </c>
      <c r="H37" s="10">
        <v>0.09382073245</v>
      </c>
      <c r="I37" s="10">
        <v>0.0</v>
      </c>
      <c r="J37" s="10">
        <v>0.07758009038</v>
      </c>
      <c r="K37" s="10">
        <v>0.177128212</v>
      </c>
      <c r="L37" s="10">
        <v>0.1571646321</v>
      </c>
      <c r="M37" s="10">
        <v>0.7127456667</v>
      </c>
      <c r="O37" s="7">
        <f>IFERROR(__xludf.DUMMYFUNCTION("""COMPUTED_VALUE"""),0.02082425450500124)</f>
        <v>0.02082425451</v>
      </c>
      <c r="P37" s="7">
        <f>IFERROR(__xludf.DUMMYFUNCTION("""COMPUTED_VALUE"""),0.7127456667)</f>
        <v>0.7127456667</v>
      </c>
      <c r="Q37" s="7">
        <f>IFERROR(__xludf.DUMMYFUNCTION("""COMPUTED_VALUE"""),0.7458923513)</f>
        <v>0.7458923513</v>
      </c>
    </row>
    <row r="38">
      <c r="A38" s="10" t="s">
        <v>6</v>
      </c>
      <c r="B38" s="10">
        <v>0.040998179</v>
      </c>
      <c r="C38" s="10">
        <v>0.02804882984</v>
      </c>
      <c r="D38" s="10">
        <v>0.01348081203</v>
      </c>
      <c r="E38" s="10">
        <v>0.1321831793</v>
      </c>
      <c r="F38" s="10">
        <v>0.04909152222</v>
      </c>
      <c r="G38" s="10">
        <v>0.2147352802</v>
      </c>
      <c r="H38" s="10">
        <v>0.09279557564</v>
      </c>
      <c r="I38" s="10">
        <v>0.03668172928</v>
      </c>
      <c r="J38" s="10">
        <v>0.0124016996</v>
      </c>
      <c r="K38" s="10">
        <v>0.04423551629</v>
      </c>
      <c r="L38" s="10">
        <v>0.03128616713</v>
      </c>
      <c r="M38" s="10">
        <v>0.01671814932</v>
      </c>
      <c r="O38" s="7">
        <f>IFERROR(__xludf.DUMMYFUNCTION("""COMPUTED_VALUE"""),0.01326890111153658)</f>
        <v>0.01326890111</v>
      </c>
      <c r="P38" s="7">
        <f>IFERROR(__xludf.DUMMYFUNCTION("""COMPUTED_VALUE"""),0.040998179)</f>
        <v>0.040998179</v>
      </c>
      <c r="Q38" s="7">
        <f>IFERROR(__xludf.DUMMYFUNCTION("""COMPUTED_VALUE"""),0.7847025496)</f>
        <v>0.7847025496</v>
      </c>
    </row>
    <row r="39">
      <c r="A39" s="10" t="s">
        <v>7</v>
      </c>
      <c r="B39" s="10">
        <v>1.0</v>
      </c>
      <c r="C39" s="10">
        <v>1.0</v>
      </c>
      <c r="D39" s="10">
        <v>1.0</v>
      </c>
      <c r="E39" s="10">
        <v>0.6134133675</v>
      </c>
      <c r="F39" s="10">
        <v>0.3825372631</v>
      </c>
      <c r="G39" s="10">
        <v>0.4692439469</v>
      </c>
      <c r="H39" s="10">
        <v>0.359606124</v>
      </c>
      <c r="I39" s="10">
        <v>0.2425224253</v>
      </c>
      <c r="J39" s="10">
        <v>0.1703298037</v>
      </c>
      <c r="K39" s="10">
        <v>1.0</v>
      </c>
      <c r="L39" s="10">
        <v>0.9474526202</v>
      </c>
      <c r="M39" s="10">
        <v>0.763733729</v>
      </c>
      <c r="O39" s="7">
        <f>IFERROR(__xludf.DUMMYFUNCTION("""COMPUTED_VALUE"""),0.02102731258654204)</f>
        <v>0.02102731259</v>
      </c>
      <c r="P39" s="7">
        <f>IFERROR(__xludf.DUMMYFUNCTION("""COMPUTED_VALUE"""),0.02804882984)</f>
        <v>0.02804882984</v>
      </c>
      <c r="Q39" s="7">
        <f>IFERROR(__xludf.DUMMYFUNCTION("""COMPUTED_VALUE"""),0.9716713881)</f>
        <v>0.9716713881</v>
      </c>
    </row>
    <row r="40">
      <c r="A40" s="10" t="s">
        <v>8</v>
      </c>
      <c r="B40" s="10">
        <v>0.02794091859</v>
      </c>
      <c r="C40" s="10">
        <v>0.01806703986</v>
      </c>
      <c r="D40" s="10">
        <v>0.01072907534</v>
      </c>
      <c r="E40" s="10">
        <v>0.04180751332</v>
      </c>
      <c r="F40" s="10">
        <v>0.03517097188</v>
      </c>
      <c r="G40" s="10">
        <v>0.02907398665</v>
      </c>
      <c r="H40" s="10">
        <v>0.03042287718</v>
      </c>
      <c r="I40" s="10">
        <v>0.02011735348</v>
      </c>
      <c r="J40" s="10">
        <v>0.02071086531</v>
      </c>
      <c r="K40" s="10">
        <v>0.01871450732</v>
      </c>
      <c r="L40" s="10">
        <v>0.7961071019</v>
      </c>
      <c r="M40" s="10">
        <v>0.6302475214</v>
      </c>
      <c r="O40" s="7">
        <f>IFERROR(__xludf.DUMMYFUNCTION("""COMPUTED_VALUE"""),-0.0157944904480797)</f>
        <v>-0.01579449045</v>
      </c>
      <c r="P40" s="7">
        <f>IFERROR(__xludf.DUMMYFUNCTION("""COMPUTED_VALUE"""),0.01348081203)</f>
        <v>0.01348081203</v>
      </c>
      <c r="Q40" s="7">
        <f>IFERROR(__xludf.DUMMYFUNCTION("""COMPUTED_VALUE"""),0.9830028329)</f>
        <v>0.9830028329</v>
      </c>
    </row>
    <row r="41">
      <c r="A41" s="10" t="s">
        <v>9</v>
      </c>
      <c r="B41" s="10">
        <v>0.291028529</v>
      </c>
      <c r="C41" s="10">
        <v>0.05772442166</v>
      </c>
      <c r="D41" s="10">
        <v>0.06727456667</v>
      </c>
      <c r="E41" s="10">
        <v>0.02982936535</v>
      </c>
      <c r="F41" s="10">
        <v>0.0</v>
      </c>
      <c r="G41" s="10">
        <v>0.0</v>
      </c>
      <c r="H41" s="10">
        <v>0.0</v>
      </c>
      <c r="I41" s="10">
        <v>0.003499022054</v>
      </c>
      <c r="J41" s="10">
        <v>0.03997302219</v>
      </c>
      <c r="K41" s="10">
        <v>0.07067377082</v>
      </c>
      <c r="L41" s="10">
        <v>0.0510339246</v>
      </c>
      <c r="M41" s="10">
        <v>0.02648411681</v>
      </c>
      <c r="O41" s="7">
        <f>IFERROR(__xludf.DUMMYFUNCTION("""COMPUTED_VALUE"""),0.04993761237661055)</f>
        <v>0.04993761238</v>
      </c>
      <c r="P41" s="7">
        <f>IFERROR(__xludf.DUMMYFUNCTION("""COMPUTED_VALUE"""),0.1321831793)</f>
        <v>0.1321831793</v>
      </c>
      <c r="Q41" s="7">
        <f>IFERROR(__xludf.DUMMYFUNCTION("""COMPUTED_VALUE"""),0.9886685552)</f>
        <v>0.9886685552</v>
      </c>
    </row>
    <row r="42">
      <c r="A42" s="10" t="s">
        <v>10</v>
      </c>
      <c r="B42" s="10">
        <v>0.3344628043</v>
      </c>
      <c r="C42" s="10">
        <v>0.3008484521</v>
      </c>
      <c r="D42" s="10">
        <v>0.2842840763</v>
      </c>
      <c r="E42" s="10">
        <v>0.2571983544</v>
      </c>
      <c r="F42" s="10">
        <v>0.2102569636</v>
      </c>
      <c r="G42" s="10">
        <v>0.2085303838</v>
      </c>
      <c r="H42" s="10">
        <v>0.3855048223</v>
      </c>
      <c r="I42" s="10">
        <v>0.3242112363</v>
      </c>
      <c r="J42" s="10">
        <v>0.3138517569</v>
      </c>
      <c r="K42" s="10">
        <v>0.2028110879</v>
      </c>
      <c r="L42" s="10">
        <v>0.2680973899</v>
      </c>
      <c r="M42" s="10">
        <v>0.4846752546</v>
      </c>
      <c r="O42" s="7">
        <f>IFERROR(__xludf.DUMMYFUNCTION("""COMPUTED_VALUE"""),0.07471070482948455)</f>
        <v>0.07471070483</v>
      </c>
      <c r="P42" s="7">
        <f>IFERROR(__xludf.DUMMYFUNCTION("""COMPUTED_VALUE"""),0.04909152222)</f>
        <v>0.04909152222</v>
      </c>
      <c r="Q42" s="7">
        <f>IFERROR(__xludf.DUMMYFUNCTION("""COMPUTED_VALUE"""),0.9858356941)</f>
        <v>0.9858356941</v>
      </c>
    </row>
    <row r="43">
      <c r="A43" s="10" t="s">
        <v>11</v>
      </c>
      <c r="B43" s="10">
        <v>0.4871572132</v>
      </c>
      <c r="C43" s="10">
        <v>0.4743157753</v>
      </c>
      <c r="D43" s="10">
        <v>0.4325541242</v>
      </c>
      <c r="E43" s="10">
        <v>0.3572320766</v>
      </c>
      <c r="F43" s="10">
        <v>0.2994995616</v>
      </c>
      <c r="G43" s="10">
        <v>0.2555257301</v>
      </c>
      <c r="H43" s="10">
        <v>0.4338490591</v>
      </c>
      <c r="I43" s="10">
        <v>0.3704512039</v>
      </c>
      <c r="J43" s="10">
        <v>0.3078626829</v>
      </c>
      <c r="K43" s="10">
        <v>0.2597342686</v>
      </c>
      <c r="L43" s="10">
        <v>0.2239077359</v>
      </c>
      <c r="M43" s="10">
        <v>0.1845740878</v>
      </c>
      <c r="O43" s="7">
        <f>IFERROR(__xludf.DUMMYFUNCTION("""COMPUTED_VALUE"""),-0.01362733828095101)</f>
        <v>-0.01362733828</v>
      </c>
      <c r="P43" s="7">
        <f>IFERROR(__xludf.DUMMYFUNCTION("""COMPUTED_VALUE"""),0.2147352802)</f>
        <v>0.2147352802</v>
      </c>
      <c r="Q43" s="7">
        <f>IFERROR(__xludf.DUMMYFUNCTION("""COMPUTED_VALUE"""),0.9773371105)</f>
        <v>0.9773371105</v>
      </c>
    </row>
    <row r="44">
      <c r="A44" s="10" t="s">
        <v>12</v>
      </c>
      <c r="B44" s="10">
        <v>0.2331881028</v>
      </c>
      <c r="C44" s="10">
        <v>0.2246631146</v>
      </c>
      <c r="D44" s="10">
        <v>0.2210480879</v>
      </c>
      <c r="E44" s="10">
        <v>0.1925595198</v>
      </c>
      <c r="F44" s="10">
        <v>0.1722722061</v>
      </c>
      <c r="G44" s="10">
        <v>0.1568408984</v>
      </c>
      <c r="H44" s="10">
        <v>0.1395211439</v>
      </c>
      <c r="I44" s="10">
        <v>0.1185863627</v>
      </c>
      <c r="J44" s="10">
        <v>0.1001874958</v>
      </c>
      <c r="K44" s="10">
        <v>0.09166250759</v>
      </c>
      <c r="L44" s="10">
        <v>0.09743575909</v>
      </c>
      <c r="M44" s="10">
        <v>0.08702232414</v>
      </c>
      <c r="O44" s="7">
        <f>IFERROR(__xludf.DUMMYFUNCTION("""COMPUTED_VALUE"""),0.02646716128931413)</f>
        <v>0.02646716129</v>
      </c>
      <c r="P44" s="7">
        <f>IFERROR(__xludf.DUMMYFUNCTION("""COMPUTED_VALUE"""),0.09279557564)</f>
        <v>0.09279557564</v>
      </c>
      <c r="Q44" s="7">
        <f>IFERROR(__xludf.DUMMYFUNCTION("""COMPUTED_VALUE"""),0.9631728045)</f>
        <v>0.9631728045</v>
      </c>
    </row>
    <row r="45">
      <c r="A45" s="10" t="s">
        <v>13</v>
      </c>
      <c r="B45" s="10">
        <v>0.3725015175</v>
      </c>
      <c r="C45" s="10">
        <v>0.322970257</v>
      </c>
      <c r="D45" s="10">
        <v>0.2467849194</v>
      </c>
      <c r="E45" s="10">
        <v>0.1798799487</v>
      </c>
      <c r="F45" s="10">
        <v>0.1334241586</v>
      </c>
      <c r="G45" s="10">
        <v>0.06716665543</v>
      </c>
      <c r="H45" s="10">
        <v>0.02389424698</v>
      </c>
      <c r="I45" s="10">
        <v>0.05281446011</v>
      </c>
      <c r="J45" s="10">
        <v>0.0741269306</v>
      </c>
      <c r="K45" s="10">
        <v>0.08259796318</v>
      </c>
      <c r="L45" s="10">
        <v>0.1028852769</v>
      </c>
      <c r="M45" s="10">
        <v>0.5047467458</v>
      </c>
      <c r="O45" s="7">
        <f>IFERROR(__xludf.DUMMYFUNCTION("""COMPUTED_VALUE"""),0.0215932128507568)</f>
        <v>0.02159321285</v>
      </c>
      <c r="P45" s="7">
        <f>IFERROR(__xludf.DUMMYFUNCTION("""COMPUTED_VALUE"""),0.03668172928)</f>
        <v>0.03668172928</v>
      </c>
      <c r="Q45" s="7">
        <f>IFERROR(__xludf.DUMMYFUNCTION("""COMPUTED_VALUE"""),0.8696883853)</f>
        <v>0.8696883853</v>
      </c>
    </row>
    <row r="46">
      <c r="A46" s="10" t="s">
        <v>14</v>
      </c>
      <c r="B46" s="10">
        <v>0.3358116949</v>
      </c>
      <c r="C46" s="10">
        <v>0.3306859108</v>
      </c>
      <c r="D46" s="10">
        <v>0.2991218723</v>
      </c>
      <c r="E46" s="10">
        <v>0.2714426384</v>
      </c>
      <c r="F46" s="10">
        <v>0.2342672152</v>
      </c>
      <c r="G46" s="10">
        <v>0.1986025494</v>
      </c>
      <c r="H46" s="10">
        <v>0.179556215</v>
      </c>
      <c r="I46" s="10">
        <v>0.3717461388</v>
      </c>
      <c r="J46" s="10">
        <v>0.3273406623</v>
      </c>
      <c r="K46" s="10">
        <v>0.3071073042</v>
      </c>
      <c r="L46" s="10">
        <v>0.5727847845</v>
      </c>
      <c r="M46" s="10">
        <v>0.9948796115</v>
      </c>
      <c r="O46" s="7">
        <f>IFERROR(__xludf.DUMMYFUNCTION("""COMPUTED_VALUE"""),0.07419742882408908)</f>
        <v>0.07419742882</v>
      </c>
      <c r="P46" s="7">
        <f>IFERROR(__xludf.DUMMYFUNCTION("""COMPUTED_VALUE"""),0.0124016996)</f>
        <v>0.0124016996</v>
      </c>
      <c r="Q46" s="7">
        <f>IFERROR(__xludf.DUMMYFUNCTION("""COMPUTED_VALUE"""),0.7620396601)</f>
        <v>0.7620396601</v>
      </c>
    </row>
    <row r="47">
      <c r="A47" s="10" t="s">
        <v>15</v>
      </c>
      <c r="B47" s="10">
        <v>0.1383880758</v>
      </c>
      <c r="C47" s="10">
        <v>0.07704053416</v>
      </c>
      <c r="D47" s="10">
        <v>0.07207661698</v>
      </c>
      <c r="E47" s="10">
        <v>0.05540432994</v>
      </c>
      <c r="F47" s="10">
        <v>0.04639374115</v>
      </c>
      <c r="G47" s="10">
        <v>0.05583597491</v>
      </c>
      <c r="H47" s="10">
        <v>0.04391178256</v>
      </c>
      <c r="I47" s="10">
        <v>0.03830039792</v>
      </c>
      <c r="J47" s="10">
        <v>0.03425372631</v>
      </c>
      <c r="K47" s="10">
        <v>0.03026101032</v>
      </c>
      <c r="L47" s="10">
        <v>0.05340797194</v>
      </c>
      <c r="M47" s="10">
        <v>0.04849801039</v>
      </c>
      <c r="O47" s="7">
        <f>IFERROR(__xludf.DUMMYFUNCTION("""COMPUTED_VALUE"""),0.01630419717550051)</f>
        <v>0.01630419718</v>
      </c>
      <c r="P47" s="7">
        <f>IFERROR(__xludf.DUMMYFUNCTION("""COMPUTED_VALUE"""),0.04423551629)</f>
        <v>0.04423551629</v>
      </c>
      <c r="Q47" s="7">
        <f>IFERROR(__xludf.DUMMYFUNCTION("""COMPUTED_VALUE"""),0.8186968839)</f>
        <v>0.8186968839</v>
      </c>
    </row>
    <row r="48">
      <c r="A48" s="10" t="s">
        <v>16</v>
      </c>
      <c r="B48" s="10">
        <v>0.5891333378</v>
      </c>
      <c r="C48" s="10">
        <v>0.4820853848</v>
      </c>
      <c r="D48" s="10">
        <v>0.3930046537</v>
      </c>
      <c r="E48" s="10">
        <v>0.3163337155</v>
      </c>
      <c r="F48" s="10">
        <v>0.2610831591</v>
      </c>
      <c r="G48" s="10">
        <v>0.229734943</v>
      </c>
      <c r="H48" s="10">
        <v>0.1922897417</v>
      </c>
      <c r="I48" s="10">
        <v>0.164880286</v>
      </c>
      <c r="J48" s="10">
        <v>0.1335860255</v>
      </c>
      <c r="K48" s="10">
        <v>0.09047548391</v>
      </c>
      <c r="L48" s="10">
        <v>0.2012463749</v>
      </c>
      <c r="M48" s="10">
        <v>0.1620745936</v>
      </c>
      <c r="O48" s="7">
        <f>IFERROR(__xludf.DUMMYFUNCTION("""COMPUTED_VALUE"""),0.05426508242025393)</f>
        <v>0.05426508242</v>
      </c>
      <c r="P48" s="7">
        <f>IFERROR(__xludf.DUMMYFUNCTION("""COMPUTED_VALUE"""),0.03128616713)</f>
        <v>0.03128616713</v>
      </c>
      <c r="Q48" s="7">
        <f>IFERROR(__xludf.DUMMYFUNCTION("""COMPUTED_VALUE"""),0.7223796034)</f>
        <v>0.7223796034</v>
      </c>
    </row>
    <row r="49">
      <c r="A49" s="10" t="s">
        <v>17</v>
      </c>
      <c r="B49" s="10">
        <v>0.5782882579</v>
      </c>
      <c r="C49" s="10">
        <v>0.4951966008</v>
      </c>
      <c r="D49" s="10">
        <v>0.3903608282</v>
      </c>
      <c r="E49" s="10">
        <v>0.3212976327</v>
      </c>
      <c r="F49" s="10">
        <v>0.4333095029</v>
      </c>
      <c r="G49" s="10">
        <v>0.3552896742</v>
      </c>
      <c r="H49" s="10">
        <v>0.3307398665</v>
      </c>
      <c r="I49" s="10">
        <v>0.2718742834</v>
      </c>
      <c r="J49" s="10">
        <v>0.2209401767</v>
      </c>
      <c r="K49" s="10">
        <v>0.2329183247</v>
      </c>
      <c r="L49" s="10">
        <v>0.2637269846</v>
      </c>
      <c r="M49" s="10">
        <v>0.2727375733</v>
      </c>
      <c r="O49" s="7">
        <f>IFERROR(__xludf.DUMMYFUNCTION("""COMPUTED_VALUE"""),0.005769616615423394)</f>
        <v>0.005769616615</v>
      </c>
      <c r="P49" s="7">
        <f>IFERROR(__xludf.DUMMYFUNCTION("""COMPUTED_VALUE"""),0.01671814932)</f>
        <v>0.01671814932</v>
      </c>
      <c r="Q49" s="7">
        <f>IFERROR(__xludf.DUMMYFUNCTION("""COMPUTED_VALUE"""),0.6798866856)</f>
        <v>0.6798866856</v>
      </c>
    </row>
    <row r="50">
      <c r="A50" s="10" t="s">
        <v>18</v>
      </c>
      <c r="B50" s="10">
        <v>0.6094746071</v>
      </c>
      <c r="C50" s="10">
        <v>0.5319943347</v>
      </c>
      <c r="D50" s="10">
        <v>0.4848371215</v>
      </c>
      <c r="E50" s="10">
        <v>0.3060821474</v>
      </c>
      <c r="F50" s="10">
        <v>0.07579955487</v>
      </c>
      <c r="G50" s="10">
        <v>0.0</v>
      </c>
      <c r="H50" s="10">
        <v>0.2514251029</v>
      </c>
      <c r="I50" s="10">
        <v>0.3601996358</v>
      </c>
      <c r="J50" s="10">
        <v>0.172002428</v>
      </c>
      <c r="K50" s="10">
        <v>0.293456532</v>
      </c>
      <c r="L50" s="10">
        <v>0.2621622715</v>
      </c>
      <c r="M50" s="10">
        <v>0.397806704</v>
      </c>
      <c r="O50" s="7">
        <f>IFERROR(__xludf.DUMMYFUNCTION("""COMPUTED_VALUE"""),0.01601211644650248)</f>
        <v>0.01601211645</v>
      </c>
      <c r="P50" s="7">
        <f>IFERROR(__xludf.DUMMYFUNCTION("""COMPUTED_VALUE"""),1.0)</f>
        <v>1</v>
      </c>
      <c r="Q50" s="7">
        <f>IFERROR(__xludf.DUMMYFUNCTION("""COMPUTED_VALUE"""),0.790368272)</f>
        <v>0.790368272</v>
      </c>
    </row>
    <row r="51">
      <c r="A51" s="10" t="s">
        <v>19</v>
      </c>
      <c r="B51" s="10">
        <v>1.0</v>
      </c>
      <c r="C51" s="10">
        <v>1.0</v>
      </c>
      <c r="D51" s="10">
        <v>1.0</v>
      </c>
      <c r="E51" s="10">
        <v>0.6816132731</v>
      </c>
      <c r="F51" s="10">
        <v>0.7726364066</v>
      </c>
      <c r="G51" s="10">
        <v>1.0</v>
      </c>
      <c r="H51" s="10">
        <v>1.0</v>
      </c>
      <c r="I51" s="10">
        <v>1.0</v>
      </c>
      <c r="J51" s="10">
        <v>1.0</v>
      </c>
      <c r="K51" s="10">
        <v>0.9705456262</v>
      </c>
      <c r="L51" s="10">
        <v>0.6687178795</v>
      </c>
      <c r="M51" s="10">
        <v>0.4982181156</v>
      </c>
      <c r="O51" s="7">
        <f>IFERROR(__xludf.DUMMYFUNCTION("""COMPUTED_VALUE"""),0.02136385420964921)</f>
        <v>0.02136385421</v>
      </c>
      <c r="P51" s="7">
        <f>IFERROR(__xludf.DUMMYFUNCTION("""COMPUTED_VALUE"""),1.0)</f>
        <v>1</v>
      </c>
      <c r="Q51" s="7">
        <f>IFERROR(__xludf.DUMMYFUNCTION("""COMPUTED_VALUE"""),0.7847025496)</f>
        <v>0.7847025496</v>
      </c>
    </row>
    <row r="52">
      <c r="A52" s="10" t="s">
        <v>20</v>
      </c>
      <c r="B52" s="10">
        <v>0.09840696028</v>
      </c>
      <c r="C52" s="10">
        <v>0.1044499899</v>
      </c>
      <c r="D52" s="10">
        <v>0.08507992176</v>
      </c>
      <c r="E52" s="10">
        <v>0.07315572941</v>
      </c>
      <c r="F52" s="10">
        <v>0.06889323531</v>
      </c>
      <c r="G52" s="10">
        <v>0.05189721454</v>
      </c>
      <c r="H52" s="10">
        <v>0.06355162879</v>
      </c>
      <c r="I52" s="10">
        <v>0.04617791866</v>
      </c>
      <c r="J52" s="10">
        <v>0.05880353409</v>
      </c>
      <c r="K52" s="10">
        <v>0.05934309031</v>
      </c>
      <c r="L52" s="10">
        <v>0.05400148378</v>
      </c>
      <c r="M52" s="10">
        <v>0.06328185068</v>
      </c>
      <c r="O52" s="7">
        <f>IFERROR(__xludf.DUMMYFUNCTION("""COMPUTED_VALUE"""),-0.01342576101066626)</f>
        <v>-0.01342576101</v>
      </c>
      <c r="P52" s="7">
        <f>IFERROR(__xludf.DUMMYFUNCTION("""COMPUTED_VALUE"""),1.0)</f>
        <v>1</v>
      </c>
      <c r="Q52" s="7">
        <f>IFERROR(__xludf.DUMMYFUNCTION("""COMPUTED_VALUE"""),0.7818696884)</f>
        <v>0.7818696884</v>
      </c>
    </row>
    <row r="53">
      <c r="A53" s="10" t="s">
        <v>21</v>
      </c>
      <c r="B53" s="10">
        <v>0.07871315843</v>
      </c>
      <c r="C53" s="10">
        <v>0.08232818507</v>
      </c>
      <c r="D53" s="10">
        <v>0.1079031497</v>
      </c>
      <c r="E53" s="10">
        <v>0.1188021852</v>
      </c>
      <c r="F53" s="10">
        <v>0.1128131112</v>
      </c>
      <c r="G53" s="10">
        <v>0.10272341</v>
      </c>
      <c r="H53" s="10">
        <v>0.09214810818</v>
      </c>
      <c r="I53" s="10">
        <v>0.07326364066</v>
      </c>
      <c r="J53" s="10">
        <v>0.06549403116</v>
      </c>
      <c r="K53" s="10">
        <v>0.05011667903</v>
      </c>
      <c r="L53" s="10">
        <v>0.04072840089</v>
      </c>
      <c r="M53" s="10">
        <v>0.0397571997</v>
      </c>
      <c r="O53" s="7">
        <f>IFERROR(__xludf.DUMMYFUNCTION("""COMPUTED_VALUE"""),0.03088271557038757)</f>
        <v>0.03088271557</v>
      </c>
      <c r="P53" s="7">
        <f>IFERROR(__xludf.DUMMYFUNCTION("""COMPUTED_VALUE"""),0.6134133675)</f>
        <v>0.6134133675</v>
      </c>
      <c r="Q53" s="7">
        <f>IFERROR(__xludf.DUMMYFUNCTION("""COMPUTED_VALUE"""),0.7875354108)</f>
        <v>0.7875354108</v>
      </c>
    </row>
    <row r="54">
      <c r="A54" s="10" t="s">
        <v>22</v>
      </c>
      <c r="B54" s="10">
        <v>0.26637081</v>
      </c>
      <c r="C54" s="10">
        <v>0.5438645714</v>
      </c>
      <c r="D54" s="10">
        <v>0.5206096985</v>
      </c>
      <c r="E54" s="10">
        <v>0.4788480475</v>
      </c>
      <c r="F54" s="10">
        <v>0.3944614555</v>
      </c>
      <c r="G54" s="10">
        <v>0.3289053753</v>
      </c>
      <c r="H54" s="10">
        <v>0.3490847778</v>
      </c>
      <c r="I54" s="10">
        <v>0.3171970055</v>
      </c>
      <c r="J54" s="10">
        <v>0.534368382</v>
      </c>
      <c r="K54" s="10">
        <v>0.5322641128</v>
      </c>
      <c r="L54" s="10">
        <v>0.42089971</v>
      </c>
      <c r="M54" s="10">
        <v>0.4016915087</v>
      </c>
      <c r="O54" s="7">
        <f>IFERROR(__xludf.DUMMYFUNCTION("""COMPUTED_VALUE"""),0.0857223075714149)</f>
        <v>0.08572230757</v>
      </c>
      <c r="P54" s="7">
        <f>IFERROR(__xludf.DUMMYFUNCTION("""COMPUTED_VALUE"""),0.3825372631)</f>
        <v>0.3825372631</v>
      </c>
      <c r="Q54" s="7">
        <f>IFERROR(__xludf.DUMMYFUNCTION("""COMPUTED_VALUE"""),0.790368272)</f>
        <v>0.790368272</v>
      </c>
    </row>
    <row r="55">
      <c r="A55" s="10" t="s">
        <v>23</v>
      </c>
      <c r="B55" s="10">
        <v>0.4575895326</v>
      </c>
      <c r="C55" s="10">
        <v>0.394245633</v>
      </c>
      <c r="D55" s="10">
        <v>0.3250745262</v>
      </c>
      <c r="E55" s="10">
        <v>0.2025413098</v>
      </c>
      <c r="F55" s="10">
        <v>0.1241437917</v>
      </c>
      <c r="G55" s="10">
        <v>0.1081729278</v>
      </c>
      <c r="H55" s="10">
        <v>0.002581776489</v>
      </c>
      <c r="I55" s="10">
        <v>0.0</v>
      </c>
      <c r="J55" s="10">
        <v>0.0</v>
      </c>
      <c r="K55" s="10">
        <v>0.07472044244</v>
      </c>
      <c r="L55" s="10">
        <v>0.1114642207</v>
      </c>
      <c r="M55" s="10">
        <v>1.0</v>
      </c>
      <c r="O55" s="7">
        <f>IFERROR(__xludf.DUMMYFUNCTION("""COMPUTED_VALUE"""),-0.004440944515757203)</f>
        <v>-0.004440944516</v>
      </c>
      <c r="P55" s="7">
        <f>IFERROR(__xludf.DUMMYFUNCTION("""COMPUTED_VALUE"""),0.4692439469)</f>
        <v>0.4692439469</v>
      </c>
      <c r="Q55" s="7">
        <f>IFERROR(__xludf.DUMMYFUNCTION("""COMPUTED_VALUE"""),0.7818696884)</f>
        <v>0.7818696884</v>
      </c>
    </row>
    <row r="56">
      <c r="A56" s="10" t="s">
        <v>24</v>
      </c>
      <c r="B56" s="10">
        <v>0.2346988602</v>
      </c>
      <c r="C56" s="10">
        <v>0.2039441559</v>
      </c>
      <c r="D56" s="10">
        <v>0.17912457</v>
      </c>
      <c r="E56" s="10">
        <v>0.06204087138</v>
      </c>
      <c r="F56" s="10">
        <v>0.05394752816</v>
      </c>
      <c r="G56" s="10">
        <v>0.0733715519</v>
      </c>
      <c r="H56" s="10">
        <v>0.04855196601</v>
      </c>
      <c r="I56" s="10">
        <v>0.03722128549</v>
      </c>
      <c r="J56" s="10">
        <v>0.1451325285</v>
      </c>
      <c r="K56" s="10">
        <v>0.09063735078</v>
      </c>
      <c r="L56" s="10">
        <v>0.09063735078</v>
      </c>
      <c r="M56" s="10">
        <v>0.07067377082</v>
      </c>
      <c r="O56" s="7">
        <f>IFERROR(__xludf.DUMMYFUNCTION("""COMPUTED_VALUE"""),0.04767520760201058)</f>
        <v>0.0476752076</v>
      </c>
      <c r="P56" s="7">
        <f>IFERROR(__xludf.DUMMYFUNCTION("""COMPUTED_VALUE"""),0.359606124)</f>
        <v>0.359606124</v>
      </c>
      <c r="Q56" s="7">
        <f>IFERROR(__xludf.DUMMYFUNCTION("""COMPUTED_VALUE"""),0.7677053824)</f>
        <v>0.7677053824</v>
      </c>
    </row>
    <row r="57">
      <c r="A57" s="10" t="s">
        <v>25</v>
      </c>
      <c r="B57" s="10">
        <v>0.4135617455</v>
      </c>
      <c r="C57" s="10">
        <v>0.430449855</v>
      </c>
      <c r="D57" s="10">
        <v>0.02259931207</v>
      </c>
      <c r="E57" s="10">
        <v>0.0</v>
      </c>
      <c r="F57" s="10">
        <v>0.0</v>
      </c>
      <c r="G57" s="10">
        <v>0.0</v>
      </c>
      <c r="H57" s="10">
        <v>0.0</v>
      </c>
      <c r="I57" s="10">
        <v>0.131373845</v>
      </c>
      <c r="J57" s="10">
        <v>0.1069859041</v>
      </c>
      <c r="K57" s="10">
        <v>0.1734052742</v>
      </c>
      <c r="L57" s="10">
        <v>0.2229904903</v>
      </c>
      <c r="M57" s="10">
        <v>0.2233681797</v>
      </c>
      <c r="O57" s="7">
        <f>IFERROR(__xludf.DUMMYFUNCTION("""COMPUTED_VALUE"""),0.03376590325780882)</f>
        <v>0.03376590326</v>
      </c>
      <c r="P57" s="7">
        <f>IFERROR(__xludf.DUMMYFUNCTION("""COMPUTED_VALUE"""),0.2425224253)</f>
        <v>0.2425224253</v>
      </c>
      <c r="Q57" s="7">
        <f>IFERROR(__xludf.DUMMYFUNCTION("""COMPUTED_VALUE"""),0.9036827195)</f>
        <v>0.9036827195</v>
      </c>
    </row>
    <row r="58">
      <c r="A58" s="10" t="s">
        <v>26</v>
      </c>
      <c r="B58" s="10">
        <v>0.003445066433</v>
      </c>
      <c r="C58" s="10">
        <v>0.0</v>
      </c>
      <c r="D58" s="10">
        <v>0.02734740676</v>
      </c>
      <c r="E58" s="10">
        <v>1.0</v>
      </c>
      <c r="F58" s="10">
        <v>0.3327901801</v>
      </c>
      <c r="G58" s="10">
        <v>0.05265259324</v>
      </c>
      <c r="H58" s="10">
        <v>0.4620678492</v>
      </c>
      <c r="I58" s="10">
        <v>0.6798327376</v>
      </c>
      <c r="J58" s="10">
        <v>0.0</v>
      </c>
      <c r="K58" s="10">
        <v>0.0</v>
      </c>
      <c r="L58" s="10">
        <v>0.0</v>
      </c>
      <c r="M58" s="10">
        <v>0.1785310582</v>
      </c>
      <c r="O58" s="7">
        <f>IFERROR(__xludf.DUMMYFUNCTION("""COMPUTED_VALUE"""),0.04484866529795104)</f>
        <v>0.0448486653</v>
      </c>
      <c r="P58" s="7">
        <f>IFERROR(__xludf.DUMMYFUNCTION("""COMPUTED_VALUE"""),0.1703298037)</f>
        <v>0.1703298037</v>
      </c>
      <c r="Q58" s="7">
        <f>IFERROR(__xludf.DUMMYFUNCTION("""COMPUTED_VALUE"""),0.8725212465)</f>
        <v>0.8725212465</v>
      </c>
    </row>
    <row r="59">
      <c r="A59" s="10" t="s">
        <v>27</v>
      </c>
      <c r="B59" s="10">
        <v>0.7126917111</v>
      </c>
      <c r="C59" s="10">
        <v>0.6678545896</v>
      </c>
      <c r="D59" s="10">
        <v>0.6101760302</v>
      </c>
      <c r="E59" s="10">
        <v>0.5477493761</v>
      </c>
      <c r="F59" s="10">
        <v>0.4565104202</v>
      </c>
      <c r="G59" s="10">
        <v>0.4537047279</v>
      </c>
      <c r="H59" s="10">
        <v>0.4367626627</v>
      </c>
      <c r="I59" s="10">
        <v>0.7126917111</v>
      </c>
      <c r="J59" s="10">
        <v>0.7084831726</v>
      </c>
      <c r="K59" s="10">
        <v>0.6532865718</v>
      </c>
      <c r="L59" s="10">
        <v>0.5355014501</v>
      </c>
      <c r="M59" s="10">
        <v>0.5156457813</v>
      </c>
      <c r="O59" s="7">
        <f>IFERROR(__xludf.DUMMYFUNCTION("""COMPUTED_VALUE"""),0.04355062928916748)</f>
        <v>0.04355062929</v>
      </c>
      <c r="P59" s="7">
        <f>IFERROR(__xludf.DUMMYFUNCTION("""COMPUTED_VALUE"""),1.0)</f>
        <v>1</v>
      </c>
      <c r="Q59" s="7">
        <f>IFERROR(__xludf.DUMMYFUNCTION("""COMPUTED_VALUE"""),0.8781869688)</f>
        <v>0.8781869688</v>
      </c>
    </row>
    <row r="60">
      <c r="A60" s="10" t="s">
        <v>28</v>
      </c>
      <c r="B60" s="10">
        <v>0.2471626088</v>
      </c>
      <c r="C60" s="10">
        <v>0.1320752681</v>
      </c>
      <c r="D60" s="10">
        <v>0.2841222095</v>
      </c>
      <c r="E60" s="10">
        <v>0.3275564848</v>
      </c>
      <c r="F60" s="10">
        <v>0.2594644905</v>
      </c>
      <c r="G60" s="10">
        <v>0.2360477507</v>
      </c>
      <c r="H60" s="10">
        <v>0.2461374519</v>
      </c>
      <c r="I60" s="10">
        <v>0.2188359075</v>
      </c>
      <c r="J60" s="10">
        <v>0.1593768126</v>
      </c>
      <c r="K60" s="10">
        <v>0.1705456262</v>
      </c>
      <c r="L60" s="10">
        <v>0.132938558</v>
      </c>
      <c r="M60" s="10">
        <v>0.6727105955</v>
      </c>
      <c r="O60" s="7">
        <f>IFERROR(__xludf.DUMMYFUNCTION("""COMPUTED_VALUE"""),0.06187286633370392)</f>
        <v>0.06187286633</v>
      </c>
      <c r="P60" s="7">
        <f>IFERROR(__xludf.DUMMYFUNCTION("""COMPUTED_VALUE"""),0.9474526202)</f>
        <v>0.9474526202</v>
      </c>
      <c r="Q60" s="7">
        <f>IFERROR(__xludf.DUMMYFUNCTION("""COMPUTED_VALUE"""),0.8526912181)</f>
        <v>0.8526912181</v>
      </c>
    </row>
    <row r="61">
      <c r="A61" s="10" t="s">
        <v>29</v>
      </c>
      <c r="B61" s="10">
        <v>0.1915883186</v>
      </c>
      <c r="C61" s="10">
        <v>0.2011384636</v>
      </c>
      <c r="D61" s="10">
        <v>0.1861927565</v>
      </c>
      <c r="E61" s="10">
        <v>0.1207985432</v>
      </c>
      <c r="F61" s="10">
        <v>0.04779658731</v>
      </c>
      <c r="G61" s="10">
        <v>0.0799001821</v>
      </c>
      <c r="H61" s="10">
        <v>0.07401901936</v>
      </c>
      <c r="I61" s="10">
        <v>0.05745464356</v>
      </c>
      <c r="J61" s="10">
        <v>0.03274296891</v>
      </c>
      <c r="K61" s="10">
        <v>0.02966749848</v>
      </c>
      <c r="L61" s="10">
        <v>0.0382464423</v>
      </c>
      <c r="M61" s="10">
        <v>0.03333648074</v>
      </c>
      <c r="O61" s="7">
        <f>IFERROR(__xludf.DUMMYFUNCTION("""COMPUTED_VALUE"""),0.04310699519610491)</f>
        <v>0.0431069952</v>
      </c>
      <c r="P61" s="7">
        <f>IFERROR(__xludf.DUMMYFUNCTION("""COMPUTED_VALUE"""),0.763733729)</f>
        <v>0.763733729</v>
      </c>
      <c r="Q61" s="7">
        <f>IFERROR(__xludf.DUMMYFUNCTION("""COMPUTED_VALUE"""),0.7252124646)</f>
        <v>0.7252124646</v>
      </c>
    </row>
    <row r="62">
      <c r="A62" s="10" t="s">
        <v>30</v>
      </c>
      <c r="B62" s="10">
        <v>0.2234221353</v>
      </c>
      <c r="C62" s="10">
        <v>0.2143036353</v>
      </c>
      <c r="D62" s="10">
        <v>0.05615970864</v>
      </c>
      <c r="E62" s="10">
        <v>0.004740001349</v>
      </c>
      <c r="F62" s="10">
        <v>0.0</v>
      </c>
      <c r="G62" s="10">
        <v>0.007707560531</v>
      </c>
      <c r="H62" s="10">
        <v>0.00441626762</v>
      </c>
      <c r="I62" s="10">
        <v>0.002797598975</v>
      </c>
      <c r="J62" s="10">
        <v>0.002419909624</v>
      </c>
      <c r="K62" s="10">
        <v>0.0</v>
      </c>
      <c r="L62" s="10">
        <v>0.198656505</v>
      </c>
      <c r="M62" s="10">
        <v>0.0</v>
      </c>
      <c r="O62" s="7">
        <f>IFERROR(__xludf.DUMMYFUNCTION("""COMPUTED_VALUE"""),0.02785406711317295)</f>
        <v>0.02785406711</v>
      </c>
      <c r="P62" s="7">
        <f>IFERROR(__xludf.DUMMYFUNCTION("""COMPUTED_VALUE"""),0.02794091859)</f>
        <v>0.02794091859</v>
      </c>
      <c r="Q62" s="7">
        <f>IFERROR(__xludf.DUMMYFUNCTION("""COMPUTED_VALUE"""),0.9320113314)</f>
        <v>0.9320113314</v>
      </c>
    </row>
    <row r="63">
      <c r="A63" s="10" t="s">
        <v>31</v>
      </c>
      <c r="B63" s="10">
        <v>1.0</v>
      </c>
      <c r="C63" s="10">
        <v>1.0</v>
      </c>
      <c r="D63" s="10">
        <v>0.935798206</v>
      </c>
      <c r="E63" s="10">
        <v>1.0</v>
      </c>
      <c r="F63" s="10">
        <v>1.0</v>
      </c>
      <c r="G63" s="10">
        <v>1.0</v>
      </c>
      <c r="H63" s="10">
        <v>0.4418884468</v>
      </c>
      <c r="I63" s="10">
        <v>0.4252701153</v>
      </c>
      <c r="J63" s="10">
        <v>0.5221744115</v>
      </c>
      <c r="K63" s="10">
        <v>0.4756107102</v>
      </c>
      <c r="L63" s="10">
        <v>0.4010979969</v>
      </c>
      <c r="M63" s="10">
        <v>0.4225723343</v>
      </c>
      <c r="O63" s="7">
        <f>IFERROR(__xludf.DUMMYFUNCTION("""COMPUTED_VALUE"""),0.06003251854615443)</f>
        <v>0.06003251855</v>
      </c>
      <c r="P63" s="7">
        <f>IFERROR(__xludf.DUMMYFUNCTION("""COMPUTED_VALUE"""),0.01806703986)</f>
        <v>0.01806703986</v>
      </c>
      <c r="Q63" s="7">
        <f>IFERROR(__xludf.DUMMYFUNCTION("""COMPUTED_VALUE"""),0.8725212465)</f>
        <v>0.8725212465</v>
      </c>
    </row>
    <row r="64">
      <c r="O64" s="7">
        <f>IFERROR(__xludf.DUMMYFUNCTION("""COMPUTED_VALUE"""),0.02876091907921292)</f>
        <v>0.02876091908</v>
      </c>
      <c r="P64" s="7">
        <f>IFERROR(__xludf.DUMMYFUNCTION("""COMPUTED_VALUE"""),0.01072907534)</f>
        <v>0.01072907534</v>
      </c>
      <c r="Q64" s="7">
        <f>IFERROR(__xludf.DUMMYFUNCTION("""COMPUTED_VALUE"""),0.8470254958)</f>
        <v>0.8470254958</v>
      </c>
    </row>
    <row r="65">
      <c r="O65" s="7">
        <f>IFERROR(__xludf.DUMMYFUNCTION("""COMPUTED_VALUE"""),0.04385666457728446)</f>
        <v>0.04385666458</v>
      </c>
      <c r="P65" s="7">
        <f>IFERROR(__xludf.DUMMYFUNCTION("""COMPUTED_VALUE"""),0.04180751332)</f>
        <v>0.04180751332</v>
      </c>
      <c r="Q65" s="7">
        <f>IFERROR(__xludf.DUMMYFUNCTION("""COMPUTED_VALUE"""),0.8271954674)</f>
        <v>0.8271954674</v>
      </c>
    </row>
    <row r="66">
      <c r="O66" s="7">
        <f>IFERROR(__xludf.DUMMYFUNCTION("""COMPUTED_VALUE"""),0.05146526373579547)</f>
        <v>0.05146526374</v>
      </c>
      <c r="P66" s="7">
        <f>IFERROR(__xludf.DUMMYFUNCTION("""COMPUTED_VALUE"""),0.03517097188)</f>
        <v>0.03517097188</v>
      </c>
      <c r="Q66" s="7">
        <f>IFERROR(__xludf.DUMMYFUNCTION("""COMPUTED_VALUE"""),0.8328611898)</f>
        <v>0.8328611898</v>
      </c>
    </row>
    <row r="67">
      <c r="A67" s="9" t="s">
        <v>32</v>
      </c>
      <c r="B67" s="10" t="s">
        <v>33</v>
      </c>
      <c r="C67" s="10" t="s">
        <v>34</v>
      </c>
      <c r="D67" s="10" t="s">
        <v>35</v>
      </c>
      <c r="E67" s="10" t="s">
        <v>36</v>
      </c>
      <c r="F67" s="10" t="s">
        <v>37</v>
      </c>
      <c r="G67" s="10" t="s">
        <v>38</v>
      </c>
      <c r="H67" s="10" t="s">
        <v>39</v>
      </c>
      <c r="I67" s="10" t="s">
        <v>40</v>
      </c>
      <c r="J67" s="10" t="s">
        <v>41</v>
      </c>
      <c r="K67" s="10" t="s">
        <v>42</v>
      </c>
      <c r="L67" s="10" t="s">
        <v>43</v>
      </c>
      <c r="M67" s="10" t="s">
        <v>44</v>
      </c>
      <c r="O67" s="7">
        <f>IFERROR(__xludf.DUMMYFUNCTION("""COMPUTED_VALUE"""),-0.006532982534919865)</f>
        <v>-0.006532982535</v>
      </c>
      <c r="P67" s="7">
        <f>IFERROR(__xludf.DUMMYFUNCTION("""COMPUTED_VALUE"""),0.02907398665)</f>
        <v>0.02907398665</v>
      </c>
      <c r="Q67" s="7">
        <f>IFERROR(__xludf.DUMMYFUNCTION("""COMPUTED_VALUE"""),0.8470254958)</f>
        <v>0.8470254958</v>
      </c>
    </row>
    <row r="68">
      <c r="A68" s="10" t="s">
        <v>3</v>
      </c>
      <c r="B68" s="10">
        <v>0.1327559359</v>
      </c>
      <c r="C68" s="10">
        <v>0.1512826633</v>
      </c>
      <c r="D68" s="10">
        <v>0.2259578773</v>
      </c>
      <c r="E68" s="10">
        <v>0.2453938919</v>
      </c>
      <c r="F68" s="10">
        <v>0.0</v>
      </c>
      <c r="G68" s="10">
        <v>0.2087950808</v>
      </c>
      <c r="H68" s="10">
        <v>0.1179800184</v>
      </c>
      <c r="I68" s="10">
        <v>0.08319978177</v>
      </c>
      <c r="J68" s="10">
        <v>0.0</v>
      </c>
      <c r="K68" s="10">
        <v>0.1786749412</v>
      </c>
      <c r="L68" s="10">
        <v>0.1117286687</v>
      </c>
      <c r="M68" s="10">
        <v>0.1395755902</v>
      </c>
      <c r="O68" s="7">
        <f>IFERROR(__xludf.DUMMYFUNCTION("""COMPUTED_VALUE"""),-0.03212617967245016)</f>
        <v>-0.03212617967</v>
      </c>
      <c r="P68" s="7">
        <f>IFERROR(__xludf.DUMMYFUNCTION("""COMPUTED_VALUE"""),0.03042287718)</f>
        <v>0.03042287718</v>
      </c>
      <c r="Q68" s="7">
        <f>IFERROR(__xludf.DUMMYFUNCTION("""COMPUTED_VALUE"""),0.8640226629)</f>
        <v>0.8640226629</v>
      </c>
    </row>
    <row r="69">
      <c r="A69" s="10" t="s">
        <v>4</v>
      </c>
      <c r="B69" s="10">
        <v>0.963162501</v>
      </c>
      <c r="C69" s="10">
        <v>0.5270456121</v>
      </c>
      <c r="D69" s="10">
        <v>0.5282958821</v>
      </c>
      <c r="E69" s="10">
        <v>0.6528682329</v>
      </c>
      <c r="F69" s="10">
        <v>0.1162751049</v>
      </c>
      <c r="G69" s="10">
        <v>0.7314079176</v>
      </c>
      <c r="H69" s="10">
        <v>0.4499835192</v>
      </c>
      <c r="I69" s="10">
        <v>0.5506870802</v>
      </c>
      <c r="J69" s="10">
        <v>0.4468010139</v>
      </c>
      <c r="K69" s="10">
        <v>0.4059967493</v>
      </c>
      <c r="L69" s="10">
        <v>0.4765801707</v>
      </c>
      <c r="M69" s="10">
        <v>0.4740796308</v>
      </c>
      <c r="O69" s="7">
        <f>IFERROR(__xludf.DUMMYFUNCTION("""COMPUTED_VALUE"""),-0.003359388218960351)</f>
        <v>-0.003359388219</v>
      </c>
      <c r="P69" s="7">
        <f>IFERROR(__xludf.DUMMYFUNCTION("""COMPUTED_VALUE"""),0.02011735348)</f>
        <v>0.02011735348</v>
      </c>
      <c r="Q69" s="7">
        <f>IFERROR(__xludf.DUMMYFUNCTION("""COMPUTED_VALUE"""),0.8441926346)</f>
        <v>0.8441926346</v>
      </c>
    </row>
    <row r="70">
      <c r="A70" s="10" t="s">
        <v>5</v>
      </c>
      <c r="B70" s="10">
        <v>0.01352564758</v>
      </c>
      <c r="C70" s="10">
        <v>0.01420761301</v>
      </c>
      <c r="D70" s="10">
        <v>0.03693979382</v>
      </c>
      <c r="E70" s="10">
        <v>0.0140939521</v>
      </c>
      <c r="F70" s="10">
        <v>0.01727645742</v>
      </c>
      <c r="G70" s="10">
        <v>0.01420761301</v>
      </c>
      <c r="H70" s="10">
        <v>0.02648299065</v>
      </c>
      <c r="I70" s="10">
        <v>0.01579886566</v>
      </c>
      <c r="J70" s="10">
        <v>0.01739011832</v>
      </c>
      <c r="K70" s="10">
        <v>0.01238903854</v>
      </c>
      <c r="L70" s="10">
        <v>0.01142292086</v>
      </c>
      <c r="M70" s="10">
        <v>0.01500323934</v>
      </c>
      <c r="O70" s="7">
        <f>IFERROR(__xludf.DUMMYFUNCTION("""COMPUTED_VALUE"""),0.02168859577219879)</f>
        <v>0.02168859577</v>
      </c>
      <c r="P70" s="7">
        <f>IFERROR(__xludf.DUMMYFUNCTION("""COMPUTED_VALUE"""),0.02071086531)</f>
        <v>0.02071086531</v>
      </c>
      <c r="Q70" s="7">
        <f>IFERROR(__xludf.DUMMYFUNCTION("""COMPUTED_VALUE"""),0.8895184136)</f>
        <v>0.8895184136</v>
      </c>
    </row>
    <row r="71">
      <c r="A71" s="10" t="s">
        <v>6</v>
      </c>
      <c r="B71" s="10">
        <v>0.02034530183</v>
      </c>
      <c r="C71" s="10">
        <v>0.01773110103</v>
      </c>
      <c r="D71" s="10">
        <v>0.0112524295</v>
      </c>
      <c r="E71" s="10">
        <v>0.01182073402</v>
      </c>
      <c r="F71" s="10">
        <v>0.0</v>
      </c>
      <c r="G71" s="10">
        <v>0.04023596004</v>
      </c>
      <c r="H71" s="10">
        <v>0.009774837749</v>
      </c>
      <c r="I71" s="10">
        <v>0.01193439493</v>
      </c>
      <c r="J71" s="10">
        <v>0.0</v>
      </c>
      <c r="K71" s="10">
        <v>0.0169354747</v>
      </c>
      <c r="L71" s="10">
        <v>0.01864038827</v>
      </c>
      <c r="M71" s="10">
        <v>0.02045896273</v>
      </c>
      <c r="O71" s="7">
        <f>IFERROR(__xludf.DUMMYFUNCTION("""COMPUTED_VALUE"""),0.01368439652022365)</f>
        <v>0.01368439652</v>
      </c>
      <c r="P71" s="7">
        <f>IFERROR(__xludf.DUMMYFUNCTION("""COMPUTED_VALUE"""),0.01871450732)</f>
        <v>0.01871450732</v>
      </c>
      <c r="Q71" s="7">
        <f>IFERROR(__xludf.DUMMYFUNCTION("""COMPUTED_VALUE"""),0.9631728045)</f>
        <v>0.9631728045</v>
      </c>
    </row>
    <row r="72">
      <c r="A72" s="10" t="s">
        <v>7</v>
      </c>
      <c r="B72" s="10">
        <v>0.1520782896</v>
      </c>
      <c r="C72" s="10">
        <v>0.1427580955</v>
      </c>
      <c r="D72" s="10">
        <v>0.1192302884</v>
      </c>
      <c r="E72" s="10">
        <v>0.09740739478</v>
      </c>
      <c r="F72" s="10">
        <v>0.0</v>
      </c>
      <c r="G72" s="10">
        <v>0.2050442709</v>
      </c>
      <c r="H72" s="10">
        <v>0.06569600255</v>
      </c>
      <c r="I72" s="10">
        <v>0.084109069</v>
      </c>
      <c r="J72" s="10">
        <v>0.0</v>
      </c>
      <c r="K72" s="10">
        <v>0.1249133336</v>
      </c>
      <c r="L72" s="10">
        <v>0.1142292086</v>
      </c>
      <c r="M72" s="10">
        <v>0.126731908</v>
      </c>
      <c r="O72" s="7">
        <f>IFERROR(__xludf.DUMMYFUNCTION("""COMPUTED_VALUE"""),0.1042056304774356)</f>
        <v>0.1042056305</v>
      </c>
      <c r="P72" s="7">
        <f>IFERROR(__xludf.DUMMYFUNCTION("""COMPUTED_VALUE"""),0.7961071019)</f>
        <v>0.7961071019</v>
      </c>
      <c r="Q72" s="7">
        <f>IFERROR(__xludf.DUMMYFUNCTION("""COMPUTED_VALUE"""),0.9971671388)</f>
        <v>0.9971671388</v>
      </c>
    </row>
    <row r="73">
      <c r="A73" s="10" t="s">
        <v>8</v>
      </c>
      <c r="B73" s="10">
        <v>0.3590547959</v>
      </c>
      <c r="C73" s="10">
        <v>0.417021857</v>
      </c>
      <c r="D73" s="10">
        <v>0.4731703436</v>
      </c>
      <c r="E73" s="10">
        <v>0.4847637558</v>
      </c>
      <c r="F73" s="10">
        <v>0.5540969073</v>
      </c>
      <c r="G73" s="10">
        <v>0.4706698037</v>
      </c>
      <c r="H73" s="10">
        <v>0.3082483718</v>
      </c>
      <c r="I73" s="10">
        <v>0.4981757425</v>
      </c>
      <c r="J73" s="10">
        <v>0.4595310351</v>
      </c>
      <c r="K73" s="10">
        <v>0.2086814199</v>
      </c>
      <c r="L73" s="10">
        <v>0.2217524238</v>
      </c>
      <c r="M73" s="10">
        <v>0.2226617111</v>
      </c>
      <c r="O73" s="7">
        <f>IFERROR(__xludf.DUMMYFUNCTION("""COMPUTED_VALUE"""),0.006110739245778565)</f>
        <v>0.006110739246</v>
      </c>
      <c r="P73" s="7">
        <f>IFERROR(__xludf.DUMMYFUNCTION("""COMPUTED_VALUE"""),0.6302475214)</f>
        <v>0.6302475214</v>
      </c>
      <c r="Q73" s="7">
        <f>IFERROR(__xludf.DUMMYFUNCTION("""COMPUTED_VALUE"""),0.9603399433)</f>
        <v>0.9603399433</v>
      </c>
    </row>
    <row r="74">
      <c r="A74" s="10" t="s">
        <v>9</v>
      </c>
      <c r="B74" s="10">
        <v>0.1567383867</v>
      </c>
      <c r="C74" s="10">
        <v>0.3463247747</v>
      </c>
      <c r="D74" s="10">
        <v>0.2311862789</v>
      </c>
      <c r="E74" s="10">
        <v>0.0</v>
      </c>
      <c r="F74" s="10">
        <v>0.0</v>
      </c>
      <c r="G74" s="10">
        <v>0.0</v>
      </c>
      <c r="H74" s="10">
        <v>1.0</v>
      </c>
      <c r="I74" s="10">
        <v>1.0</v>
      </c>
      <c r="J74" s="10">
        <v>0.1956104159</v>
      </c>
      <c r="K74" s="10">
        <v>0.1997022084</v>
      </c>
      <c r="L74" s="10">
        <v>0.3784908105</v>
      </c>
      <c r="M74" s="10">
        <v>0.0</v>
      </c>
      <c r="O74" s="7">
        <f>IFERROR(__xludf.DUMMYFUNCTION("""COMPUTED_VALUE"""),0.02670265310725271)</f>
        <v>0.02670265311</v>
      </c>
      <c r="P74" s="7">
        <f>IFERROR(__xludf.DUMMYFUNCTION("""COMPUTED_VALUE"""),0.291028529)</f>
        <v>0.291028529</v>
      </c>
      <c r="Q74" s="7">
        <f>IFERROR(__xludf.DUMMYFUNCTION("""COMPUTED_VALUE"""),0.5382436261)</f>
        <v>0.5382436261</v>
      </c>
    </row>
    <row r="75">
      <c r="A75" s="10" t="s">
        <v>10</v>
      </c>
      <c r="B75" s="10">
        <v>1.0</v>
      </c>
      <c r="C75" s="10">
        <v>1.0</v>
      </c>
      <c r="D75" s="10">
        <v>0.9945329105</v>
      </c>
      <c r="E75" s="10">
        <v>0.9590707084</v>
      </c>
      <c r="F75" s="10">
        <v>0.3321171617</v>
      </c>
      <c r="G75" s="10">
        <v>0.1394619293</v>
      </c>
      <c r="H75" s="10">
        <v>0.1233220809</v>
      </c>
      <c r="I75" s="10">
        <v>0.2205021539</v>
      </c>
      <c r="J75" s="10">
        <v>0.4471419966</v>
      </c>
      <c r="K75" s="10">
        <v>0.547277253</v>
      </c>
      <c r="L75" s="10">
        <v>0.3705345472</v>
      </c>
      <c r="M75" s="10">
        <v>0.1221854719</v>
      </c>
      <c r="O75" s="7">
        <f>IFERROR(__xludf.DUMMYFUNCTION("""COMPUTED_VALUE"""),0.04605162117843559)</f>
        <v>0.04605162118</v>
      </c>
      <c r="P75" s="7">
        <f>IFERROR(__xludf.DUMMYFUNCTION("""COMPUTED_VALUE"""),0.05772442166)</f>
        <v>0.05772442166</v>
      </c>
      <c r="Q75" s="7">
        <f>IFERROR(__xludf.DUMMYFUNCTION("""COMPUTED_VALUE"""),0.552407932)</f>
        <v>0.552407932</v>
      </c>
    </row>
    <row r="76">
      <c r="A76" s="10" t="s">
        <v>11</v>
      </c>
      <c r="B76" s="10">
        <v>0.2847205647</v>
      </c>
      <c r="C76" s="10">
        <v>0.2771052841</v>
      </c>
      <c r="D76" s="10">
        <v>0.2735817961</v>
      </c>
      <c r="E76" s="10">
        <v>0.2646025846</v>
      </c>
      <c r="F76" s="10">
        <v>0.1311646833</v>
      </c>
      <c r="G76" s="10">
        <v>0.0</v>
      </c>
      <c r="H76" s="10">
        <v>0.2117502643</v>
      </c>
      <c r="I76" s="10">
        <v>0.2195928666</v>
      </c>
      <c r="J76" s="10">
        <v>0.2368693241</v>
      </c>
      <c r="K76" s="10">
        <v>0.2349370887</v>
      </c>
      <c r="L76" s="10">
        <v>0.0</v>
      </c>
      <c r="M76" s="10">
        <v>0.0</v>
      </c>
      <c r="O76" s="7">
        <f>IFERROR(__xludf.DUMMYFUNCTION("""COMPUTED_VALUE"""),-6.518402651160745E-4)</f>
        <v>-0.0006518402651</v>
      </c>
      <c r="P76" s="7">
        <f>IFERROR(__xludf.DUMMYFUNCTION("""COMPUTED_VALUE"""),0.06727456667)</f>
        <v>0.06727456667</v>
      </c>
      <c r="Q76" s="7">
        <f>IFERROR(__xludf.DUMMYFUNCTION("""COMPUTED_VALUE"""),0.566572238)</f>
        <v>0.566572238</v>
      </c>
    </row>
    <row r="77">
      <c r="A77" s="10" t="s">
        <v>12</v>
      </c>
      <c r="B77" s="10">
        <v>1.0</v>
      </c>
      <c r="C77" s="10">
        <v>1.0</v>
      </c>
      <c r="D77" s="10">
        <v>0.9499778361</v>
      </c>
      <c r="E77" s="10">
        <v>0.9624805356</v>
      </c>
      <c r="F77" s="10">
        <v>1.0</v>
      </c>
      <c r="G77" s="10">
        <v>0.8751889613</v>
      </c>
      <c r="H77" s="10">
        <v>0.8534797286</v>
      </c>
      <c r="I77" s="10">
        <v>0.8492742751</v>
      </c>
      <c r="J77" s="10">
        <v>0.9067866926</v>
      </c>
      <c r="K77" s="10">
        <v>0.9209943056</v>
      </c>
      <c r="L77" s="10">
        <v>0.8454098044</v>
      </c>
      <c r="M77" s="10">
        <v>0.8098339414</v>
      </c>
      <c r="O77" s="7">
        <f>IFERROR(__xludf.DUMMYFUNCTION("""COMPUTED_VALUE"""),0.03253298914980095)</f>
        <v>0.03253298915</v>
      </c>
      <c r="P77" s="7">
        <f>IFERROR(__xludf.DUMMYFUNCTION("""COMPUTED_VALUE"""),0.02982936535)</f>
        <v>0.02982936535</v>
      </c>
      <c r="Q77" s="7">
        <f>IFERROR(__xludf.DUMMYFUNCTION("""COMPUTED_VALUE"""),0.5637393768)</f>
        <v>0.5637393768</v>
      </c>
    </row>
    <row r="78">
      <c r="A78" s="10" t="s">
        <v>13</v>
      </c>
      <c r="B78" s="10">
        <v>0.1750377923</v>
      </c>
      <c r="C78" s="10">
        <v>0.1807208375</v>
      </c>
      <c r="D78" s="10">
        <v>0.1864038827</v>
      </c>
      <c r="E78" s="10">
        <v>0.1568520476</v>
      </c>
      <c r="F78" s="10">
        <v>0.08524567804</v>
      </c>
      <c r="G78" s="10">
        <v>0.0</v>
      </c>
      <c r="H78" s="10">
        <v>0.1704913561</v>
      </c>
      <c r="I78" s="10">
        <v>0.1363930849</v>
      </c>
      <c r="J78" s="10">
        <v>0.1591252657</v>
      </c>
      <c r="K78" s="10">
        <v>0.3296166218</v>
      </c>
      <c r="L78" s="10">
        <v>0.2727861697</v>
      </c>
      <c r="M78" s="10">
        <v>0.2727861697</v>
      </c>
      <c r="O78" s="7">
        <f>IFERROR(__xludf.DUMMYFUNCTION("""COMPUTED_VALUE"""),0.01275131806608723)</f>
        <v>0.01275131807</v>
      </c>
      <c r="P78" s="7">
        <f>IFERROR(__xludf.DUMMYFUNCTION("""COMPUTED_VALUE"""),0.0)</f>
        <v>0</v>
      </c>
      <c r="Q78" s="7">
        <f>IFERROR(__xludf.DUMMYFUNCTION("""COMPUTED_VALUE"""),0.5722379603)</f>
        <v>0.5722379603</v>
      </c>
    </row>
    <row r="79">
      <c r="A79" s="10" t="s">
        <v>14</v>
      </c>
      <c r="B79" s="10">
        <v>0.8634818881</v>
      </c>
      <c r="C79" s="10">
        <v>0.6365010627</v>
      </c>
      <c r="D79" s="10">
        <v>0.6429797343</v>
      </c>
      <c r="E79" s="10">
        <v>0.6504813539</v>
      </c>
      <c r="F79" s="10">
        <v>0.5355701799</v>
      </c>
      <c r="G79" s="10">
        <v>0.6518452848</v>
      </c>
      <c r="H79" s="10">
        <v>1.0</v>
      </c>
      <c r="I79" s="10">
        <v>0.529546152</v>
      </c>
      <c r="J79" s="10">
        <v>0.5504597584</v>
      </c>
      <c r="K79" s="10">
        <v>0.5741012264</v>
      </c>
      <c r="L79" s="10">
        <v>0.4676009593</v>
      </c>
      <c r="M79" s="10">
        <v>0.3845148384</v>
      </c>
      <c r="O79" s="7">
        <f>IFERROR(__xludf.DUMMYFUNCTION("""COMPUTED_VALUE"""),0.02898796598277473)</f>
        <v>0.02898796598</v>
      </c>
      <c r="P79" s="7">
        <f>IFERROR(__xludf.DUMMYFUNCTION("""COMPUTED_VALUE"""),0.0)</f>
        <v>0</v>
      </c>
      <c r="Q79" s="7">
        <f>IFERROR(__xludf.DUMMYFUNCTION("""COMPUTED_VALUE"""),0.597733711)</f>
        <v>0.597733711</v>
      </c>
    </row>
    <row r="80">
      <c r="A80" s="10" t="s">
        <v>15</v>
      </c>
      <c r="B80" s="10">
        <v>0.2659665155</v>
      </c>
      <c r="C80" s="10">
        <v>0.4660097066</v>
      </c>
      <c r="D80" s="10">
        <v>0.4411179687</v>
      </c>
      <c r="E80" s="10">
        <v>0.4823768768</v>
      </c>
      <c r="F80" s="10">
        <v>0.5312510656</v>
      </c>
      <c r="G80" s="10">
        <v>0.5234084632</v>
      </c>
      <c r="H80" s="10">
        <v>0.5672815722</v>
      </c>
      <c r="I80" s="10">
        <v>0.5818301679</v>
      </c>
      <c r="J80" s="10">
        <v>0.7555040293</v>
      </c>
      <c r="K80" s="10">
        <v>0.6093361067</v>
      </c>
      <c r="L80" s="10">
        <v>0.5892181266</v>
      </c>
      <c r="M80" s="10">
        <v>0.6099044112</v>
      </c>
      <c r="O80" s="7">
        <f>IFERROR(__xludf.DUMMYFUNCTION("""COMPUTED_VALUE"""),-0.01506366077335594)</f>
        <v>-0.01506366077</v>
      </c>
      <c r="P80" s="7">
        <f>IFERROR(__xludf.DUMMYFUNCTION("""COMPUTED_VALUE"""),0.0)</f>
        <v>0</v>
      </c>
      <c r="Q80" s="7">
        <f>IFERROR(__xludf.DUMMYFUNCTION("""COMPUTED_VALUE"""),0.5325779037)</f>
        <v>0.5325779037</v>
      </c>
    </row>
    <row r="81">
      <c r="A81" s="10" t="s">
        <v>16</v>
      </c>
      <c r="B81" s="10">
        <v>0.1777656539</v>
      </c>
      <c r="C81" s="10">
        <v>0.1917459451</v>
      </c>
      <c r="D81" s="10">
        <v>0.1627624146</v>
      </c>
      <c r="E81" s="10">
        <v>0.1782202976</v>
      </c>
      <c r="F81" s="10">
        <v>0.174128505</v>
      </c>
      <c r="G81" s="10">
        <v>0.1616258056</v>
      </c>
      <c r="H81" s="10">
        <v>0.1914049624</v>
      </c>
      <c r="I81" s="10">
        <v>0.1615121447</v>
      </c>
      <c r="J81" s="10">
        <v>0.167081529</v>
      </c>
      <c r="K81" s="10">
        <v>0.1654902763</v>
      </c>
      <c r="L81" s="10">
        <v>0.1744694877</v>
      </c>
      <c r="M81" s="10">
        <v>0.1702640343</v>
      </c>
      <c r="O81" s="7">
        <f>IFERROR(__xludf.DUMMYFUNCTION("""COMPUTED_VALUE"""),0.01232435382021643)</f>
        <v>0.01232435382</v>
      </c>
      <c r="P81" s="7">
        <f>IFERROR(__xludf.DUMMYFUNCTION("""COMPUTED_VALUE"""),0.003499022054)</f>
        <v>0.003499022054</v>
      </c>
      <c r="Q81" s="7">
        <f>IFERROR(__xludf.DUMMYFUNCTION("""COMPUTED_VALUE"""),0.5552407932)</f>
        <v>0.5552407932</v>
      </c>
    </row>
    <row r="82">
      <c r="A82" s="10" t="s">
        <v>17</v>
      </c>
      <c r="B82" s="10">
        <v>0.2909719144</v>
      </c>
      <c r="C82" s="10">
        <v>0.3670110592</v>
      </c>
      <c r="D82" s="10">
        <v>0.3355269888</v>
      </c>
      <c r="E82" s="10">
        <v>0.3314351962</v>
      </c>
      <c r="F82" s="10">
        <v>0.3581455087</v>
      </c>
      <c r="G82" s="10">
        <v>0.4677146202</v>
      </c>
      <c r="H82" s="10">
        <v>0.0</v>
      </c>
      <c r="I82" s="10">
        <v>0.0</v>
      </c>
      <c r="J82" s="10">
        <v>0.0</v>
      </c>
      <c r="K82" s="10">
        <v>0.0</v>
      </c>
      <c r="L82" s="10">
        <v>0.3603050659</v>
      </c>
      <c r="M82" s="10">
        <v>0.3062024755</v>
      </c>
      <c r="O82" s="7">
        <f>IFERROR(__xludf.DUMMYFUNCTION("""COMPUTED_VALUE"""),0.00288833041413772)</f>
        <v>0.002888330414</v>
      </c>
      <c r="P82" s="7">
        <f>IFERROR(__xludf.DUMMYFUNCTION("""COMPUTED_VALUE"""),0.03997302219)</f>
        <v>0.03997302219</v>
      </c>
      <c r="Q82" s="7">
        <f>IFERROR(__xludf.DUMMYFUNCTION("""COMPUTED_VALUE"""),0.5155807365)</f>
        <v>0.5155807365</v>
      </c>
    </row>
    <row r="83">
      <c r="A83" s="10" t="s">
        <v>18</v>
      </c>
      <c r="B83" s="10">
        <v>0.2067491845</v>
      </c>
      <c r="C83" s="10">
        <v>0.1825394119</v>
      </c>
      <c r="D83" s="10">
        <v>0.1419624692</v>
      </c>
      <c r="E83" s="10">
        <v>0.1691274252</v>
      </c>
      <c r="F83" s="10">
        <v>0.1643536673</v>
      </c>
      <c r="G83" s="10">
        <v>1.0</v>
      </c>
      <c r="H83" s="10">
        <v>0.2003841739</v>
      </c>
      <c r="I83" s="10">
        <v>0.1283231607</v>
      </c>
      <c r="J83" s="10">
        <v>0.2377786113</v>
      </c>
      <c r="K83" s="10">
        <v>0.279605824</v>
      </c>
      <c r="L83" s="10">
        <v>0.2699446471</v>
      </c>
      <c r="M83" s="10">
        <v>0.2099316898</v>
      </c>
      <c r="O83" s="7">
        <f>IFERROR(__xludf.DUMMYFUNCTION("""COMPUTED_VALUE"""),-0.002887654425389955)</f>
        <v>-0.002887654425</v>
      </c>
      <c r="P83" s="7">
        <f>IFERROR(__xludf.DUMMYFUNCTION("""COMPUTED_VALUE"""),0.07067377082)</f>
        <v>0.07067377082</v>
      </c>
      <c r="Q83" s="7">
        <f>IFERROR(__xludf.DUMMYFUNCTION("""COMPUTED_VALUE"""),0.5439093484)</f>
        <v>0.5439093484</v>
      </c>
    </row>
    <row r="84">
      <c r="A84" s="10" t="s">
        <v>19</v>
      </c>
      <c r="B84" s="10">
        <v>0.30802105</v>
      </c>
      <c r="C84" s="10">
        <v>0.2290267217</v>
      </c>
      <c r="D84" s="10">
        <v>0.2508496153</v>
      </c>
      <c r="E84" s="10">
        <v>0.3982678078</v>
      </c>
      <c r="F84" s="10">
        <v>0.4693058729</v>
      </c>
      <c r="G84" s="10">
        <v>0.4838544686</v>
      </c>
      <c r="H84" s="10">
        <v>0.3590547959</v>
      </c>
      <c r="I84" s="10">
        <v>0.3267750992</v>
      </c>
      <c r="J84" s="10">
        <v>0.159920892</v>
      </c>
      <c r="K84" s="10">
        <v>0.1561700822</v>
      </c>
      <c r="L84" s="10">
        <v>0.2253895727</v>
      </c>
      <c r="M84" s="10">
        <v>0.1443493482</v>
      </c>
      <c r="O84" s="7">
        <f>IFERROR(__xludf.DUMMYFUNCTION("""COMPUTED_VALUE"""),0.01999227389611892)</f>
        <v>0.0199922739</v>
      </c>
      <c r="P84" s="7">
        <f>IFERROR(__xludf.DUMMYFUNCTION("""COMPUTED_VALUE"""),0.0510339246)</f>
        <v>0.0510339246</v>
      </c>
      <c r="Q84" s="7">
        <f>IFERROR(__xludf.DUMMYFUNCTION("""COMPUTED_VALUE"""),0.5269121813)</f>
        <v>0.5269121813</v>
      </c>
    </row>
    <row r="85">
      <c r="A85" s="10" t="s">
        <v>20</v>
      </c>
      <c r="B85" s="10">
        <v>0.3881519874</v>
      </c>
      <c r="C85" s="10">
        <v>0.3971311988</v>
      </c>
      <c r="D85" s="10">
        <v>0.2768779623</v>
      </c>
      <c r="E85" s="10">
        <v>0.2642616019</v>
      </c>
      <c r="F85" s="10">
        <v>0.4295245564</v>
      </c>
      <c r="G85" s="10">
        <v>0.04841954513</v>
      </c>
      <c r="H85" s="10">
        <v>0.2498266671</v>
      </c>
      <c r="I85" s="10">
        <v>0.4354349234</v>
      </c>
      <c r="J85" s="10">
        <v>0.3811050113</v>
      </c>
      <c r="K85" s="10">
        <v>0.2906309317</v>
      </c>
      <c r="L85" s="10">
        <v>0.234596106</v>
      </c>
      <c r="M85" s="10">
        <v>0.477489458</v>
      </c>
      <c r="O85" s="7">
        <f>IFERROR(__xludf.DUMMYFUNCTION("""COMPUTED_VALUE"""),0.01350146304322639)</f>
        <v>0.01350146304</v>
      </c>
      <c r="P85" s="7">
        <f>IFERROR(__xludf.DUMMYFUNCTION("""COMPUTED_VALUE"""),0.02648411681)</f>
        <v>0.02648411681</v>
      </c>
      <c r="Q85" s="7">
        <f>IFERROR(__xludf.DUMMYFUNCTION("""COMPUTED_VALUE"""),0.5439093484)</f>
        <v>0.5439093484</v>
      </c>
    </row>
    <row r="86">
      <c r="A86" s="10" t="s">
        <v>21</v>
      </c>
      <c r="B86" s="10">
        <v>0.5277275775</v>
      </c>
      <c r="C86" s="10">
        <v>0.576942749</v>
      </c>
      <c r="D86" s="10">
        <v>0.51420193</v>
      </c>
      <c r="E86" s="10">
        <v>0.5889908048</v>
      </c>
      <c r="F86" s="10">
        <v>0.6441163433</v>
      </c>
      <c r="G86" s="10">
        <v>0.3204100885</v>
      </c>
      <c r="H86" s="10">
        <v>0.5113604074</v>
      </c>
      <c r="I86" s="10">
        <v>0.4203180232</v>
      </c>
      <c r="J86" s="10">
        <v>0.07978995465</v>
      </c>
      <c r="K86" s="10">
        <v>0.2104999943</v>
      </c>
      <c r="L86" s="10">
        <v>0.2518725634</v>
      </c>
      <c r="M86" s="10">
        <v>0.3512121935</v>
      </c>
      <c r="O86" s="7">
        <f>IFERROR(__xludf.DUMMYFUNCTION("""COMPUTED_VALUE"""),0.005940231823942157)</f>
        <v>0.005940231824</v>
      </c>
      <c r="P86" s="7">
        <f>IFERROR(__xludf.DUMMYFUNCTION("""COMPUTED_VALUE"""),0.3344628043)</f>
        <v>0.3344628043</v>
      </c>
      <c r="Q86" s="7">
        <f>IFERROR(__xludf.DUMMYFUNCTION("""COMPUTED_VALUE"""),0.9376770538)</f>
        <v>0.9376770538</v>
      </c>
    </row>
    <row r="87">
      <c r="A87" s="10" t="s">
        <v>22</v>
      </c>
      <c r="B87" s="10">
        <v>0.1103647378</v>
      </c>
      <c r="C87" s="10">
        <v>0.09933963015</v>
      </c>
      <c r="D87" s="10">
        <v>0.08660960889</v>
      </c>
      <c r="E87" s="10">
        <v>0.08035825917</v>
      </c>
      <c r="F87" s="10">
        <v>0.09070140144</v>
      </c>
      <c r="G87" s="10">
        <v>0.1111603642</v>
      </c>
      <c r="H87" s="10">
        <v>0.1019538309</v>
      </c>
      <c r="I87" s="10">
        <v>0.1025221355</v>
      </c>
      <c r="J87" s="10">
        <v>0.0</v>
      </c>
      <c r="K87" s="10">
        <v>0.2307316352</v>
      </c>
      <c r="L87" s="10">
        <v>0.1419624692</v>
      </c>
      <c r="M87" s="10">
        <v>0.1410531819</v>
      </c>
      <c r="O87" s="7">
        <f>IFERROR(__xludf.DUMMYFUNCTION("""COMPUTED_VALUE"""),0.03303571244379668)</f>
        <v>0.03303571244</v>
      </c>
      <c r="P87" s="7">
        <f>IFERROR(__xludf.DUMMYFUNCTION("""COMPUTED_VALUE"""),0.3008484521)</f>
        <v>0.3008484521</v>
      </c>
      <c r="Q87" s="7">
        <f>IFERROR(__xludf.DUMMYFUNCTION("""COMPUTED_VALUE"""),0.8271954674)</f>
        <v>0.8271954674</v>
      </c>
    </row>
    <row r="88">
      <c r="A88" s="10" t="s">
        <v>23</v>
      </c>
      <c r="B88" s="10">
        <v>0.227435469</v>
      </c>
      <c r="C88" s="10">
        <v>0.2275491299</v>
      </c>
      <c r="D88" s="10">
        <v>0.2282310954</v>
      </c>
      <c r="E88" s="10">
        <v>0.2273218081</v>
      </c>
      <c r="F88" s="10">
        <v>0.1987929212</v>
      </c>
      <c r="G88" s="10">
        <v>0.0</v>
      </c>
      <c r="H88" s="10">
        <v>0.0</v>
      </c>
      <c r="I88" s="10">
        <v>0.0</v>
      </c>
      <c r="J88" s="10">
        <v>0.2285720781</v>
      </c>
      <c r="K88" s="10">
        <v>0.2305043134</v>
      </c>
      <c r="L88" s="10">
        <v>0.2297086871</v>
      </c>
      <c r="M88" s="10">
        <v>0.2336868187</v>
      </c>
      <c r="O88" s="7">
        <f>IFERROR(__xludf.DUMMYFUNCTION("""COMPUTED_VALUE"""),5.058831587710402E-4)</f>
        <v>0.0005058831588</v>
      </c>
      <c r="P88" s="7">
        <f>IFERROR(__xludf.DUMMYFUNCTION("""COMPUTED_VALUE"""),0.2842840763)</f>
        <v>0.2842840763</v>
      </c>
      <c r="Q88" s="7">
        <f>IFERROR(__xludf.DUMMYFUNCTION("""COMPUTED_VALUE"""),0.8583569405)</f>
        <v>0.8583569405</v>
      </c>
    </row>
    <row r="89">
      <c r="A89" s="10" t="s">
        <v>24</v>
      </c>
      <c r="B89" s="10">
        <v>0.3757629488</v>
      </c>
      <c r="C89" s="10">
        <v>0.3439378957</v>
      </c>
      <c r="D89" s="10">
        <v>0.3379138678</v>
      </c>
      <c r="E89" s="10">
        <v>0.7497073232</v>
      </c>
      <c r="F89" s="10">
        <v>0.610131733</v>
      </c>
      <c r="G89" s="10">
        <v>0.4162262307</v>
      </c>
      <c r="H89" s="10">
        <v>0.2042486446</v>
      </c>
      <c r="I89" s="10">
        <v>0.419408736</v>
      </c>
      <c r="J89" s="10">
        <v>0.0392130119</v>
      </c>
      <c r="K89" s="10">
        <v>0.1804935156</v>
      </c>
      <c r="L89" s="10">
        <v>0.1807208375</v>
      </c>
      <c r="M89" s="10">
        <v>0.1122969732</v>
      </c>
      <c r="O89" s="7">
        <f>IFERROR(__xludf.DUMMYFUNCTION("""COMPUTED_VALUE"""),0.01773002475456282)</f>
        <v>0.01773002475</v>
      </c>
      <c r="P89" s="7">
        <f>IFERROR(__xludf.DUMMYFUNCTION("""COMPUTED_VALUE"""),0.2571983544)</f>
        <v>0.2571983544</v>
      </c>
      <c r="Q89" s="7">
        <f>IFERROR(__xludf.DUMMYFUNCTION("""COMPUTED_VALUE"""),0.8413597734)</f>
        <v>0.8413597734</v>
      </c>
    </row>
    <row r="90">
      <c r="A90" s="10" t="s">
        <v>25</v>
      </c>
      <c r="B90" s="10">
        <v>0.09433855037</v>
      </c>
      <c r="C90" s="10">
        <v>0.02784692149</v>
      </c>
      <c r="D90" s="10">
        <v>0.0</v>
      </c>
      <c r="E90" s="10">
        <v>0.0</v>
      </c>
      <c r="F90" s="10">
        <v>0.0</v>
      </c>
      <c r="G90" s="10">
        <v>0.0</v>
      </c>
      <c r="H90" s="10">
        <v>0.0</v>
      </c>
      <c r="I90" s="10">
        <v>0.0</v>
      </c>
      <c r="J90" s="10">
        <v>0.0</v>
      </c>
      <c r="K90" s="10">
        <v>0.0</v>
      </c>
      <c r="L90" s="10">
        <v>0.0</v>
      </c>
      <c r="M90" s="10">
        <v>0.05262499858</v>
      </c>
      <c r="O90" s="7">
        <f>IFERROR(__xludf.DUMMYFUNCTION("""COMPUTED_VALUE"""),0.07575910669939087)</f>
        <v>0.0757591067</v>
      </c>
      <c r="P90" s="7">
        <f>IFERROR(__xludf.DUMMYFUNCTION("""COMPUTED_VALUE"""),0.2102569636)</f>
        <v>0.2102569636</v>
      </c>
      <c r="Q90" s="7">
        <f>IFERROR(__xludf.DUMMYFUNCTION("""COMPUTED_VALUE"""),0.8640226629)</f>
        <v>0.8640226629</v>
      </c>
    </row>
    <row r="91">
      <c r="A91" s="10" t="s">
        <v>26</v>
      </c>
      <c r="B91" s="10">
        <v>1.0</v>
      </c>
      <c r="C91" s="10">
        <v>0.0</v>
      </c>
      <c r="D91" s="10">
        <v>0.8079017061</v>
      </c>
      <c r="E91" s="10">
        <v>0.08501835624</v>
      </c>
      <c r="F91" s="10">
        <v>0.1736738614</v>
      </c>
      <c r="G91" s="10">
        <v>1.0</v>
      </c>
      <c r="H91" s="10">
        <v>0.1273002125</v>
      </c>
      <c r="I91" s="10">
        <v>0.1045680317</v>
      </c>
      <c r="J91" s="10">
        <v>0.0</v>
      </c>
      <c r="K91" s="10">
        <v>0.0</v>
      </c>
      <c r="L91" s="10">
        <v>0.0</v>
      </c>
      <c r="M91" s="10">
        <v>0.3069981019</v>
      </c>
      <c r="O91" s="7">
        <f>IFERROR(__xludf.DUMMYFUNCTION("""COMPUTED_VALUE"""),-0.01607678257973191)</f>
        <v>-0.01607678258</v>
      </c>
      <c r="P91" s="7">
        <f>IFERROR(__xludf.DUMMYFUNCTION("""COMPUTED_VALUE"""),0.2085303838)</f>
        <v>0.2085303838</v>
      </c>
      <c r="Q91" s="7">
        <f>IFERROR(__xludf.DUMMYFUNCTION("""COMPUTED_VALUE"""),0.8923512748)</f>
        <v>0.8923512748</v>
      </c>
    </row>
    <row r="92">
      <c r="A92" s="10" t="s">
        <v>27</v>
      </c>
      <c r="B92" s="10">
        <v>1.0</v>
      </c>
      <c r="C92" s="10">
        <v>0.6222934497</v>
      </c>
      <c r="D92" s="10">
        <v>1.0</v>
      </c>
      <c r="E92" s="10">
        <v>0.3948579807</v>
      </c>
      <c r="F92" s="10">
        <v>0.3801957241</v>
      </c>
      <c r="G92" s="10">
        <v>1.0</v>
      </c>
      <c r="H92" s="10">
        <v>0.3640558757</v>
      </c>
      <c r="I92" s="10">
        <v>0.4084972892</v>
      </c>
      <c r="J92" s="10">
        <v>0.3961082506</v>
      </c>
      <c r="K92" s="10">
        <v>0.3742853571</v>
      </c>
      <c r="L92" s="10">
        <v>0.8858730862</v>
      </c>
      <c r="M92" s="10">
        <v>0.3716711563</v>
      </c>
      <c r="O92" s="7">
        <f>IFERROR(__xludf.DUMMYFUNCTION("""COMPUTED_VALUE"""),0.01091866195308789)</f>
        <v>0.01091866195</v>
      </c>
      <c r="P92" s="7">
        <f>IFERROR(__xludf.DUMMYFUNCTION("""COMPUTED_VALUE"""),0.3855048223)</f>
        <v>0.3855048223</v>
      </c>
      <c r="Q92" s="7">
        <f>IFERROR(__xludf.DUMMYFUNCTION("""COMPUTED_VALUE"""),0.88101983)</f>
        <v>0.88101983</v>
      </c>
    </row>
    <row r="93">
      <c r="A93" s="10" t="s">
        <v>28</v>
      </c>
      <c r="B93" s="10">
        <v>1.0</v>
      </c>
      <c r="C93" s="10">
        <v>1.0</v>
      </c>
      <c r="D93" s="10">
        <v>1.0</v>
      </c>
      <c r="E93" s="10">
        <v>0.8129027858</v>
      </c>
      <c r="F93" s="10">
        <v>0.4514611109</v>
      </c>
      <c r="G93" s="10">
        <v>0.7021970653</v>
      </c>
      <c r="H93" s="10">
        <v>0.3941760153</v>
      </c>
      <c r="I93" s="10">
        <v>0.2822200248</v>
      </c>
      <c r="J93" s="10">
        <v>0.5006762824</v>
      </c>
      <c r="K93" s="10">
        <v>0.2106136552</v>
      </c>
      <c r="L93" s="10">
        <v>0.2505086325</v>
      </c>
      <c r="M93" s="10">
        <v>0.1751514532</v>
      </c>
      <c r="O93" s="7">
        <f>IFERROR(__xludf.DUMMYFUNCTION("""COMPUTED_VALUE"""),0.01062199346479478)</f>
        <v>0.01062199346</v>
      </c>
      <c r="P93" s="7">
        <f>IFERROR(__xludf.DUMMYFUNCTION("""COMPUTED_VALUE"""),0.3242112363)</f>
        <v>0.3242112363</v>
      </c>
      <c r="Q93" s="7">
        <f>IFERROR(__xludf.DUMMYFUNCTION("""COMPUTED_VALUE"""),0.8781869688)</f>
        <v>0.8781869688</v>
      </c>
    </row>
    <row r="94">
      <c r="A94" s="10" t="s">
        <v>29</v>
      </c>
      <c r="B94" s="10">
        <v>0.3323444835</v>
      </c>
      <c r="C94" s="10">
        <v>0.2886986963</v>
      </c>
      <c r="D94" s="10">
        <v>0.2328911924</v>
      </c>
      <c r="E94" s="10">
        <v>0.1856082563</v>
      </c>
      <c r="F94" s="10">
        <v>0.414634978</v>
      </c>
      <c r="G94" s="10">
        <v>0.3359816324</v>
      </c>
      <c r="H94" s="10">
        <v>0.2693763426</v>
      </c>
      <c r="I94" s="10">
        <v>0.2320955661</v>
      </c>
      <c r="J94" s="10">
        <v>0.0</v>
      </c>
      <c r="K94" s="10">
        <v>0.6730998738</v>
      </c>
      <c r="L94" s="10">
        <v>0.2842659211</v>
      </c>
      <c r="M94" s="10">
        <v>0.2882440527</v>
      </c>
      <c r="O94" s="7">
        <f>IFERROR(__xludf.DUMMYFUNCTION("""COMPUTED_VALUE"""),0.006216468858179857)</f>
        <v>0.006216468858</v>
      </c>
      <c r="P94" s="7">
        <f>IFERROR(__xludf.DUMMYFUNCTION("""COMPUTED_VALUE"""),0.3138517569)</f>
        <v>0.3138517569</v>
      </c>
      <c r="Q94" s="7">
        <f>IFERROR(__xludf.DUMMYFUNCTION("""COMPUTED_VALUE"""),0.9065155807)</f>
        <v>0.9065155807</v>
      </c>
    </row>
    <row r="95">
      <c r="A95" s="10" t="s">
        <v>30</v>
      </c>
      <c r="B95" s="10">
        <v>0.08354076448</v>
      </c>
      <c r="C95" s="10">
        <v>0.05978563553</v>
      </c>
      <c r="D95" s="10">
        <v>0.09990793467</v>
      </c>
      <c r="E95" s="10">
        <v>0.4580534434</v>
      </c>
      <c r="F95" s="10">
        <v>0.0</v>
      </c>
      <c r="G95" s="10">
        <v>0.4820358941</v>
      </c>
      <c r="H95" s="10">
        <v>0.5400029552</v>
      </c>
      <c r="I95" s="10">
        <v>0.5227264978</v>
      </c>
      <c r="J95" s="10">
        <v>0.0</v>
      </c>
      <c r="K95" s="10">
        <v>1.0</v>
      </c>
      <c r="L95" s="10">
        <v>0.2919948625</v>
      </c>
      <c r="M95" s="10">
        <v>0.0</v>
      </c>
      <c r="O95" s="7">
        <f>IFERROR(__xludf.DUMMYFUNCTION("""COMPUTED_VALUE"""),0.004902309532710447)</f>
        <v>0.004902309533</v>
      </c>
      <c r="P95" s="7">
        <f>IFERROR(__xludf.DUMMYFUNCTION("""COMPUTED_VALUE"""),0.2028110879)</f>
        <v>0.2028110879</v>
      </c>
      <c r="Q95" s="7">
        <f>IFERROR(__xludf.DUMMYFUNCTION("""COMPUTED_VALUE"""),0.8470254958)</f>
        <v>0.8470254958</v>
      </c>
    </row>
    <row r="96">
      <c r="A96" s="10" t="s">
        <v>31</v>
      </c>
      <c r="B96" s="10">
        <v>0.3796274196</v>
      </c>
      <c r="C96" s="10">
        <v>0.177651993</v>
      </c>
      <c r="D96" s="10">
        <v>0.2451665701</v>
      </c>
      <c r="E96" s="10">
        <v>0.1650356327</v>
      </c>
      <c r="F96" s="10">
        <v>0.07797138018</v>
      </c>
      <c r="G96" s="10">
        <v>0.07512985758</v>
      </c>
      <c r="H96" s="10">
        <v>0.1643536673</v>
      </c>
      <c r="I96" s="10">
        <v>0.1689001034</v>
      </c>
      <c r="J96" s="10">
        <v>0.1091144679</v>
      </c>
      <c r="K96" s="10">
        <v>0.1344608495</v>
      </c>
      <c r="L96" s="10">
        <v>0.1337788841</v>
      </c>
      <c r="M96" s="10">
        <v>0.1270728907</v>
      </c>
      <c r="O96" s="7">
        <f>IFERROR(__xludf.DUMMYFUNCTION("""COMPUTED_VALUE"""),0.02827059478120083)</f>
        <v>0.02827059478</v>
      </c>
      <c r="P96" s="7">
        <f>IFERROR(__xludf.DUMMYFUNCTION("""COMPUTED_VALUE"""),0.2680973899)</f>
        <v>0.2680973899</v>
      </c>
      <c r="Q96" s="7">
        <f>IFERROR(__xludf.DUMMYFUNCTION("""COMPUTED_VALUE"""),0.9093484419)</f>
        <v>0.9093484419</v>
      </c>
    </row>
    <row r="97">
      <c r="O97" s="7">
        <f>IFERROR(__xludf.DUMMYFUNCTION("""COMPUTED_VALUE"""),0.05179764772161512)</f>
        <v>0.05179764772</v>
      </c>
      <c r="P97" s="7">
        <f>IFERROR(__xludf.DUMMYFUNCTION("""COMPUTED_VALUE"""),0.4846752546)</f>
        <v>0.4846752546</v>
      </c>
      <c r="Q97" s="7">
        <f>IFERROR(__xludf.DUMMYFUNCTION("""COMPUTED_VALUE"""),0.9745042493)</f>
        <v>0.9745042493</v>
      </c>
    </row>
    <row r="98">
      <c r="O98" s="7">
        <f>IFERROR(__xludf.DUMMYFUNCTION("""COMPUTED_VALUE"""),0.01610113229278614)</f>
        <v>0.01610113229</v>
      </c>
      <c r="P98" s="7">
        <f>IFERROR(__xludf.DUMMYFUNCTION("""COMPUTED_VALUE"""),0.4871572132)</f>
        <v>0.4871572132</v>
      </c>
      <c r="Q98" s="7">
        <f>IFERROR(__xludf.DUMMYFUNCTION("""COMPUTED_VALUE"""),0.7280453258)</f>
        <v>0.7280453258</v>
      </c>
    </row>
    <row r="99">
      <c r="O99" s="7">
        <f>IFERROR(__xludf.DUMMYFUNCTION("""COMPUTED_VALUE"""),-0.005827604352744331)</f>
        <v>-0.005827604353</v>
      </c>
      <c r="P99" s="7">
        <f>IFERROR(__xludf.DUMMYFUNCTION("""COMPUTED_VALUE"""),0.4743157753)</f>
        <v>0.4743157753</v>
      </c>
      <c r="Q99" s="7">
        <f>IFERROR(__xludf.DUMMYFUNCTION("""COMPUTED_VALUE"""),0.7422096317)</f>
        <v>0.7422096317</v>
      </c>
    </row>
    <row r="100">
      <c r="A100" s="9" t="s">
        <v>45</v>
      </c>
      <c r="B100" s="10" t="s">
        <v>46</v>
      </c>
      <c r="C100" s="10" t="s">
        <v>47</v>
      </c>
      <c r="D100" s="10" t="s">
        <v>48</v>
      </c>
      <c r="E100" s="10" t="s">
        <v>49</v>
      </c>
      <c r="F100" s="10" t="s">
        <v>50</v>
      </c>
      <c r="G100" s="10" t="s">
        <v>51</v>
      </c>
      <c r="H100" s="10" t="s">
        <v>52</v>
      </c>
      <c r="I100" s="10" t="s">
        <v>53</v>
      </c>
      <c r="J100" s="10" t="s">
        <v>54</v>
      </c>
      <c r="K100" s="10" t="s">
        <v>55</v>
      </c>
      <c r="L100" s="10" t="s">
        <v>56</v>
      </c>
      <c r="M100" s="10" t="s">
        <v>57</v>
      </c>
      <c r="O100" s="7">
        <f>IFERROR(__xludf.DUMMYFUNCTION("""COMPUTED_VALUE"""),0.01005231398367576)</f>
        <v>0.01005231398</v>
      </c>
      <c r="P100" s="7">
        <f>IFERROR(__xludf.DUMMYFUNCTION("""COMPUTED_VALUE"""),0.4325541242)</f>
        <v>0.4325541242</v>
      </c>
      <c r="Q100" s="7">
        <f>IFERROR(__xludf.DUMMYFUNCTION("""COMPUTED_VALUE"""),0.6940509915)</f>
        <v>0.6940509915</v>
      </c>
    </row>
    <row r="101">
      <c r="A101" s="10" t="s">
        <v>3</v>
      </c>
      <c r="B101" s="10">
        <v>1.0</v>
      </c>
      <c r="C101" s="10">
        <v>0.9679461559</v>
      </c>
      <c r="D101" s="10">
        <v>0.7981646976</v>
      </c>
      <c r="E101" s="10">
        <v>0.9020799028</v>
      </c>
      <c r="F101" s="10">
        <v>1.0</v>
      </c>
      <c r="G101" s="10">
        <v>0.9989608479</v>
      </c>
      <c r="H101" s="10">
        <v>1.0</v>
      </c>
      <c r="I101" s="10">
        <v>1.0</v>
      </c>
      <c r="J101" s="10">
        <v>1.0</v>
      </c>
      <c r="K101" s="10">
        <v>1.0</v>
      </c>
      <c r="L101" s="10">
        <v>1.0</v>
      </c>
      <c r="M101" s="10">
        <v>1.0</v>
      </c>
      <c r="O101" s="7">
        <f>IFERROR(__xludf.DUMMYFUNCTION("""COMPUTED_VALUE"""),0.00185126563362924)</f>
        <v>0.001851265634</v>
      </c>
      <c r="P101" s="7">
        <f>IFERROR(__xludf.DUMMYFUNCTION("""COMPUTED_VALUE"""),0.3572320766)</f>
        <v>0.3572320766</v>
      </c>
      <c r="Q101" s="7">
        <f>IFERROR(__xludf.DUMMYFUNCTION("""COMPUTED_VALUE"""),0.6940509915)</f>
        <v>0.6940509915</v>
      </c>
    </row>
    <row r="102">
      <c r="A102" s="10" t="s">
        <v>4</v>
      </c>
      <c r="B102" s="10">
        <v>0.3150389282</v>
      </c>
      <c r="C102" s="10">
        <v>0.4672347365</v>
      </c>
      <c r="D102" s="10">
        <v>0.358843184</v>
      </c>
      <c r="E102" s="10">
        <v>0.314079711</v>
      </c>
      <c r="F102" s="10">
        <v>0.4464516954</v>
      </c>
      <c r="G102" s="10">
        <v>0.4093619606</v>
      </c>
      <c r="H102" s="10">
        <v>0.3386996211</v>
      </c>
      <c r="I102" s="10">
        <v>0.3684353567</v>
      </c>
      <c r="J102" s="10">
        <v>0.3959329187</v>
      </c>
      <c r="K102" s="10">
        <v>0.3748301386</v>
      </c>
      <c r="L102" s="10">
        <v>0.30033093</v>
      </c>
      <c r="M102" s="10">
        <v>0.2961743218</v>
      </c>
      <c r="O102" s="7">
        <f>IFERROR(__xludf.DUMMYFUNCTION("""COMPUTED_VALUE"""),0.04643503800280763)</f>
        <v>0.046435038</v>
      </c>
      <c r="P102" s="7">
        <f>IFERROR(__xludf.DUMMYFUNCTION("""COMPUTED_VALUE"""),0.2994995616)</f>
        <v>0.2994995616</v>
      </c>
      <c r="Q102" s="7">
        <f>IFERROR(__xludf.DUMMYFUNCTION("""COMPUTED_VALUE"""),0.6883852691)</f>
        <v>0.6883852691</v>
      </c>
    </row>
    <row r="103">
      <c r="A103" s="10" t="s">
        <v>5</v>
      </c>
      <c r="B103" s="10">
        <v>0.6843375805</v>
      </c>
      <c r="C103" s="10">
        <v>0.7278220972</v>
      </c>
      <c r="D103" s="10">
        <v>0.3754696168</v>
      </c>
      <c r="E103" s="10">
        <v>0.6363767166</v>
      </c>
      <c r="F103" s="10">
        <v>0.3367811866</v>
      </c>
      <c r="G103" s="10">
        <v>0.07267669582</v>
      </c>
      <c r="H103" s="10">
        <v>0.2664385861</v>
      </c>
      <c r="I103" s="10">
        <v>0.0103275727</v>
      </c>
      <c r="J103" s="10">
        <v>0.2594043261</v>
      </c>
      <c r="K103" s="10">
        <v>0.623906892</v>
      </c>
      <c r="L103" s="10">
        <v>0.6450096721</v>
      </c>
      <c r="M103" s="10">
        <v>0.6347780211</v>
      </c>
      <c r="O103" s="7">
        <f>IFERROR(__xludf.DUMMYFUNCTION("""COMPUTED_VALUE"""),-0.01955833248889985)</f>
        <v>-0.01955833249</v>
      </c>
      <c r="P103" s="7">
        <f>IFERROR(__xludf.DUMMYFUNCTION("""COMPUTED_VALUE"""),0.2555257301)</f>
        <v>0.2555257301</v>
      </c>
      <c r="Q103" s="7">
        <f>IFERROR(__xludf.DUMMYFUNCTION("""COMPUTED_VALUE"""),0.6883852691)</f>
        <v>0.6883852691</v>
      </c>
    </row>
    <row r="104">
      <c r="A104" s="10" t="s">
        <v>6</v>
      </c>
      <c r="B104" s="10">
        <v>0.3975316142</v>
      </c>
      <c r="C104" s="10">
        <v>0.4301450017</v>
      </c>
      <c r="D104" s="10">
        <v>0.4541254336</v>
      </c>
      <c r="E104" s="10">
        <v>0.3671564004</v>
      </c>
      <c r="F104" s="10">
        <v>0.3671564004</v>
      </c>
      <c r="G104" s="10">
        <v>0.3310258829</v>
      </c>
      <c r="H104" s="10">
        <v>0.3818643987</v>
      </c>
      <c r="I104" s="10">
        <v>0.3847420505</v>
      </c>
      <c r="J104" s="10">
        <v>0.4285463062</v>
      </c>
      <c r="K104" s="10">
        <v>0.9177471184</v>
      </c>
      <c r="L104" s="10">
        <v>0.9938450225</v>
      </c>
      <c r="M104" s="10">
        <v>1.0</v>
      </c>
      <c r="O104" s="7">
        <f>IFERROR(__xludf.DUMMYFUNCTION("""COMPUTED_VALUE"""),0.0179257065060432)</f>
        <v>0.01792570651</v>
      </c>
      <c r="P104" s="7">
        <f>IFERROR(__xludf.DUMMYFUNCTION("""COMPUTED_VALUE"""),0.4338490591)</f>
        <v>0.4338490591</v>
      </c>
      <c r="Q104" s="7">
        <f>IFERROR(__xludf.DUMMYFUNCTION("""COMPUTED_VALUE"""),0.7053824363)</f>
        <v>0.7053824363</v>
      </c>
    </row>
    <row r="105">
      <c r="A105" s="10" t="s">
        <v>7</v>
      </c>
      <c r="B105" s="10">
        <v>0.7476459209</v>
      </c>
      <c r="C105" s="10">
        <v>0.8186279996</v>
      </c>
      <c r="D105" s="10">
        <v>0.8672283417</v>
      </c>
      <c r="E105" s="10">
        <v>0.6888139278</v>
      </c>
      <c r="F105" s="10">
        <v>0.5084810794</v>
      </c>
      <c r="G105" s="10">
        <v>0.6165528928</v>
      </c>
      <c r="H105" s="10">
        <v>0.6693098432</v>
      </c>
      <c r="I105" s="10">
        <v>0.6146344583</v>
      </c>
      <c r="J105" s="10">
        <v>0.5676328116</v>
      </c>
      <c r="K105" s="10">
        <v>0.5382168151</v>
      </c>
      <c r="L105" s="10">
        <v>0.5119982095</v>
      </c>
      <c r="M105" s="10">
        <v>0.5430129015</v>
      </c>
      <c r="O105" s="7">
        <f>IFERROR(__xludf.DUMMYFUNCTION("""COMPUTED_VALUE"""),0.02310927039680578)</f>
        <v>0.0231092704</v>
      </c>
      <c r="P105" s="7">
        <f>IFERROR(__xludf.DUMMYFUNCTION("""COMPUTED_VALUE"""),0.3704512039)</f>
        <v>0.3704512039</v>
      </c>
      <c r="Q105" s="7">
        <f>IFERROR(__xludf.DUMMYFUNCTION("""COMPUTED_VALUE"""),0.7053824363)</f>
        <v>0.7053824363</v>
      </c>
    </row>
    <row r="106">
      <c r="A106" s="10" t="s">
        <v>8</v>
      </c>
      <c r="B106" s="10">
        <v>0.6897731451</v>
      </c>
      <c r="C106" s="10">
        <v>0.6005659382</v>
      </c>
      <c r="D106" s="10">
        <v>0.5084810794</v>
      </c>
      <c r="E106" s="10">
        <v>0.4685136928</v>
      </c>
      <c r="F106" s="10">
        <v>0.4474109127</v>
      </c>
      <c r="G106" s="10">
        <v>0.4205528289</v>
      </c>
      <c r="H106" s="10">
        <v>0.4643570846</v>
      </c>
      <c r="I106" s="10">
        <v>0.4112803952</v>
      </c>
      <c r="J106" s="10">
        <v>0.5308628159</v>
      </c>
      <c r="K106" s="10">
        <v>0.5452510751</v>
      </c>
      <c r="L106" s="10">
        <v>0.5180732522</v>
      </c>
      <c r="M106" s="10">
        <v>0.4454924781</v>
      </c>
      <c r="O106" s="7">
        <f>IFERROR(__xludf.DUMMYFUNCTION("""COMPUTED_VALUE"""),0.02559142827098789)</f>
        <v>0.02559142827</v>
      </c>
      <c r="P106" s="7">
        <f>IFERROR(__xludf.DUMMYFUNCTION("""COMPUTED_VALUE"""),0.3078626829)</f>
        <v>0.3078626829</v>
      </c>
      <c r="Q106" s="7">
        <f>IFERROR(__xludf.DUMMYFUNCTION("""COMPUTED_VALUE"""),0.6912181303)</f>
        <v>0.6912181303</v>
      </c>
    </row>
    <row r="107">
      <c r="A107" s="10" t="s">
        <v>9</v>
      </c>
      <c r="B107" s="10">
        <v>0.6028041118</v>
      </c>
      <c r="C107" s="10">
        <v>0.1030519096</v>
      </c>
      <c r="D107" s="10">
        <v>0.2437371105</v>
      </c>
      <c r="E107" s="10">
        <v>0.1398219053</v>
      </c>
      <c r="F107" s="10">
        <v>0.0</v>
      </c>
      <c r="G107" s="10">
        <v>0.0</v>
      </c>
      <c r="H107" s="10">
        <v>0.03111061374</v>
      </c>
      <c r="I107" s="10">
        <v>0.02119870186</v>
      </c>
      <c r="J107" s="10">
        <v>0.08546625953</v>
      </c>
      <c r="K107" s="10">
        <v>0.1714760755</v>
      </c>
      <c r="L107" s="10">
        <v>0.1465364263</v>
      </c>
      <c r="M107" s="10">
        <v>0.09090182411</v>
      </c>
      <c r="O107" s="7">
        <f>IFERROR(__xludf.DUMMYFUNCTION("""COMPUTED_VALUE"""),0.005146507946667127)</f>
        <v>0.005146507947</v>
      </c>
      <c r="P107" s="7">
        <f>IFERROR(__xludf.DUMMYFUNCTION("""COMPUTED_VALUE"""),0.2597342686)</f>
        <v>0.2597342686</v>
      </c>
      <c r="Q107" s="7">
        <f>IFERROR(__xludf.DUMMYFUNCTION("""COMPUTED_VALUE"""),0.6827195467)</f>
        <v>0.6827195467</v>
      </c>
    </row>
    <row r="108">
      <c r="A108" s="10" t="s">
        <v>10</v>
      </c>
      <c r="B108" s="10">
        <v>0.4538056946</v>
      </c>
      <c r="C108" s="10">
        <v>0.4355805663</v>
      </c>
      <c r="D108" s="10">
        <v>0.4464516954</v>
      </c>
      <c r="E108" s="10">
        <v>0.4832216911</v>
      </c>
      <c r="F108" s="10">
        <v>0.4522069991</v>
      </c>
      <c r="G108" s="10">
        <v>0.4787453438</v>
      </c>
      <c r="H108" s="10">
        <v>0.513916644</v>
      </c>
      <c r="I108" s="10">
        <v>0.5292641205</v>
      </c>
      <c r="J108" s="10">
        <v>0.5567616825</v>
      </c>
      <c r="K108" s="10">
        <v>0.5532445524</v>
      </c>
      <c r="L108" s="10">
        <v>0.6146344583</v>
      </c>
      <c r="M108" s="10">
        <v>0.6258253265</v>
      </c>
      <c r="O108" s="7">
        <f>IFERROR(__xludf.DUMMYFUNCTION("""COMPUTED_VALUE"""),0.02696063998152464)</f>
        <v>0.02696063998</v>
      </c>
      <c r="P108" s="7">
        <f>IFERROR(__xludf.DUMMYFUNCTION("""COMPUTED_VALUE"""),0.2239077359)</f>
        <v>0.2239077359</v>
      </c>
      <c r="Q108" s="7">
        <f>IFERROR(__xludf.DUMMYFUNCTION("""COMPUTED_VALUE"""),0.6855524079)</f>
        <v>0.6855524079</v>
      </c>
    </row>
    <row r="109">
      <c r="A109" s="10" t="s">
        <v>11</v>
      </c>
      <c r="B109" s="10">
        <v>0.6952087097</v>
      </c>
      <c r="C109" s="10">
        <v>0.7310194881</v>
      </c>
      <c r="D109" s="10">
        <v>0.851241387</v>
      </c>
      <c r="E109" s="10">
        <v>0.9036785983</v>
      </c>
      <c r="F109" s="10">
        <v>0.8016818276</v>
      </c>
      <c r="G109" s="10">
        <v>0.7095969689</v>
      </c>
      <c r="H109" s="10">
        <v>0.6593979313</v>
      </c>
      <c r="I109" s="10">
        <v>0.6753848859</v>
      </c>
      <c r="J109" s="10">
        <v>0.6498057585</v>
      </c>
      <c r="K109" s="10">
        <v>0.6312608911</v>
      </c>
      <c r="L109" s="10">
        <v>0.6523636712</v>
      </c>
      <c r="M109" s="10">
        <v>0.637655673</v>
      </c>
      <c r="O109" s="7">
        <f>IFERROR(__xludf.DUMMYFUNCTION("""COMPUTED_VALUE"""),0.01634985282417519)</f>
        <v>0.01634985282</v>
      </c>
      <c r="P109" s="7">
        <f>IFERROR(__xludf.DUMMYFUNCTION("""COMPUTED_VALUE"""),0.1845740878)</f>
        <v>0.1845740878</v>
      </c>
      <c r="Q109" s="7">
        <f>IFERROR(__xludf.DUMMYFUNCTION("""COMPUTED_VALUE"""),0.6968838527)</f>
        <v>0.6968838527</v>
      </c>
    </row>
    <row r="110">
      <c r="A110" s="10" t="s">
        <v>12</v>
      </c>
      <c r="B110" s="10">
        <v>0.5193522086</v>
      </c>
      <c r="C110" s="10">
        <v>0.5097600358</v>
      </c>
      <c r="D110" s="10">
        <v>0.513916644</v>
      </c>
      <c r="E110" s="10">
        <v>0.520631165</v>
      </c>
      <c r="F110" s="10">
        <v>0.5222298604</v>
      </c>
      <c r="G110" s="10">
        <v>0.5215903822</v>
      </c>
      <c r="H110" s="10">
        <v>0.4713913447</v>
      </c>
      <c r="I110" s="10">
        <v>0.4486898691</v>
      </c>
      <c r="J110" s="10">
        <v>0.4112803952</v>
      </c>
      <c r="K110" s="10">
        <v>0.3917763105</v>
      </c>
      <c r="L110" s="10">
        <v>0.4160764816</v>
      </c>
      <c r="M110" s="10">
        <v>0.4112803952</v>
      </c>
      <c r="O110" s="7">
        <f>IFERROR(__xludf.DUMMYFUNCTION("""COMPUTED_VALUE"""),0.002143894451868834)</f>
        <v>0.002143894452</v>
      </c>
      <c r="P110" s="7">
        <f>IFERROR(__xludf.DUMMYFUNCTION("""COMPUTED_VALUE"""),0.2331881028)</f>
        <v>0.2331881028</v>
      </c>
      <c r="Q110" s="7">
        <f>IFERROR(__xludf.DUMMYFUNCTION("""COMPUTED_VALUE"""),0.8101983003)</f>
        <v>0.8101983003</v>
      </c>
    </row>
    <row r="111">
      <c r="A111" s="10" t="s">
        <v>13</v>
      </c>
      <c r="B111" s="10">
        <v>0.9123115538</v>
      </c>
      <c r="C111" s="10">
        <v>0.8806573836</v>
      </c>
      <c r="D111" s="10">
        <v>0.8886508609</v>
      </c>
      <c r="E111" s="10">
        <v>0.8426084315</v>
      </c>
      <c r="F111" s="10">
        <v>0.7035219261</v>
      </c>
      <c r="G111" s="10">
        <v>0.4016882224</v>
      </c>
      <c r="H111" s="10">
        <v>0.2312672859</v>
      </c>
      <c r="I111" s="10">
        <v>0.4464516954</v>
      </c>
      <c r="J111" s="10">
        <v>0.5733881153</v>
      </c>
      <c r="K111" s="10">
        <v>0.5676328116</v>
      </c>
      <c r="L111" s="10">
        <v>0.7313392272</v>
      </c>
      <c r="M111" s="10">
        <v>0.7332576617</v>
      </c>
      <c r="O111" s="7">
        <f>IFERROR(__xludf.DUMMYFUNCTION("""COMPUTED_VALUE"""),-0.01016901540173236)</f>
        <v>-0.0101690154</v>
      </c>
      <c r="P111" s="7">
        <f>IFERROR(__xludf.DUMMYFUNCTION("""COMPUTED_VALUE"""),0.2246631146)</f>
        <v>0.2246631146</v>
      </c>
      <c r="Q111" s="7">
        <f>IFERROR(__xludf.DUMMYFUNCTION("""COMPUTED_VALUE"""),0.9036827195)</f>
        <v>0.9036827195</v>
      </c>
    </row>
    <row r="112">
      <c r="A112" s="10" t="s">
        <v>14</v>
      </c>
      <c r="B112" s="10">
        <v>0.503365254</v>
      </c>
      <c r="C112" s="10">
        <v>0.5247877732</v>
      </c>
      <c r="D112" s="10">
        <v>0.503684993</v>
      </c>
      <c r="E112" s="10">
        <v>0.5605985516</v>
      </c>
      <c r="F112" s="10">
        <v>0.5967290691</v>
      </c>
      <c r="G112" s="10">
        <v>0.5644354207</v>
      </c>
      <c r="H112" s="10">
        <v>0.5743473326</v>
      </c>
      <c r="I112" s="10">
        <v>0.7083180125</v>
      </c>
      <c r="J112" s="10">
        <v>0.6501254976</v>
      </c>
      <c r="K112" s="10">
        <v>0.6693098432</v>
      </c>
      <c r="L112" s="10">
        <v>0.720468098</v>
      </c>
      <c r="M112" s="10">
        <v>0.6581189749</v>
      </c>
      <c r="O112" s="7">
        <f>IFERROR(__xludf.DUMMYFUNCTION("""COMPUTED_VALUE"""),0.01951843783347793)</f>
        <v>0.01951843783</v>
      </c>
      <c r="P112" s="7">
        <f>IFERROR(__xludf.DUMMYFUNCTION("""COMPUTED_VALUE"""),0.2210480879)</f>
        <v>0.2210480879</v>
      </c>
      <c r="Q112" s="7">
        <f>IFERROR(__xludf.DUMMYFUNCTION("""COMPUTED_VALUE"""),0.8328611898)</f>
        <v>0.8328611898</v>
      </c>
    </row>
    <row r="113">
      <c r="A113" s="10" t="s">
        <v>15</v>
      </c>
      <c r="B113" s="10">
        <v>1.0</v>
      </c>
      <c r="C113" s="10">
        <v>0.9132707711</v>
      </c>
      <c r="D113" s="10">
        <v>0.8541190389</v>
      </c>
      <c r="E113" s="10">
        <v>0.7946475676</v>
      </c>
      <c r="F113" s="10">
        <v>0.8474045179</v>
      </c>
      <c r="G113" s="10">
        <v>0.9871305015</v>
      </c>
      <c r="H113" s="10">
        <v>0.8266214769</v>
      </c>
      <c r="I113" s="10">
        <v>0.823743825</v>
      </c>
      <c r="J113" s="10">
        <v>0.7610749628</v>
      </c>
      <c r="K113" s="10">
        <v>0.7530814855</v>
      </c>
      <c r="L113" s="10">
        <v>0.7824974821</v>
      </c>
      <c r="M113" s="10">
        <v>0.7924093939</v>
      </c>
      <c r="O113" s="7">
        <f>IFERROR(__xludf.DUMMYFUNCTION("""COMPUTED_VALUE"""),-0.01363159449676747)</f>
        <v>-0.0136315945</v>
      </c>
      <c r="P113" s="7">
        <f>IFERROR(__xludf.DUMMYFUNCTION("""COMPUTED_VALUE"""),0.1925595198)</f>
        <v>0.1925595198</v>
      </c>
      <c r="Q113" s="7">
        <f>IFERROR(__xludf.DUMMYFUNCTION("""COMPUTED_VALUE"""),0.8243626062)</f>
        <v>0.8243626062</v>
      </c>
    </row>
    <row r="114">
      <c r="A114" s="10" t="s">
        <v>16</v>
      </c>
      <c r="B114" s="10">
        <v>1.0</v>
      </c>
      <c r="C114" s="10">
        <v>1.0</v>
      </c>
      <c r="D114" s="10">
        <v>1.0</v>
      </c>
      <c r="E114" s="10">
        <v>1.0</v>
      </c>
      <c r="F114" s="10">
        <v>0.9433262458</v>
      </c>
      <c r="G114" s="10">
        <v>0.8007226103</v>
      </c>
      <c r="H114" s="10">
        <v>0.7390129654</v>
      </c>
      <c r="I114" s="10">
        <v>0.7607552237</v>
      </c>
      <c r="J114" s="10">
        <v>0.6875349715</v>
      </c>
      <c r="K114" s="10">
        <v>0.5161548177</v>
      </c>
      <c r="L114" s="10">
        <v>0.7143930553</v>
      </c>
      <c r="M114" s="10">
        <v>0.6485268021</v>
      </c>
      <c r="O114" s="7">
        <f>IFERROR(__xludf.DUMMYFUNCTION("""COMPUTED_VALUE"""),0.00641058386590098)</f>
        <v>0.006410583866</v>
      </c>
      <c r="P114" s="7">
        <f>IFERROR(__xludf.DUMMYFUNCTION("""COMPUTED_VALUE"""),0.1722722061)</f>
        <v>0.1722722061</v>
      </c>
      <c r="Q114" s="7">
        <f>IFERROR(__xludf.DUMMYFUNCTION("""COMPUTED_VALUE"""),0.7960339943)</f>
        <v>0.7960339943</v>
      </c>
    </row>
    <row r="115">
      <c r="A115" s="10" t="s">
        <v>17</v>
      </c>
      <c r="B115" s="10">
        <v>0.1996131157</v>
      </c>
      <c r="C115" s="10">
        <v>0.2037697239</v>
      </c>
      <c r="D115" s="10">
        <v>0.1986538984</v>
      </c>
      <c r="E115" s="10">
        <v>0.1887419865</v>
      </c>
      <c r="F115" s="10">
        <v>0.2821058017</v>
      </c>
      <c r="G115" s="10">
        <v>0.2165592876</v>
      </c>
      <c r="H115" s="10">
        <v>0.2207158958</v>
      </c>
      <c r="I115" s="10">
        <v>0.204089463</v>
      </c>
      <c r="J115" s="10">
        <v>0.1797892919</v>
      </c>
      <c r="K115" s="10">
        <v>0.1535706863</v>
      </c>
      <c r="L115" s="10">
        <v>0.1500535563</v>
      </c>
      <c r="M115" s="10">
        <v>0.1609246855</v>
      </c>
      <c r="O115" s="7">
        <f>IFERROR(__xludf.DUMMYFUNCTION("""COMPUTED_VALUE"""),0.02513348725591321)</f>
        <v>0.02513348726</v>
      </c>
      <c r="P115" s="7">
        <f>IFERROR(__xludf.DUMMYFUNCTION("""COMPUTED_VALUE"""),0.1568408984)</f>
        <v>0.1568408984</v>
      </c>
      <c r="Q115" s="7">
        <f>IFERROR(__xludf.DUMMYFUNCTION("""COMPUTED_VALUE"""),0.8073654391)</f>
        <v>0.8073654391</v>
      </c>
    </row>
    <row r="116">
      <c r="A116" s="10" t="s">
        <v>18</v>
      </c>
      <c r="B116" s="10">
        <v>0.2309475468</v>
      </c>
      <c r="C116" s="10">
        <v>0.2363831114</v>
      </c>
      <c r="D116" s="10">
        <v>0.238621285</v>
      </c>
      <c r="E116" s="10">
        <v>0.1698773801</v>
      </c>
      <c r="F116" s="10">
        <v>0.0</v>
      </c>
      <c r="G116" s="10">
        <v>0.0</v>
      </c>
      <c r="H116" s="10">
        <v>0.1206375598</v>
      </c>
      <c r="I116" s="10">
        <v>0.2162395485</v>
      </c>
      <c r="J116" s="10">
        <v>0.09889530143</v>
      </c>
      <c r="K116" s="10">
        <v>0.09282025867</v>
      </c>
      <c r="L116" s="10">
        <v>0.09377947595</v>
      </c>
      <c r="M116" s="10">
        <v>0.1654010328</v>
      </c>
      <c r="O116" s="7">
        <f>IFERROR(__xludf.DUMMYFUNCTION("""COMPUTED_VALUE"""),0.02178399273824086)</f>
        <v>0.02178399274</v>
      </c>
      <c r="P116" s="7">
        <f>IFERROR(__xludf.DUMMYFUNCTION("""COMPUTED_VALUE"""),0.1395211439)</f>
        <v>0.1395211439</v>
      </c>
      <c r="Q116" s="7">
        <f>IFERROR(__xludf.DUMMYFUNCTION("""COMPUTED_VALUE"""),0.821529745)</f>
        <v>0.821529745</v>
      </c>
    </row>
    <row r="117">
      <c r="A117" s="10" t="s">
        <v>19</v>
      </c>
      <c r="B117" s="10">
        <v>0.2766702371</v>
      </c>
      <c r="C117" s="10">
        <v>0.2766702371</v>
      </c>
      <c r="D117" s="10">
        <v>0.197055203</v>
      </c>
      <c r="E117" s="10">
        <v>0.1129638215</v>
      </c>
      <c r="F117" s="10">
        <v>0.1701971192</v>
      </c>
      <c r="G117" s="10">
        <v>0.2133618967</v>
      </c>
      <c r="H117" s="10">
        <v>0.2568464133</v>
      </c>
      <c r="I117" s="10">
        <v>0.2875413662</v>
      </c>
      <c r="J117" s="10">
        <v>0.3230324056</v>
      </c>
      <c r="K117" s="10">
        <v>0.2769899762</v>
      </c>
      <c r="L117" s="10">
        <v>0.2171987658</v>
      </c>
      <c r="M117" s="10">
        <v>0.1823472047</v>
      </c>
      <c r="O117" s="7">
        <f>IFERROR(__xludf.DUMMYFUNCTION("""COMPUTED_VALUE"""),0.03300565857703709)</f>
        <v>0.03300565858</v>
      </c>
      <c r="P117" s="7">
        <f>IFERROR(__xludf.DUMMYFUNCTION("""COMPUTED_VALUE"""),0.1185863627)</f>
        <v>0.1185863627</v>
      </c>
      <c r="Q117" s="7">
        <f>IFERROR(__xludf.DUMMYFUNCTION("""COMPUTED_VALUE"""),0.8045325779)</f>
        <v>0.8045325779</v>
      </c>
    </row>
    <row r="118">
      <c r="A118" s="10" t="s">
        <v>20</v>
      </c>
      <c r="B118" s="10">
        <v>0.3479720548</v>
      </c>
      <c r="C118" s="10">
        <v>0.331345622</v>
      </c>
      <c r="D118" s="10">
        <v>0.2750715416</v>
      </c>
      <c r="E118" s="10">
        <v>0.3626800531</v>
      </c>
      <c r="F118" s="10">
        <v>0.3879394414</v>
      </c>
      <c r="G118" s="10">
        <v>0.31439945</v>
      </c>
      <c r="H118" s="10">
        <v>0.4045658742</v>
      </c>
      <c r="I118" s="10">
        <v>0.3434957075</v>
      </c>
      <c r="J118" s="10">
        <v>0.3716327477</v>
      </c>
      <c r="K118" s="10">
        <v>0.4419753481</v>
      </c>
      <c r="L118" s="10">
        <v>0.3748301386</v>
      </c>
      <c r="M118" s="10">
        <v>0.4403766527</v>
      </c>
      <c r="O118" s="7">
        <f>IFERROR(__xludf.DUMMYFUNCTION("""COMPUTED_VALUE"""),0.003362416800025525)</f>
        <v>0.0033624168</v>
      </c>
      <c r="P118" s="7">
        <f>IFERROR(__xludf.DUMMYFUNCTION("""COMPUTED_VALUE"""),0.1001874958)</f>
        <v>0.1001874958</v>
      </c>
      <c r="Q118" s="7">
        <f>IFERROR(__xludf.DUMMYFUNCTION("""COMPUTED_VALUE"""),0.8073654391)</f>
        <v>0.8073654391</v>
      </c>
    </row>
    <row r="119">
      <c r="A119" s="10" t="s">
        <v>21</v>
      </c>
      <c r="B119" s="10">
        <v>1.0</v>
      </c>
      <c r="C119" s="10">
        <v>1.0</v>
      </c>
      <c r="D119" s="10">
        <v>1.0</v>
      </c>
      <c r="E119" s="10">
        <v>1.0</v>
      </c>
      <c r="F119" s="10">
        <v>0.9321353775</v>
      </c>
      <c r="G119" s="10">
        <v>0.9023996419</v>
      </c>
      <c r="H119" s="10">
        <v>0.8819363399</v>
      </c>
      <c r="I119" s="10">
        <v>0.8384518233</v>
      </c>
      <c r="J119" s="10">
        <v>0.8880113827</v>
      </c>
      <c r="K119" s="10">
        <v>0.8832152963</v>
      </c>
      <c r="L119" s="10">
        <v>0.8921679909</v>
      </c>
      <c r="M119" s="10">
        <v>0.906236511</v>
      </c>
      <c r="O119" s="7">
        <f>IFERROR(__xludf.DUMMYFUNCTION("""COMPUTED_VALUE"""),0.0020781671213259)</f>
        <v>0.002078167121</v>
      </c>
      <c r="P119" s="7">
        <f>IFERROR(__xludf.DUMMYFUNCTION("""COMPUTED_VALUE"""),0.09166250759)</f>
        <v>0.09166250759</v>
      </c>
      <c r="Q119" s="7">
        <f>IFERROR(__xludf.DUMMYFUNCTION("""COMPUTED_VALUE"""),0.8470254958)</f>
        <v>0.8470254958</v>
      </c>
    </row>
    <row r="120">
      <c r="A120" s="10" t="s">
        <v>22</v>
      </c>
      <c r="B120" s="10">
        <v>0.2462950233</v>
      </c>
      <c r="C120" s="10">
        <v>0.2574858915</v>
      </c>
      <c r="D120" s="10">
        <v>0.2482134578</v>
      </c>
      <c r="E120" s="10">
        <v>0.2872216272</v>
      </c>
      <c r="F120" s="10">
        <v>0.3428562293</v>
      </c>
      <c r="G120" s="10">
        <v>0.1912998993</v>
      </c>
      <c r="H120" s="10">
        <v>0.2018512893</v>
      </c>
      <c r="I120" s="10">
        <v>0.2725136289</v>
      </c>
      <c r="J120" s="10">
        <v>0.2920177135</v>
      </c>
      <c r="K120" s="10">
        <v>0.3243113619</v>
      </c>
      <c r="L120" s="10">
        <v>0.1797892919</v>
      </c>
      <c r="M120" s="10">
        <v>0.1442982526</v>
      </c>
      <c r="O120" s="7">
        <f>IFERROR(__xludf.DUMMYFUNCTION("""COMPUTED_VALUE"""),0.03347957214014236)</f>
        <v>0.03347957214</v>
      </c>
      <c r="P120" s="7">
        <f>IFERROR(__xludf.DUMMYFUNCTION("""COMPUTED_VALUE"""),0.09743575909)</f>
        <v>0.09743575909</v>
      </c>
      <c r="Q120" s="7">
        <f>IFERROR(__xludf.DUMMYFUNCTION("""COMPUTED_VALUE"""),0.7393767705)</f>
        <v>0.7393767705</v>
      </c>
    </row>
    <row r="121">
      <c r="A121" s="10" t="s">
        <v>23</v>
      </c>
      <c r="B121" s="10">
        <v>0.493133603</v>
      </c>
      <c r="C121" s="10">
        <v>0.4745887356</v>
      </c>
      <c r="D121" s="10">
        <v>0.4940928203</v>
      </c>
      <c r="E121" s="10">
        <v>0.3793064859</v>
      </c>
      <c r="F121" s="10">
        <v>0.2578056306</v>
      </c>
      <c r="G121" s="10">
        <v>0.193857812</v>
      </c>
      <c r="H121" s="10">
        <v>0.01736183274</v>
      </c>
      <c r="I121" s="10">
        <v>0.0</v>
      </c>
      <c r="J121" s="10">
        <v>0.0</v>
      </c>
      <c r="K121" s="10">
        <v>0.1631628591</v>
      </c>
      <c r="L121" s="10">
        <v>0.2478937187</v>
      </c>
      <c r="M121" s="10">
        <v>0.2235935477</v>
      </c>
      <c r="O121" s="7">
        <f>IFERROR(__xludf.DUMMYFUNCTION("""COMPUTED_VALUE"""),0.02762527396705919)</f>
        <v>0.02762527397</v>
      </c>
      <c r="P121" s="7">
        <f>IFERROR(__xludf.DUMMYFUNCTION("""COMPUTED_VALUE"""),0.08702232414)</f>
        <v>0.08702232414</v>
      </c>
      <c r="Q121" s="7">
        <f>IFERROR(__xludf.DUMMYFUNCTION("""COMPUTED_VALUE"""),0.730878187)</f>
        <v>0.730878187</v>
      </c>
    </row>
    <row r="122">
      <c r="A122" s="10" t="s">
        <v>24</v>
      </c>
      <c r="B122" s="10">
        <v>0.6462886285</v>
      </c>
      <c r="C122" s="10">
        <v>0.6146344583</v>
      </c>
      <c r="D122" s="10">
        <v>0.6021646337</v>
      </c>
      <c r="E122" s="10">
        <v>0.2603635433</v>
      </c>
      <c r="F122" s="10">
        <v>0.1967354639</v>
      </c>
      <c r="G122" s="10">
        <v>0.386340746</v>
      </c>
      <c r="H122" s="10">
        <v>0.3316653611</v>
      </c>
      <c r="I122" s="10">
        <v>0.2974532781</v>
      </c>
      <c r="J122" s="10">
        <v>0.7786606129</v>
      </c>
      <c r="K122" s="10">
        <v>0.6133555019</v>
      </c>
      <c r="L122" s="10">
        <v>0.6181515883</v>
      </c>
      <c r="M122" s="10">
        <v>0.7498840946</v>
      </c>
      <c r="O122" s="7">
        <f>IFERROR(__xludf.DUMMYFUNCTION("""COMPUTED_VALUE"""),0.0153042410183323)</f>
        <v>0.01530424102</v>
      </c>
      <c r="P122" s="7">
        <f>IFERROR(__xludf.DUMMYFUNCTION("""COMPUTED_VALUE"""),0.3725015175)</f>
        <v>0.3725015175</v>
      </c>
      <c r="Q122" s="7">
        <f>IFERROR(__xludf.DUMMYFUNCTION("""COMPUTED_VALUE"""),0.716713881)</f>
        <v>0.716713881</v>
      </c>
    </row>
    <row r="123">
      <c r="A123" s="10" t="s">
        <v>25</v>
      </c>
      <c r="B123" s="10">
        <v>0.1810682483</v>
      </c>
      <c r="C123" s="10">
        <v>0.2056881585</v>
      </c>
      <c r="D123" s="10">
        <v>4.156608208E-4</v>
      </c>
      <c r="E123" s="10">
        <v>0.0</v>
      </c>
      <c r="F123" s="10">
        <v>0.0</v>
      </c>
      <c r="G123" s="10">
        <v>0.0</v>
      </c>
      <c r="H123" s="10">
        <v>0.0</v>
      </c>
      <c r="I123" s="10">
        <v>0.05253313296</v>
      </c>
      <c r="J123" s="10">
        <v>0.05029495931</v>
      </c>
      <c r="K123" s="10">
        <v>0.1084874742</v>
      </c>
      <c r="L123" s="10">
        <v>0.1497338172</v>
      </c>
      <c r="M123" s="10">
        <v>0.1721155537</v>
      </c>
      <c r="O123" s="7">
        <f>IFERROR(__xludf.DUMMYFUNCTION("""COMPUTED_VALUE"""),0.01792811942273114)</f>
        <v>0.01792811942</v>
      </c>
      <c r="P123" s="7">
        <f>IFERROR(__xludf.DUMMYFUNCTION("""COMPUTED_VALUE"""),0.322970257)</f>
        <v>0.322970257</v>
      </c>
      <c r="Q123" s="7">
        <f>IFERROR(__xludf.DUMMYFUNCTION("""COMPUTED_VALUE"""),0.7138810198)</f>
        <v>0.7138810198</v>
      </c>
    </row>
    <row r="124">
      <c r="A124" s="10" t="s">
        <v>26</v>
      </c>
      <c r="B124" s="10">
        <v>0.02215791914</v>
      </c>
      <c r="C124" s="10">
        <v>0.0</v>
      </c>
      <c r="D124" s="10">
        <v>0.07907147767</v>
      </c>
      <c r="E124" s="10">
        <v>0.5171140349</v>
      </c>
      <c r="F124" s="10">
        <v>0.1391824271</v>
      </c>
      <c r="G124" s="10">
        <v>0.0</v>
      </c>
      <c r="H124" s="10">
        <v>0.1583667727</v>
      </c>
      <c r="I124" s="10">
        <v>0.4039263961</v>
      </c>
      <c r="J124" s="10">
        <v>0.0</v>
      </c>
      <c r="K124" s="10">
        <v>0.0</v>
      </c>
      <c r="L124" s="10">
        <v>0.0</v>
      </c>
      <c r="M124" s="10">
        <v>0.05732921936</v>
      </c>
      <c r="O124" s="7">
        <f>IFERROR(__xludf.DUMMYFUNCTION("""COMPUTED_VALUE"""),0.0193520305125054)</f>
        <v>0.01935203051</v>
      </c>
      <c r="P124" s="7">
        <f>IFERROR(__xludf.DUMMYFUNCTION("""COMPUTED_VALUE"""),0.2467849194)</f>
        <v>0.2467849194</v>
      </c>
      <c r="Q124" s="7">
        <f>IFERROR(__xludf.DUMMYFUNCTION("""COMPUTED_VALUE"""),0.7195467422)</f>
        <v>0.7195467422</v>
      </c>
    </row>
    <row r="125">
      <c r="A125" s="10" t="s">
        <v>27</v>
      </c>
      <c r="B125" s="10">
        <v>0.589694809</v>
      </c>
      <c r="C125" s="10">
        <v>0.5903342872</v>
      </c>
      <c r="D125" s="10">
        <v>0.5785039408</v>
      </c>
      <c r="E125" s="10">
        <v>0.6197502838</v>
      </c>
      <c r="F125" s="10">
        <v>0.6127160237</v>
      </c>
      <c r="G125" s="10">
        <v>0.6395741075</v>
      </c>
      <c r="H125" s="10">
        <v>0.6673914086</v>
      </c>
      <c r="I125" s="10">
        <v>0.6507649758</v>
      </c>
      <c r="J125" s="10">
        <v>0.692970536</v>
      </c>
      <c r="K125" s="10">
        <v>0.6948889706</v>
      </c>
      <c r="L125" s="10">
        <v>0.6562005404</v>
      </c>
      <c r="M125" s="10">
        <v>0.734216879</v>
      </c>
      <c r="O125" s="7">
        <f>IFERROR(__xludf.DUMMYFUNCTION("""COMPUTED_VALUE"""),0.02208928310935887)</f>
        <v>0.02208928311</v>
      </c>
      <c r="P125" s="7">
        <f>IFERROR(__xludf.DUMMYFUNCTION("""COMPUTED_VALUE"""),0.1798799487)</f>
        <v>0.1798799487</v>
      </c>
      <c r="Q125" s="7">
        <f>IFERROR(__xludf.DUMMYFUNCTION("""COMPUTED_VALUE"""),0.7195467422)</f>
        <v>0.7195467422</v>
      </c>
    </row>
    <row r="126">
      <c r="A126" s="10" t="s">
        <v>28</v>
      </c>
      <c r="B126" s="10">
        <v>0.2347844159</v>
      </c>
      <c r="C126" s="10">
        <v>0.1251139071</v>
      </c>
      <c r="D126" s="10">
        <v>0.2715544116</v>
      </c>
      <c r="E126" s="10">
        <v>0.3815446596</v>
      </c>
      <c r="F126" s="10">
        <v>0.3460536202</v>
      </c>
      <c r="G126" s="10">
        <v>0.3169573628</v>
      </c>
      <c r="H126" s="10">
        <v>0.3793064859</v>
      </c>
      <c r="I126" s="10">
        <v>0.3719524868</v>
      </c>
      <c r="J126" s="10">
        <v>0.2916979745</v>
      </c>
      <c r="K126" s="10">
        <v>0.3434957075</v>
      </c>
      <c r="L126" s="10">
        <v>0.3543668367</v>
      </c>
      <c r="M126" s="10">
        <v>0.4985691676</v>
      </c>
      <c r="O126" s="7">
        <f>IFERROR(__xludf.DUMMYFUNCTION("""COMPUTED_VALUE"""),0.046562780079129)</f>
        <v>0.04656278008</v>
      </c>
      <c r="P126" s="7">
        <f>IFERROR(__xludf.DUMMYFUNCTION("""COMPUTED_VALUE"""),0.1334241586)</f>
        <v>0.1334241586</v>
      </c>
      <c r="Q126" s="7">
        <f>IFERROR(__xludf.DUMMYFUNCTION("""COMPUTED_VALUE"""),0.7110481586)</f>
        <v>0.7110481586</v>
      </c>
    </row>
    <row r="127">
      <c r="A127" s="10" t="s">
        <v>29</v>
      </c>
      <c r="B127" s="10">
        <v>0.1548496427</v>
      </c>
      <c r="C127" s="10">
        <v>0.197374942</v>
      </c>
      <c r="D127" s="10">
        <v>0.2363831114</v>
      </c>
      <c r="E127" s="10">
        <v>0.2226343304</v>
      </c>
      <c r="F127" s="10">
        <v>0.1231954725</v>
      </c>
      <c r="G127" s="10">
        <v>0.2056881585</v>
      </c>
      <c r="H127" s="10">
        <v>0.2034499848</v>
      </c>
      <c r="I127" s="10">
        <v>0.1976946811</v>
      </c>
      <c r="J127" s="10">
        <v>0.1471759045</v>
      </c>
      <c r="K127" s="10">
        <v>0.1701971192</v>
      </c>
      <c r="L127" s="10">
        <v>0.1976946811</v>
      </c>
      <c r="M127" s="10">
        <v>0.1935380729</v>
      </c>
      <c r="O127" s="7">
        <f>IFERROR(__xludf.DUMMYFUNCTION("""COMPUTED_VALUE"""),-0.008108648760442807)</f>
        <v>-0.00810864876</v>
      </c>
      <c r="P127" s="7">
        <f>IFERROR(__xludf.DUMMYFUNCTION("""COMPUTED_VALUE"""),0.06716665543)</f>
        <v>0.06716665543</v>
      </c>
      <c r="Q127" s="7">
        <f>IFERROR(__xludf.DUMMYFUNCTION("""COMPUTED_VALUE"""),0.7280453258)</f>
        <v>0.7280453258</v>
      </c>
    </row>
    <row r="128">
      <c r="A128" s="10" t="s">
        <v>30</v>
      </c>
      <c r="B128" s="10">
        <v>0.248852936</v>
      </c>
      <c r="C128" s="10">
        <v>0.3284679701</v>
      </c>
      <c r="D128" s="10">
        <v>0.09889530143</v>
      </c>
      <c r="E128" s="10">
        <v>0.0</v>
      </c>
      <c r="F128" s="10">
        <v>0.0</v>
      </c>
      <c r="G128" s="10">
        <v>0.1036913878</v>
      </c>
      <c r="H128" s="10">
        <v>0.107847996</v>
      </c>
      <c r="I128" s="10">
        <v>0.1411008617</v>
      </c>
      <c r="J128" s="10">
        <v>0.1442982526</v>
      </c>
      <c r="K128" s="10">
        <v>0.07299643491</v>
      </c>
      <c r="L128" s="10">
        <v>0.1596457291</v>
      </c>
      <c r="M128" s="10">
        <v>0.0</v>
      </c>
      <c r="O128" s="7">
        <f>IFERROR(__xludf.DUMMYFUNCTION("""COMPUTED_VALUE"""),0.03191041624302948)</f>
        <v>0.03191041624</v>
      </c>
      <c r="P128" s="7">
        <f>IFERROR(__xludf.DUMMYFUNCTION("""COMPUTED_VALUE"""),0.02389424698)</f>
        <v>0.02389424698</v>
      </c>
      <c r="Q128" s="7">
        <f>IFERROR(__xludf.DUMMYFUNCTION("""COMPUTED_VALUE"""),0.7393767705)</f>
        <v>0.7393767705</v>
      </c>
    </row>
    <row r="129">
      <c r="A129" s="10" t="s">
        <v>31</v>
      </c>
      <c r="B129" s="10">
        <v>0.2331857205</v>
      </c>
      <c r="C129" s="10">
        <v>0.2932966699</v>
      </c>
      <c r="D129" s="10">
        <v>0.2347844159</v>
      </c>
      <c r="E129" s="10">
        <v>0.424389698</v>
      </c>
      <c r="F129" s="10">
        <v>0.3687550958</v>
      </c>
      <c r="G129" s="10">
        <v>0.4119198734</v>
      </c>
      <c r="H129" s="10">
        <v>0.16284312</v>
      </c>
      <c r="I129" s="10">
        <v>0.2082460712</v>
      </c>
      <c r="J129" s="10">
        <v>0.3204744928</v>
      </c>
      <c r="K129" s="10">
        <v>0.293616409</v>
      </c>
      <c r="L129" s="10">
        <v>0.2546082397</v>
      </c>
      <c r="M129" s="10">
        <v>0.3051270164</v>
      </c>
      <c r="O129" s="7">
        <f>IFERROR(__xludf.DUMMYFUNCTION("""COMPUTED_VALUE"""),0.0093822508415074)</f>
        <v>0.009382250842</v>
      </c>
      <c r="P129" s="7">
        <f>IFERROR(__xludf.DUMMYFUNCTION("""COMPUTED_VALUE"""),0.05281446011)</f>
        <v>0.05281446011</v>
      </c>
      <c r="Q129" s="7">
        <f>IFERROR(__xludf.DUMMYFUNCTION("""COMPUTED_VALUE"""),0.7507082153)</f>
        <v>0.7507082153</v>
      </c>
    </row>
    <row r="130">
      <c r="O130" s="7">
        <f>IFERROR(__xludf.DUMMYFUNCTION("""COMPUTED_VALUE"""),0.02130010406904884)</f>
        <v>0.02130010407</v>
      </c>
      <c r="P130" s="7">
        <f>IFERROR(__xludf.DUMMYFUNCTION("""COMPUTED_VALUE"""),0.0741269306)</f>
        <v>0.0741269306</v>
      </c>
      <c r="Q130" s="7">
        <f>IFERROR(__xludf.DUMMYFUNCTION("""COMPUTED_VALUE"""),0.7620396601)</f>
        <v>0.7620396601</v>
      </c>
    </row>
    <row r="131">
      <c r="O131" s="7">
        <f>IFERROR(__xludf.DUMMYFUNCTION("""COMPUTED_VALUE"""),-0.02089589810635638)</f>
        <v>-0.02089589811</v>
      </c>
      <c r="P131" s="7">
        <f>IFERROR(__xludf.DUMMYFUNCTION("""COMPUTED_VALUE"""),0.08259796318)</f>
        <v>0.08259796318</v>
      </c>
      <c r="Q131" s="7">
        <f>IFERROR(__xludf.DUMMYFUNCTION("""COMPUTED_VALUE"""),0.7847025496)</f>
        <v>0.7847025496</v>
      </c>
    </row>
    <row r="132">
      <c r="O132" s="7">
        <f>IFERROR(__xludf.DUMMYFUNCTION("""COMPUTED_VALUE"""),0.02027924544430266)</f>
        <v>0.02027924544</v>
      </c>
      <c r="P132" s="7">
        <f>IFERROR(__xludf.DUMMYFUNCTION("""COMPUTED_VALUE"""),0.1028852769)</f>
        <v>0.1028852769</v>
      </c>
      <c r="Q132" s="7">
        <f>IFERROR(__xludf.DUMMYFUNCTION("""COMPUTED_VALUE"""),0.790368272)</f>
        <v>0.790368272</v>
      </c>
    </row>
    <row r="133">
      <c r="A133" s="9" t="s">
        <v>58</v>
      </c>
      <c r="B133" s="10" t="s">
        <v>59</v>
      </c>
      <c r="C133" s="10" t="s">
        <v>60</v>
      </c>
      <c r="D133" s="10" t="s">
        <v>61</v>
      </c>
      <c r="E133" s="10" t="s">
        <v>62</v>
      </c>
      <c r="F133" s="10" t="s">
        <v>63</v>
      </c>
      <c r="G133" s="10" t="s">
        <v>64</v>
      </c>
      <c r="H133" s="10" t="s">
        <v>65</v>
      </c>
      <c r="I133" s="10" t="s">
        <v>66</v>
      </c>
      <c r="J133" s="10" t="s">
        <v>67</v>
      </c>
      <c r="K133" s="10" t="s">
        <v>68</v>
      </c>
      <c r="L133" s="10" t="s">
        <v>69</v>
      </c>
      <c r="M133" s="10" t="s">
        <v>70</v>
      </c>
      <c r="O133" s="7">
        <f>IFERROR(__xludf.DUMMYFUNCTION("""COMPUTED_VALUE"""),0.02113548976716801)</f>
        <v>0.02113548977</v>
      </c>
      <c r="P133" s="7">
        <f>IFERROR(__xludf.DUMMYFUNCTION("""COMPUTED_VALUE"""),0.5047467458)</f>
        <v>0.5047467458</v>
      </c>
      <c r="Q133" s="7">
        <f>IFERROR(__xludf.DUMMYFUNCTION("""COMPUTED_VALUE"""),0.776203966)</f>
        <v>0.776203966</v>
      </c>
    </row>
    <row r="134">
      <c r="A134" s="10" t="s">
        <v>3</v>
      </c>
      <c r="B134" s="10">
        <v>0.822805652</v>
      </c>
      <c r="C134" s="10">
        <v>0.739582086</v>
      </c>
      <c r="D134" s="10">
        <v>0.8880672973</v>
      </c>
      <c r="E134" s="10">
        <v>0.8114297689</v>
      </c>
      <c r="F134" s="10">
        <v>0.7874805413</v>
      </c>
      <c r="G134" s="10">
        <v>0.9479403664</v>
      </c>
      <c r="H134" s="10">
        <v>0.8772901449</v>
      </c>
      <c r="I134" s="10">
        <v>0.8593282242</v>
      </c>
      <c r="J134" s="10">
        <v>0.8275954975</v>
      </c>
      <c r="K134" s="10">
        <v>0.8407675727</v>
      </c>
      <c r="L134" s="10">
        <v>0.7138366663</v>
      </c>
      <c r="M134" s="10">
        <v>0.8030475392</v>
      </c>
      <c r="O134" s="7">
        <f>IFERROR(__xludf.DUMMYFUNCTION("""COMPUTED_VALUE"""),0.00719158794335268)</f>
        <v>0.007191587943</v>
      </c>
      <c r="P134" s="7">
        <f>IFERROR(__xludf.DUMMYFUNCTION("""COMPUTED_VALUE"""),0.3358116949)</f>
        <v>0.3358116949</v>
      </c>
      <c r="Q134" s="7">
        <f>IFERROR(__xludf.DUMMYFUNCTION("""COMPUTED_VALUE"""),0.9235127479)</f>
        <v>0.9235127479</v>
      </c>
    </row>
    <row r="135">
      <c r="A135" s="10" t="s">
        <v>4</v>
      </c>
      <c r="B135" s="10">
        <v>0.3761525566</v>
      </c>
      <c r="C135" s="10">
        <v>0.1953358879</v>
      </c>
      <c r="D135" s="10">
        <v>0.07678721111</v>
      </c>
      <c r="E135" s="10">
        <v>0.0</v>
      </c>
      <c r="F135" s="10">
        <v>0.0</v>
      </c>
      <c r="G135" s="10">
        <v>0.123488205</v>
      </c>
      <c r="H135" s="10">
        <v>0.1636031613</v>
      </c>
      <c r="I135" s="10">
        <v>0.3031074123</v>
      </c>
      <c r="J135" s="10">
        <v>0.2594000718</v>
      </c>
      <c r="K135" s="10">
        <v>0.303706143</v>
      </c>
      <c r="L135" s="10">
        <v>0.08876182493</v>
      </c>
      <c r="M135" s="10">
        <v>0.2911327985</v>
      </c>
      <c r="O135" s="7">
        <f>IFERROR(__xludf.DUMMYFUNCTION("""COMPUTED_VALUE"""),0.007572687888895466)</f>
        <v>0.007572687889</v>
      </c>
      <c r="P135" s="7">
        <f>IFERROR(__xludf.DUMMYFUNCTION("""COMPUTED_VALUE"""),0.3306859108)</f>
        <v>0.3306859108</v>
      </c>
      <c r="Q135" s="7">
        <f>IFERROR(__xludf.DUMMYFUNCTION("""COMPUTED_VALUE"""),0.9121813031)</f>
        <v>0.9121813031</v>
      </c>
    </row>
    <row r="136">
      <c r="A136" s="10" t="s">
        <v>5</v>
      </c>
      <c r="B136" s="10">
        <v>0.9593162496</v>
      </c>
      <c r="C136" s="10">
        <v>0.944946713</v>
      </c>
      <c r="D136" s="10">
        <v>0.9461441744</v>
      </c>
      <c r="E136" s="10">
        <v>0.9503352892</v>
      </c>
      <c r="F136" s="10">
        <v>0.944946713</v>
      </c>
      <c r="G136" s="10">
        <v>0.9940426296</v>
      </c>
      <c r="H136" s="10">
        <v>0.8922584122</v>
      </c>
      <c r="I136" s="10">
        <v>0.9461441744</v>
      </c>
      <c r="J136" s="10">
        <v>0.9437492516</v>
      </c>
      <c r="K136" s="10">
        <v>0.9497365585</v>
      </c>
      <c r="L136" s="10">
        <v>0.8910609508</v>
      </c>
      <c r="M136" s="10">
        <v>0.9611124416</v>
      </c>
      <c r="O136" s="7">
        <f>IFERROR(__xludf.DUMMYFUNCTION("""COMPUTED_VALUE"""),-0.01967252423843245)</f>
        <v>-0.01967252424</v>
      </c>
      <c r="P136" s="7">
        <f>IFERROR(__xludf.DUMMYFUNCTION("""COMPUTED_VALUE"""),0.2991218723)</f>
        <v>0.2991218723</v>
      </c>
      <c r="Q136" s="7">
        <f>IFERROR(__xludf.DUMMYFUNCTION("""COMPUTED_VALUE"""),0.9461756374)</f>
        <v>0.9461756374</v>
      </c>
    </row>
    <row r="137">
      <c r="A137" s="10" t="s">
        <v>6</v>
      </c>
      <c r="B137" s="10">
        <v>0.8036462699</v>
      </c>
      <c r="C137" s="10">
        <v>0.8084361154</v>
      </c>
      <c r="D137" s="10">
        <v>0.8078373847</v>
      </c>
      <c r="E137" s="10">
        <v>0.6647407496</v>
      </c>
      <c r="F137" s="10">
        <v>0.8114297689</v>
      </c>
      <c r="G137" s="10">
        <v>0.9287809843</v>
      </c>
      <c r="H137" s="10">
        <v>0.7856843492</v>
      </c>
      <c r="I137" s="10">
        <v>0.8275954975</v>
      </c>
      <c r="J137" s="10">
        <v>0.8269967669</v>
      </c>
      <c r="K137" s="10">
        <v>0.9491378278</v>
      </c>
      <c r="L137" s="10">
        <v>0.9491378278</v>
      </c>
      <c r="M137" s="10">
        <v>0.9892527841</v>
      </c>
      <c r="O137" s="7">
        <f>IFERROR(__xludf.DUMMYFUNCTION("""COMPUTED_VALUE"""),0.02912290954560888)</f>
        <v>0.02912290955</v>
      </c>
      <c r="P137" s="7">
        <f>IFERROR(__xludf.DUMMYFUNCTION("""COMPUTED_VALUE"""),0.2714426384)</f>
        <v>0.2714426384</v>
      </c>
      <c r="Q137" s="7">
        <f>IFERROR(__xludf.DUMMYFUNCTION("""COMPUTED_VALUE"""),1.0)</f>
        <v>1</v>
      </c>
    </row>
    <row r="138">
      <c r="A138" s="10" t="s">
        <v>7</v>
      </c>
      <c r="B138" s="10">
        <v>0.724015088</v>
      </c>
      <c r="C138" s="10">
        <v>0.7192252425</v>
      </c>
      <c r="D138" s="10">
        <v>0.6946772842</v>
      </c>
      <c r="E138" s="10">
        <v>0.468357083</v>
      </c>
      <c r="F138" s="10">
        <v>0.5659501856</v>
      </c>
      <c r="G138" s="10">
        <v>0.8222069213</v>
      </c>
      <c r="H138" s="10">
        <v>0.5378098431</v>
      </c>
      <c r="I138" s="10">
        <v>0.7000658604</v>
      </c>
      <c r="J138" s="10">
        <v>0.6677344031</v>
      </c>
      <c r="K138" s="10">
        <v>0.7689198898</v>
      </c>
      <c r="L138" s="10">
        <v>0.8126272303</v>
      </c>
      <c r="M138" s="10">
        <v>0.9437492516</v>
      </c>
      <c r="O138" s="7">
        <f>IFERROR(__xludf.DUMMYFUNCTION("""COMPUTED_VALUE"""),0.07103376109062344)</f>
        <v>0.07103376109</v>
      </c>
      <c r="P138" s="7">
        <f>IFERROR(__xludf.DUMMYFUNCTION("""COMPUTED_VALUE"""),0.2342672152)</f>
        <v>0.2342672152</v>
      </c>
      <c r="Q138" s="7">
        <f>IFERROR(__xludf.DUMMYFUNCTION("""COMPUTED_VALUE"""),0.8470254958)</f>
        <v>0.8470254958</v>
      </c>
    </row>
    <row r="139">
      <c r="A139" s="10" t="s">
        <v>8</v>
      </c>
      <c r="B139" s="10">
        <v>0.4084840139</v>
      </c>
      <c r="C139" s="10">
        <v>0.5282301521</v>
      </c>
      <c r="D139" s="10">
        <v>0.7605376602</v>
      </c>
      <c r="E139" s="10">
        <v>0.8180158065</v>
      </c>
      <c r="F139" s="10">
        <v>0.9030355646</v>
      </c>
      <c r="G139" s="10">
        <v>0.9605137109</v>
      </c>
      <c r="H139" s="10">
        <v>0.9203987546</v>
      </c>
      <c r="I139" s="10">
        <v>0.8096335768</v>
      </c>
      <c r="J139" s="10">
        <v>0.7982576937</v>
      </c>
      <c r="K139" s="10">
        <v>0.8784876063</v>
      </c>
      <c r="L139" s="10">
        <v>0.8707041073</v>
      </c>
      <c r="M139" s="10">
        <v>0.9922464376</v>
      </c>
      <c r="O139" s="7">
        <f>IFERROR(__xludf.DUMMYFUNCTION("""COMPUTED_VALUE"""),-0.008910737746153115)</f>
        <v>-0.008910737746</v>
      </c>
      <c r="P139" s="7">
        <f>IFERROR(__xludf.DUMMYFUNCTION("""COMPUTED_VALUE"""),0.1986025494)</f>
        <v>0.1986025494</v>
      </c>
      <c r="Q139" s="7">
        <f>IFERROR(__xludf.DUMMYFUNCTION("""COMPUTED_VALUE"""),0.8243626062)</f>
        <v>0.8243626062</v>
      </c>
    </row>
    <row r="140">
      <c r="A140" s="10" t="s">
        <v>9</v>
      </c>
      <c r="B140" s="10">
        <v>0.6102562567</v>
      </c>
      <c r="C140" s="10">
        <v>0.6491737516</v>
      </c>
      <c r="D140" s="10">
        <v>0.7880792719</v>
      </c>
      <c r="E140" s="10">
        <v>0.6886899772</v>
      </c>
      <c r="F140" s="10">
        <v>0.7796970423</v>
      </c>
      <c r="G140" s="10">
        <v>0.8814812597</v>
      </c>
      <c r="H140" s="10">
        <v>0.9569213268</v>
      </c>
      <c r="I140" s="10">
        <v>0.9311759071</v>
      </c>
      <c r="J140" s="10">
        <v>0.9443479823</v>
      </c>
      <c r="K140" s="10">
        <v>0.9425517902</v>
      </c>
      <c r="L140" s="10">
        <v>0.8311878817</v>
      </c>
      <c r="M140" s="10">
        <v>0.9425517902</v>
      </c>
      <c r="O140" s="7">
        <f>IFERROR(__xludf.DUMMYFUNCTION("""COMPUTED_VALUE"""),0.02321761728710545)</f>
        <v>0.02321761729</v>
      </c>
      <c r="P140" s="7">
        <f>IFERROR(__xludf.DUMMYFUNCTION("""COMPUTED_VALUE"""),0.179556215)</f>
        <v>0.179556215</v>
      </c>
      <c r="Q140" s="7">
        <f>IFERROR(__xludf.DUMMYFUNCTION("""COMPUTED_VALUE"""),0.7620396601)</f>
        <v>0.7620396601</v>
      </c>
    </row>
    <row r="141">
      <c r="A141" s="10" t="s">
        <v>10</v>
      </c>
      <c r="B141" s="10">
        <v>0.6970722069</v>
      </c>
      <c r="C141" s="10">
        <v>0.7006645911</v>
      </c>
      <c r="D141" s="10">
        <v>0.7982576937</v>
      </c>
      <c r="E141" s="10">
        <v>0.7629325829</v>
      </c>
      <c r="F141" s="10">
        <v>0.8012513471</v>
      </c>
      <c r="G141" s="10">
        <v>0.9299784457</v>
      </c>
      <c r="H141" s="10">
        <v>0.8551371093</v>
      </c>
      <c r="I141" s="10">
        <v>0.8467548797</v>
      </c>
      <c r="J141" s="10">
        <v>0.8419650341</v>
      </c>
      <c r="K141" s="10">
        <v>0.8174170758</v>
      </c>
      <c r="L141" s="10">
        <v>0.7479643157</v>
      </c>
      <c r="M141" s="10">
        <v>0.747365585</v>
      </c>
      <c r="O141" s="7">
        <f>IFERROR(__xludf.DUMMYFUNCTION("""COMPUTED_VALUE"""),0.01032516785701669)</f>
        <v>0.01032516786</v>
      </c>
      <c r="P141" s="7">
        <f>IFERROR(__xludf.DUMMYFUNCTION("""COMPUTED_VALUE"""),0.3717461388)</f>
        <v>0.3717461388</v>
      </c>
      <c r="Q141" s="7">
        <f>IFERROR(__xludf.DUMMYFUNCTION("""COMPUTED_VALUE"""),0.5609065156)</f>
        <v>0.5609065156</v>
      </c>
    </row>
    <row r="142">
      <c r="A142" s="10" t="s">
        <v>11</v>
      </c>
      <c r="B142" s="10">
        <v>0.9012393725</v>
      </c>
      <c r="C142" s="10">
        <v>0.9186025626</v>
      </c>
      <c r="D142" s="10">
        <v>0.8760926835</v>
      </c>
      <c r="E142" s="10">
        <v>0.8647168004</v>
      </c>
      <c r="F142" s="10">
        <v>0.8263980362</v>
      </c>
      <c r="G142" s="10">
        <v>0.9030355646</v>
      </c>
      <c r="H142" s="10">
        <v>0.815022153</v>
      </c>
      <c r="I142" s="10">
        <v>0.7916716561</v>
      </c>
      <c r="J142" s="10">
        <v>0.8210094599</v>
      </c>
      <c r="K142" s="10">
        <v>0.8449586876</v>
      </c>
      <c r="L142" s="10">
        <v>0.8210094599</v>
      </c>
      <c r="M142" s="10">
        <v>0.8210094599</v>
      </c>
      <c r="O142" s="7">
        <f>IFERROR(__xludf.DUMMYFUNCTION("""COMPUTED_VALUE"""),-0.01195093387542355)</f>
        <v>-0.01195093388</v>
      </c>
      <c r="P142" s="7">
        <f>IFERROR(__xludf.DUMMYFUNCTION("""COMPUTED_VALUE"""),0.3273406623)</f>
        <v>0.3273406623</v>
      </c>
      <c r="Q142" s="7">
        <f>IFERROR(__xludf.DUMMYFUNCTION("""COMPUTED_VALUE"""),0.4815864023)</f>
        <v>0.4815864023</v>
      </c>
    </row>
    <row r="143">
      <c r="A143" s="10" t="s">
        <v>12</v>
      </c>
      <c r="B143" s="10">
        <v>0.4246497425</v>
      </c>
      <c r="C143" s="10">
        <v>0.445006586</v>
      </c>
      <c r="D143" s="10">
        <v>0.3528020596</v>
      </c>
      <c r="E143" s="10">
        <v>0.4809304275</v>
      </c>
      <c r="F143" s="10">
        <v>0.3510058676</v>
      </c>
      <c r="G143" s="10">
        <v>0.0</v>
      </c>
      <c r="H143" s="10">
        <v>0.0</v>
      </c>
      <c r="I143" s="10">
        <v>0.0</v>
      </c>
      <c r="J143" s="10">
        <v>0.0</v>
      </c>
      <c r="K143" s="10">
        <v>0.0</v>
      </c>
      <c r="L143" s="10">
        <v>0.0</v>
      </c>
      <c r="M143" s="10">
        <v>0.0</v>
      </c>
      <c r="O143" s="7">
        <f>IFERROR(__xludf.DUMMYFUNCTION("""COMPUTED_VALUE"""),0.01047737275994658)</f>
        <v>0.01047737276</v>
      </c>
      <c r="P143" s="7">
        <f>IFERROR(__xludf.DUMMYFUNCTION("""COMPUTED_VALUE"""),0.3071073042)</f>
        <v>0.3071073042</v>
      </c>
      <c r="Q143" s="7">
        <f>IFERROR(__xludf.DUMMYFUNCTION("""COMPUTED_VALUE"""),0.4589235127)</f>
        <v>0.4589235127</v>
      </c>
    </row>
    <row r="144">
      <c r="A144" s="10" t="s">
        <v>13</v>
      </c>
      <c r="B144" s="10">
        <v>0.8826787211</v>
      </c>
      <c r="C144" s="10">
        <v>0.8862711053</v>
      </c>
      <c r="D144" s="10">
        <v>0.8946533349</v>
      </c>
      <c r="E144" s="10">
        <v>0.8982457191</v>
      </c>
      <c r="F144" s="10">
        <v>0.9126152557</v>
      </c>
      <c r="G144" s="10">
        <v>0.9635073644</v>
      </c>
      <c r="H144" s="10">
        <v>0.9299784457</v>
      </c>
      <c r="I144" s="10">
        <v>0.9688959406</v>
      </c>
      <c r="J144" s="10">
        <v>0.9730870554</v>
      </c>
      <c r="K144" s="10">
        <v>0.977876901</v>
      </c>
      <c r="L144" s="10">
        <v>0.9389594061</v>
      </c>
      <c r="M144" s="10">
        <v>0.9557238654</v>
      </c>
      <c r="O144" s="7">
        <f>IFERROR(__xludf.DUMMYFUNCTION("""COMPUTED_VALUE"""),0.02741054002847866)</f>
        <v>0.02741054003</v>
      </c>
      <c r="P144" s="7">
        <f>IFERROR(__xludf.DUMMYFUNCTION("""COMPUTED_VALUE"""),0.5727847845)</f>
        <v>0.5727847845</v>
      </c>
      <c r="Q144" s="7">
        <f>IFERROR(__xludf.DUMMYFUNCTION("""COMPUTED_VALUE"""),0.7025495751)</f>
        <v>0.7025495751</v>
      </c>
    </row>
    <row r="145">
      <c r="A145" s="10" t="s">
        <v>14</v>
      </c>
      <c r="B145" s="10">
        <v>0.6611483655</v>
      </c>
      <c r="C145" s="10">
        <v>0.6461800982</v>
      </c>
      <c r="D145" s="10">
        <v>0.5994791043</v>
      </c>
      <c r="E145" s="10">
        <v>0.4324332415</v>
      </c>
      <c r="F145" s="10">
        <v>0.6126511795</v>
      </c>
      <c r="G145" s="10">
        <v>0.8198119986</v>
      </c>
      <c r="H145" s="10">
        <v>0.7713148126</v>
      </c>
      <c r="I145" s="10">
        <v>0.8407675727</v>
      </c>
      <c r="J145" s="10">
        <v>0.8653155311</v>
      </c>
      <c r="K145" s="10">
        <v>0.7982576937</v>
      </c>
      <c r="L145" s="10">
        <v>0.7689198898</v>
      </c>
      <c r="M145" s="10">
        <v>0.8162196144</v>
      </c>
      <c r="O145" s="7">
        <f>IFERROR(__xludf.DUMMYFUNCTION("""COMPUTED_VALUE"""),0.01512799559273381)</f>
        <v>0.01512799559</v>
      </c>
      <c r="P145" s="7">
        <f>IFERROR(__xludf.DUMMYFUNCTION("""COMPUTED_VALUE"""),0.9948796115)</f>
        <v>0.9948796115</v>
      </c>
      <c r="Q145" s="7">
        <f>IFERROR(__xludf.DUMMYFUNCTION("""COMPUTED_VALUE"""),0.552407932)</f>
        <v>0.552407932</v>
      </c>
    </row>
    <row r="146">
      <c r="A146" s="10" t="s">
        <v>15</v>
      </c>
      <c r="B146" s="10">
        <v>0.6300143695</v>
      </c>
      <c r="C146" s="10">
        <v>0.6383965992</v>
      </c>
      <c r="D146" s="10">
        <v>0.6557597892</v>
      </c>
      <c r="E146" s="10">
        <v>0.7719135433</v>
      </c>
      <c r="F146" s="10">
        <v>0.8012513471</v>
      </c>
      <c r="G146" s="10">
        <v>0.8742964914</v>
      </c>
      <c r="H146" s="10">
        <v>0.7000658604</v>
      </c>
      <c r="I146" s="10">
        <v>0.7120404742</v>
      </c>
      <c r="J146" s="10">
        <v>0.6288169082</v>
      </c>
      <c r="K146" s="10">
        <v>0.6976709376</v>
      </c>
      <c r="L146" s="10">
        <v>0.574931146</v>
      </c>
      <c r="M146" s="10">
        <v>0.4480002395</v>
      </c>
      <c r="O146" s="7">
        <f>IFERROR(__xludf.DUMMYFUNCTION("""COMPUTED_VALUE"""),8.001684323279372E-4)</f>
        <v>0.0008001684323</v>
      </c>
      <c r="P146" s="7">
        <f>IFERROR(__xludf.DUMMYFUNCTION("""COMPUTED_VALUE"""),0.1383880758)</f>
        <v>0.1383880758</v>
      </c>
      <c r="Q146" s="7">
        <f>IFERROR(__xludf.DUMMYFUNCTION("""COMPUTED_VALUE"""),0.6997167139)</f>
        <v>0.6997167139</v>
      </c>
    </row>
    <row r="147">
      <c r="A147" s="10" t="s">
        <v>16</v>
      </c>
      <c r="B147" s="10">
        <v>0.904233026</v>
      </c>
      <c r="C147" s="10">
        <v>0.9048317567</v>
      </c>
      <c r="D147" s="10">
        <v>0.8838761825</v>
      </c>
      <c r="E147" s="10">
        <v>0.8527421866</v>
      </c>
      <c r="F147" s="10">
        <v>0.8216081906</v>
      </c>
      <c r="G147" s="10">
        <v>0.8455574183</v>
      </c>
      <c r="H147" s="10">
        <v>0.8042450006</v>
      </c>
      <c r="I147" s="10">
        <v>0.8311878817</v>
      </c>
      <c r="J147" s="10">
        <v>0.8186145372</v>
      </c>
      <c r="K147" s="10">
        <v>0.8443599569</v>
      </c>
      <c r="L147" s="10">
        <v>0.7940665789</v>
      </c>
      <c r="M147" s="10">
        <v>0.8802837983</v>
      </c>
      <c r="O147" s="7">
        <f>IFERROR(__xludf.DUMMYFUNCTION("""COMPUTED_VALUE"""),0.01218268032457777)</f>
        <v>0.01218268032</v>
      </c>
      <c r="P147" s="7">
        <f>IFERROR(__xludf.DUMMYFUNCTION("""COMPUTED_VALUE"""),0.07704053416)</f>
        <v>0.07704053416</v>
      </c>
      <c r="Q147" s="7">
        <f>IFERROR(__xludf.DUMMYFUNCTION("""COMPUTED_VALUE"""),0.716713881)</f>
        <v>0.716713881</v>
      </c>
    </row>
    <row r="148">
      <c r="A148" s="10" t="s">
        <v>17</v>
      </c>
      <c r="B148" s="10">
        <v>0.7737097354</v>
      </c>
      <c r="C148" s="10">
        <v>0.70844809</v>
      </c>
      <c r="D148" s="10">
        <v>0.8641180697</v>
      </c>
      <c r="E148" s="10">
        <v>0.8880672973</v>
      </c>
      <c r="F148" s="10">
        <v>0.9108190636</v>
      </c>
      <c r="G148" s="10">
        <v>0.9665010178</v>
      </c>
      <c r="H148" s="10">
        <v>0.8814812597</v>
      </c>
      <c r="I148" s="10">
        <v>0.8701053766</v>
      </c>
      <c r="J148" s="10">
        <v>0.8922584122</v>
      </c>
      <c r="K148" s="10">
        <v>0.9150101784</v>
      </c>
      <c r="L148" s="10">
        <v>0.8341815351</v>
      </c>
      <c r="M148" s="10">
        <v>0.880882529</v>
      </c>
      <c r="O148" s="7">
        <f>IFERROR(__xludf.DUMMYFUNCTION("""COMPUTED_VALUE"""),0.04090390336435757)</f>
        <v>0.04090390336</v>
      </c>
      <c r="P148" s="7">
        <f>IFERROR(__xludf.DUMMYFUNCTION("""COMPUTED_VALUE"""),0.07207661698)</f>
        <v>0.07207661698</v>
      </c>
      <c r="Q148" s="7">
        <f>IFERROR(__xludf.DUMMYFUNCTION("""COMPUTED_VALUE"""),0.7478753541)</f>
        <v>0.7478753541</v>
      </c>
    </row>
    <row r="149">
      <c r="A149" s="10" t="s">
        <v>18</v>
      </c>
      <c r="B149" s="10">
        <v>0.8371751886</v>
      </c>
      <c r="C149" s="10">
        <v>0.8742964914</v>
      </c>
      <c r="D149" s="10">
        <v>0.9311759071</v>
      </c>
      <c r="E149" s="10">
        <v>0.954526404</v>
      </c>
      <c r="F149" s="10">
        <v>0.9413543288</v>
      </c>
      <c r="G149" s="10">
        <v>1.0</v>
      </c>
      <c r="H149" s="10">
        <v>0.9587175189</v>
      </c>
      <c r="I149" s="10">
        <v>0.937163214</v>
      </c>
      <c r="J149" s="10">
        <v>0.9281822536</v>
      </c>
      <c r="K149" s="10">
        <v>0.9203987546</v>
      </c>
      <c r="L149" s="10">
        <v>0.9054304874</v>
      </c>
      <c r="M149" s="10">
        <v>0.9192012933</v>
      </c>
      <c r="O149" s="7">
        <f>IFERROR(__xludf.DUMMYFUNCTION("""COMPUTED_VALUE"""),0.01698634203707507)</f>
        <v>0.01698634204</v>
      </c>
      <c r="P149" s="7">
        <f>IFERROR(__xludf.DUMMYFUNCTION("""COMPUTED_VALUE"""),0.05540432994)</f>
        <v>0.05540432994</v>
      </c>
      <c r="Q149" s="7">
        <f>IFERROR(__xludf.DUMMYFUNCTION("""COMPUTED_VALUE"""),0.7705382436)</f>
        <v>0.7705382436</v>
      </c>
    </row>
    <row r="150">
      <c r="A150" s="10" t="s">
        <v>19</v>
      </c>
      <c r="B150" s="10">
        <v>0.8431624955</v>
      </c>
      <c r="C150" s="10">
        <v>0.7910729254</v>
      </c>
      <c r="D150" s="10">
        <v>0.8257993055</v>
      </c>
      <c r="E150" s="10">
        <v>0.8210094599</v>
      </c>
      <c r="F150" s="10">
        <v>0.8317866124</v>
      </c>
      <c r="G150" s="10">
        <v>0.9114177943</v>
      </c>
      <c r="H150" s="10">
        <v>0.8120284996</v>
      </c>
      <c r="I150" s="10">
        <v>0.6916836307</v>
      </c>
      <c r="J150" s="10">
        <v>0.7743084661</v>
      </c>
      <c r="K150" s="10">
        <v>0.8485510717</v>
      </c>
      <c r="L150" s="10">
        <v>0.7934678482</v>
      </c>
      <c r="M150" s="10">
        <v>0.9024368339</v>
      </c>
      <c r="O150" s="7">
        <f>IFERROR(__xludf.DUMMYFUNCTION("""COMPUTED_VALUE"""),0.02369426582982881)</f>
        <v>0.02369426583</v>
      </c>
      <c r="P150" s="7">
        <f>IFERROR(__xludf.DUMMYFUNCTION("""COMPUTED_VALUE"""),0.04639374115)</f>
        <v>0.04639374115</v>
      </c>
      <c r="Q150" s="7">
        <f>IFERROR(__xludf.DUMMYFUNCTION("""COMPUTED_VALUE"""),0.6402266289)</f>
        <v>0.6402266289</v>
      </c>
    </row>
    <row r="151">
      <c r="A151" s="10" t="s">
        <v>20</v>
      </c>
      <c r="B151" s="10">
        <v>0.9557238654</v>
      </c>
      <c r="C151" s="10">
        <v>0.946742905</v>
      </c>
      <c r="D151" s="10">
        <v>0.9988324752</v>
      </c>
      <c r="E151" s="10">
        <v>1.0</v>
      </c>
      <c r="F151" s="10">
        <v>1.0</v>
      </c>
      <c r="G151" s="10">
        <v>1.0</v>
      </c>
      <c r="H151" s="10">
        <v>0.9964375524</v>
      </c>
      <c r="I151" s="10">
        <v>0.987456592</v>
      </c>
      <c r="J151" s="10">
        <v>0.9844629386</v>
      </c>
      <c r="K151" s="10">
        <v>0.9988324752</v>
      </c>
      <c r="L151" s="10">
        <v>0.979673093</v>
      </c>
      <c r="M151" s="10">
        <v>1.0</v>
      </c>
      <c r="O151" s="7">
        <f>IFERROR(__xludf.DUMMYFUNCTION("""COMPUTED_VALUE"""),-0.03640857048838255)</f>
        <v>-0.03640857049</v>
      </c>
      <c r="P151" s="7">
        <f>IFERROR(__xludf.DUMMYFUNCTION("""COMPUTED_VALUE"""),0.05583597491)</f>
        <v>0.05583597491</v>
      </c>
      <c r="Q151" s="7">
        <f>IFERROR(__xludf.DUMMYFUNCTION("""COMPUTED_VALUE"""),0.3966005666)</f>
        <v>0.3966005666</v>
      </c>
    </row>
    <row r="152">
      <c r="A152" s="10" t="s">
        <v>21</v>
      </c>
      <c r="B152" s="10">
        <v>0.8934558735</v>
      </c>
      <c r="C152" s="10">
        <v>0.8910609508</v>
      </c>
      <c r="D152" s="10">
        <v>0.954526404</v>
      </c>
      <c r="E152" s="10">
        <v>0.9497365585</v>
      </c>
      <c r="F152" s="10">
        <v>0.9718895941</v>
      </c>
      <c r="G152" s="10">
        <v>0.9910489762</v>
      </c>
      <c r="H152" s="10">
        <v>0.9635073644</v>
      </c>
      <c r="I152" s="10">
        <v>0.9569213268</v>
      </c>
      <c r="J152" s="10">
        <v>0.9443479823</v>
      </c>
      <c r="K152" s="10">
        <v>0.9688959406</v>
      </c>
      <c r="L152" s="10">
        <v>0.9497365585</v>
      </c>
      <c r="M152" s="10">
        <v>0.9736857861</v>
      </c>
      <c r="O152" s="7">
        <f>IFERROR(__xludf.DUMMYFUNCTION("""COMPUTED_VALUE"""),0.01312539665160893)</f>
        <v>0.01312539665</v>
      </c>
      <c r="P152" s="7">
        <f>IFERROR(__xludf.DUMMYFUNCTION("""COMPUTED_VALUE"""),0.04391178256)</f>
        <v>0.04391178256</v>
      </c>
      <c r="Q152" s="7">
        <f>IFERROR(__xludf.DUMMYFUNCTION("""COMPUTED_VALUE"""),0.6685552408)</f>
        <v>0.6685552408</v>
      </c>
    </row>
    <row r="153">
      <c r="A153" s="10" t="s">
        <v>22</v>
      </c>
      <c r="B153" s="10">
        <v>0.9455454437</v>
      </c>
      <c r="C153" s="10">
        <v>0.9162076398</v>
      </c>
      <c r="D153" s="10">
        <v>0.9365644833</v>
      </c>
      <c r="E153" s="10">
        <v>0.9311759071</v>
      </c>
      <c r="F153" s="10">
        <v>0.9581187882</v>
      </c>
      <c r="G153" s="10">
        <v>0.9742845168</v>
      </c>
      <c r="H153" s="10">
        <v>0.9431505209</v>
      </c>
      <c r="I153" s="10">
        <v>0.9617111723</v>
      </c>
      <c r="J153" s="10">
        <v>0.9790743624</v>
      </c>
      <c r="K153" s="10">
        <v>0.9880553227</v>
      </c>
      <c r="L153" s="10">
        <v>1.0</v>
      </c>
      <c r="M153" s="10">
        <v>0.9856604</v>
      </c>
      <c r="O153" s="7">
        <f>IFERROR(__xludf.DUMMYFUNCTION("""COMPUTED_VALUE"""),-0.0128790228732916)</f>
        <v>-0.01287902287</v>
      </c>
      <c r="P153" s="7">
        <f>IFERROR(__xludf.DUMMYFUNCTION("""COMPUTED_VALUE"""),0.03830039792)</f>
        <v>0.03830039792</v>
      </c>
      <c r="Q153" s="7">
        <f>IFERROR(__xludf.DUMMYFUNCTION("""COMPUTED_VALUE"""),0.7592067989)</f>
        <v>0.7592067989</v>
      </c>
    </row>
    <row r="154">
      <c r="A154" s="10" t="s">
        <v>23</v>
      </c>
      <c r="B154" s="10">
        <v>0.9784756317</v>
      </c>
      <c r="C154" s="10">
        <v>0.9647048258</v>
      </c>
      <c r="D154" s="10">
        <v>0.9838642079</v>
      </c>
      <c r="E154" s="10">
        <v>0.9748832475</v>
      </c>
      <c r="F154" s="10">
        <v>0.9910489762</v>
      </c>
      <c r="G154" s="10">
        <v>1.0</v>
      </c>
      <c r="H154" s="10">
        <v>0.995240091</v>
      </c>
      <c r="I154" s="10">
        <v>1.0</v>
      </c>
      <c r="J154" s="10">
        <v>0.9916477069</v>
      </c>
      <c r="K154" s="10">
        <v>1.0</v>
      </c>
      <c r="L154" s="10">
        <v>0.9940426296</v>
      </c>
      <c r="M154" s="10">
        <v>1.0</v>
      </c>
      <c r="O154" s="7">
        <f>IFERROR(__xludf.DUMMYFUNCTION("""COMPUTED_VALUE"""),0.02350127338555945)</f>
        <v>0.02350127339</v>
      </c>
      <c r="P154" s="7">
        <f>IFERROR(__xludf.DUMMYFUNCTION("""COMPUTED_VALUE"""),0.03425372631)</f>
        <v>0.03425372631</v>
      </c>
      <c r="Q154" s="7">
        <f>IFERROR(__xludf.DUMMYFUNCTION("""COMPUTED_VALUE"""),0.5212464589)</f>
        <v>0.5212464589</v>
      </c>
    </row>
    <row r="155">
      <c r="A155" s="10" t="s">
        <v>24</v>
      </c>
      <c r="B155" s="10">
        <v>0.7228176266</v>
      </c>
      <c r="C155" s="10">
        <v>0.7024607831</v>
      </c>
      <c r="D155" s="10">
        <v>0.8162196144</v>
      </c>
      <c r="E155" s="10">
        <v>0.7946653095</v>
      </c>
      <c r="F155" s="10">
        <v>0.8832774518</v>
      </c>
      <c r="G155" s="10">
        <v>0.9563225961</v>
      </c>
      <c r="H155" s="10">
        <v>0.9018381032</v>
      </c>
      <c r="I155" s="10">
        <v>0.8814812597</v>
      </c>
      <c r="J155" s="10">
        <v>0.7988564244</v>
      </c>
      <c r="K155" s="10">
        <v>0.7102442821</v>
      </c>
      <c r="L155" s="10">
        <v>0.5725362232</v>
      </c>
      <c r="M155" s="10">
        <v>0.6844988624</v>
      </c>
      <c r="O155" s="7">
        <f>IFERROR(__xludf.DUMMYFUNCTION("""COMPUTED_VALUE"""),0.002820345822834581)</f>
        <v>0.002820345823</v>
      </c>
      <c r="P155" s="7">
        <f>IFERROR(__xludf.DUMMYFUNCTION("""COMPUTED_VALUE"""),0.03026101032)</f>
        <v>0.03026101032</v>
      </c>
      <c r="Q155" s="7">
        <f>IFERROR(__xludf.DUMMYFUNCTION("""COMPUTED_VALUE"""),0.5099150142)</f>
        <v>0.5099150142</v>
      </c>
    </row>
    <row r="156">
      <c r="A156" s="10" t="s">
        <v>25</v>
      </c>
      <c r="B156" s="10">
        <v>0.9401568674</v>
      </c>
      <c r="C156" s="10">
        <v>0.8000538858</v>
      </c>
      <c r="D156" s="10">
        <v>0.85573584</v>
      </c>
      <c r="E156" s="10">
        <v>0.8449586876</v>
      </c>
      <c r="F156" s="10">
        <v>0.9431505209</v>
      </c>
      <c r="G156" s="10">
        <v>1.0</v>
      </c>
      <c r="H156" s="10">
        <v>1.0</v>
      </c>
      <c r="I156" s="10">
        <v>0.9982337445</v>
      </c>
      <c r="J156" s="10">
        <v>0.9048317567</v>
      </c>
      <c r="K156" s="10">
        <v>0.9688959406</v>
      </c>
      <c r="L156" s="10">
        <v>0.8796850677</v>
      </c>
      <c r="M156" s="10">
        <v>0.9509340199</v>
      </c>
      <c r="O156" s="7">
        <f>IFERROR(__xludf.DUMMYFUNCTION("""COMPUTED_VALUE"""),0.002857170549436008)</f>
        <v>0.002857170549</v>
      </c>
      <c r="P156" s="7">
        <f>IFERROR(__xludf.DUMMYFUNCTION("""COMPUTED_VALUE"""),0.05340797194)</f>
        <v>0.05340797194</v>
      </c>
      <c r="Q156" s="7">
        <f>IFERROR(__xludf.DUMMYFUNCTION("""COMPUTED_VALUE"""),0.9716713881)</f>
        <v>0.9716713881</v>
      </c>
    </row>
    <row r="157">
      <c r="A157" s="10" t="s">
        <v>26</v>
      </c>
      <c r="B157" s="10">
        <v>0.9419530595</v>
      </c>
      <c r="C157" s="10">
        <v>0.9419530595</v>
      </c>
      <c r="D157" s="10">
        <v>0.9940426296</v>
      </c>
      <c r="E157" s="10">
        <v>0.9850616693</v>
      </c>
      <c r="F157" s="10">
        <v>0.9892527841</v>
      </c>
      <c r="G157" s="10">
        <v>1.0</v>
      </c>
      <c r="H157" s="10">
        <v>1.0</v>
      </c>
      <c r="I157" s="10">
        <v>1.0</v>
      </c>
      <c r="J157" s="10">
        <v>0.9892527841</v>
      </c>
      <c r="K157" s="10">
        <v>1.0</v>
      </c>
      <c r="L157" s="10">
        <v>1.0</v>
      </c>
      <c r="M157" s="10">
        <v>1.0</v>
      </c>
      <c r="O157" s="7">
        <f>IFERROR(__xludf.DUMMYFUNCTION("""COMPUTED_VALUE"""),0.01398898424680832)</f>
        <v>0.01398898425</v>
      </c>
      <c r="P157" s="7">
        <f>IFERROR(__xludf.DUMMYFUNCTION("""COMPUTED_VALUE"""),0.04849801039)</f>
        <v>0.04849801039</v>
      </c>
      <c r="Q157" s="7">
        <f>IFERROR(__xludf.DUMMYFUNCTION("""COMPUTED_VALUE"""),0.9716713881)</f>
        <v>0.9716713881</v>
      </c>
    </row>
    <row r="158">
      <c r="A158" s="10" t="s">
        <v>27</v>
      </c>
      <c r="B158" s="10">
        <v>0.2438330739</v>
      </c>
      <c r="C158" s="10">
        <v>0.1378577416</v>
      </c>
      <c r="D158" s="10">
        <v>0.2911327985</v>
      </c>
      <c r="E158" s="10">
        <v>0.1492336247</v>
      </c>
      <c r="F158" s="10">
        <v>0.2540114956</v>
      </c>
      <c r="G158" s="10">
        <v>0.5815171836</v>
      </c>
      <c r="H158" s="10">
        <v>0.5659501856</v>
      </c>
      <c r="I158" s="10">
        <v>0.6856963238</v>
      </c>
      <c r="J158" s="10">
        <v>0.7353909711</v>
      </c>
      <c r="K158" s="10">
        <v>0.6509699437</v>
      </c>
      <c r="L158" s="10">
        <v>0.4785355047</v>
      </c>
      <c r="M158" s="10">
        <v>0.5611603401</v>
      </c>
      <c r="O158" s="7">
        <f>IFERROR(__xludf.DUMMYFUNCTION("""COMPUTED_VALUE"""),0.01771402324312585)</f>
        <v>0.01771402324</v>
      </c>
      <c r="P158" s="7">
        <f>IFERROR(__xludf.DUMMYFUNCTION("""COMPUTED_VALUE"""),0.5891333378)</f>
        <v>0.5891333378</v>
      </c>
      <c r="Q158" s="7">
        <f>IFERROR(__xludf.DUMMYFUNCTION("""COMPUTED_VALUE"""),0.8461756374)</f>
        <v>0.8461756374</v>
      </c>
    </row>
    <row r="159">
      <c r="A159" s="10" t="s">
        <v>28</v>
      </c>
      <c r="B159" s="10">
        <v>0.7934678482</v>
      </c>
      <c r="C159" s="10">
        <v>0.8204107293</v>
      </c>
      <c r="D159" s="10">
        <v>0.8605256855</v>
      </c>
      <c r="E159" s="10">
        <v>0.7755059274</v>
      </c>
      <c r="F159" s="10">
        <v>0.8599269549</v>
      </c>
      <c r="G159" s="10">
        <v>0.9329720991</v>
      </c>
      <c r="H159" s="10">
        <v>0.8647168004</v>
      </c>
      <c r="I159" s="10">
        <v>0.8892647587</v>
      </c>
      <c r="J159" s="10">
        <v>0.921596216</v>
      </c>
      <c r="K159" s="10">
        <v>0.8982457191</v>
      </c>
      <c r="L159" s="10">
        <v>0.772512274</v>
      </c>
      <c r="M159" s="10">
        <v>0.7952640402</v>
      </c>
      <c r="O159" s="7">
        <f>IFERROR(__xludf.DUMMYFUNCTION("""COMPUTED_VALUE"""),0.006506558817513064)</f>
        <v>0.006506558818</v>
      </c>
      <c r="P159" s="7">
        <f>IFERROR(__xludf.DUMMYFUNCTION("""COMPUTED_VALUE"""),0.4820853848)</f>
        <v>0.4820853848</v>
      </c>
      <c r="Q159" s="7">
        <f>IFERROR(__xludf.DUMMYFUNCTION("""COMPUTED_VALUE"""),0.8169971671)</f>
        <v>0.8169971671</v>
      </c>
    </row>
    <row r="160">
      <c r="A160" s="10" t="s">
        <v>29</v>
      </c>
      <c r="B160" s="10">
        <v>0.0</v>
      </c>
      <c r="C160" s="10">
        <v>0.0</v>
      </c>
      <c r="D160" s="10">
        <v>0.0</v>
      </c>
      <c r="E160" s="10">
        <v>0.0</v>
      </c>
      <c r="F160" s="10">
        <v>0.0</v>
      </c>
      <c r="G160" s="10">
        <v>0.3240629865</v>
      </c>
      <c r="H160" s="10">
        <v>0.07199736558</v>
      </c>
      <c r="I160" s="10">
        <v>0.08516944079</v>
      </c>
      <c r="J160" s="10">
        <v>0.4887139265</v>
      </c>
      <c r="K160" s="10">
        <v>0.5545743025</v>
      </c>
      <c r="L160" s="10">
        <v>0.3923182852</v>
      </c>
      <c r="M160" s="10">
        <v>0.5150580769</v>
      </c>
      <c r="O160" s="7">
        <f>IFERROR(__xludf.DUMMYFUNCTION("""COMPUTED_VALUE"""),0.003869346110167114)</f>
        <v>0.00386934611</v>
      </c>
      <c r="P160" s="7">
        <f>IFERROR(__xludf.DUMMYFUNCTION("""COMPUTED_VALUE"""),0.3930046537)</f>
        <v>0.3930046537</v>
      </c>
      <c r="Q160" s="7">
        <f>IFERROR(__xludf.DUMMYFUNCTION("""COMPUTED_VALUE"""),0.8218130312)</f>
        <v>0.8218130312</v>
      </c>
    </row>
    <row r="161">
      <c r="A161" s="10" t="s">
        <v>30</v>
      </c>
      <c r="B161" s="10">
        <v>0.0</v>
      </c>
      <c r="C161" s="10">
        <v>0.0</v>
      </c>
      <c r="D161" s="10">
        <v>0.0</v>
      </c>
      <c r="E161" s="10">
        <v>0.0</v>
      </c>
      <c r="F161" s="10">
        <v>0.3767512873</v>
      </c>
      <c r="G161" s="10">
        <v>0.6413902527</v>
      </c>
      <c r="H161" s="10">
        <v>0.6336067537</v>
      </c>
      <c r="I161" s="10">
        <v>0.6366004071</v>
      </c>
      <c r="J161" s="10">
        <v>0.7270087415</v>
      </c>
      <c r="K161" s="10">
        <v>0.8527421866</v>
      </c>
      <c r="L161" s="10">
        <v>0.8629206083</v>
      </c>
      <c r="M161" s="10">
        <v>0.8623218776</v>
      </c>
      <c r="O161" s="7">
        <f>IFERROR(__xludf.DUMMYFUNCTION("""COMPUTED_VALUE"""),-4.189522296470629E-4)</f>
        <v>-0.0004189522296</v>
      </c>
      <c r="P161" s="7">
        <f>IFERROR(__xludf.DUMMYFUNCTION("""COMPUTED_VALUE"""),0.3163337155)</f>
        <v>0.3163337155</v>
      </c>
      <c r="Q161" s="7">
        <f>IFERROR(__xludf.DUMMYFUNCTION("""COMPUTED_VALUE"""),0.8195467422)</f>
        <v>0.8195467422</v>
      </c>
    </row>
    <row r="162">
      <c r="A162" s="10" t="s">
        <v>31</v>
      </c>
      <c r="B162" s="10">
        <v>0.7814932343</v>
      </c>
      <c r="C162" s="10">
        <v>0.7886780026</v>
      </c>
      <c r="D162" s="10">
        <v>0.8257993055</v>
      </c>
      <c r="E162" s="10">
        <v>0.8419650341</v>
      </c>
      <c r="F162" s="10">
        <v>0.8048437313</v>
      </c>
      <c r="G162" s="10">
        <v>0.9239911388</v>
      </c>
      <c r="H162" s="10">
        <v>0.8365764579</v>
      </c>
      <c r="I162" s="10">
        <v>0.8222069213</v>
      </c>
      <c r="J162" s="10">
        <v>0.7994551551</v>
      </c>
      <c r="K162" s="10">
        <v>0.8263980362</v>
      </c>
      <c r="L162" s="10">
        <v>0.8204107293</v>
      </c>
      <c r="M162" s="10">
        <v>0.8593282242</v>
      </c>
      <c r="O162" s="7">
        <f>IFERROR(__xludf.DUMMYFUNCTION("""COMPUTED_VALUE"""),0.03073386235527275)</f>
        <v>0.03073386236</v>
      </c>
      <c r="P162" s="7">
        <f>IFERROR(__xludf.DUMMYFUNCTION("""COMPUTED_VALUE"""),0.2610831591)</f>
        <v>0.2610831591</v>
      </c>
      <c r="Q162" s="7">
        <f>IFERROR(__xludf.DUMMYFUNCTION("""COMPUTED_VALUE"""),0.8634560907)</f>
        <v>0.8634560907</v>
      </c>
    </row>
    <row r="163">
      <c r="O163" s="7">
        <f>IFERROR(__xludf.DUMMYFUNCTION("""COMPUTED_VALUE"""),0.00351221607620953)</f>
        <v>0.003512216076</v>
      </c>
      <c r="P163" s="7">
        <f>IFERROR(__xludf.DUMMYFUNCTION("""COMPUTED_VALUE"""),0.229734943)</f>
        <v>0.229734943</v>
      </c>
      <c r="Q163" s="7">
        <f>IFERROR(__xludf.DUMMYFUNCTION("""COMPUTED_VALUE"""),0.7787535411)</f>
        <v>0.7787535411</v>
      </c>
    </row>
    <row r="164">
      <c r="O164" s="7">
        <f>IFERROR(__xludf.DUMMYFUNCTION("""COMPUTED_VALUE"""),0.02491318851922294)</f>
        <v>0.02491318852</v>
      </c>
      <c r="P164" s="7">
        <f>IFERROR(__xludf.DUMMYFUNCTION("""COMPUTED_VALUE"""),0.1922897417)</f>
        <v>0.1922897417</v>
      </c>
      <c r="Q164" s="7">
        <f>IFERROR(__xludf.DUMMYFUNCTION("""COMPUTED_VALUE"""),0.8586402266)</f>
        <v>0.8586402266</v>
      </c>
    </row>
    <row r="165">
      <c r="O165" s="7">
        <f>IFERROR(__xludf.DUMMYFUNCTION("""COMPUTED_VALUE"""),0.01516947202363843)</f>
        <v>0.01516947202</v>
      </c>
      <c r="P165" s="7">
        <f>IFERROR(__xludf.DUMMYFUNCTION("""COMPUTED_VALUE"""),0.164880286)</f>
        <v>0.164880286</v>
      </c>
      <c r="Q165" s="7">
        <f>IFERROR(__xludf.DUMMYFUNCTION("""COMPUTED_VALUE"""),0.7917847025)</f>
        <v>0.7917847025</v>
      </c>
    </row>
    <row r="166">
      <c r="A166" s="9" t="s">
        <v>71</v>
      </c>
      <c r="B166" s="10" t="s">
        <v>72</v>
      </c>
      <c r="C166" s="10" t="s">
        <v>73</v>
      </c>
      <c r="D166" s="10" t="s">
        <v>74</v>
      </c>
      <c r="E166" s="10" t="s">
        <v>75</v>
      </c>
      <c r="F166" s="10" t="s">
        <v>76</v>
      </c>
      <c r="G166" s="10" t="s">
        <v>77</v>
      </c>
      <c r="H166" s="10" t="s">
        <v>78</v>
      </c>
      <c r="I166" s="10" t="s">
        <v>79</v>
      </c>
      <c r="J166" s="10" t="s">
        <v>80</v>
      </c>
      <c r="K166" s="10" t="s">
        <v>81</v>
      </c>
      <c r="L166" s="10" t="s">
        <v>82</v>
      </c>
      <c r="M166" s="10" t="s">
        <v>83</v>
      </c>
      <c r="O166" s="7">
        <f>IFERROR(__xludf.DUMMYFUNCTION("""COMPUTED_VALUE"""),0.01929103467029438)</f>
        <v>0.01929103467</v>
      </c>
      <c r="P166" s="7">
        <f>IFERROR(__xludf.DUMMYFUNCTION("""COMPUTED_VALUE"""),0.1335860255)</f>
        <v>0.1335860255</v>
      </c>
      <c r="Q166" s="7">
        <f>IFERROR(__xludf.DUMMYFUNCTION("""COMPUTED_VALUE"""),0.7892351275)</f>
        <v>0.7892351275</v>
      </c>
    </row>
    <row r="167">
      <c r="A167" s="10" t="s">
        <v>3</v>
      </c>
      <c r="B167" s="10">
        <v>0.8538947928</v>
      </c>
      <c r="C167" s="10">
        <v>0.7435765888</v>
      </c>
      <c r="D167" s="10">
        <v>0.8305987888</v>
      </c>
      <c r="E167" s="10">
        <v>0.7536220847</v>
      </c>
      <c r="F167" s="10">
        <v>0.805547969</v>
      </c>
      <c r="G167" s="10">
        <v>0.9348202663</v>
      </c>
      <c r="H167" s="10">
        <v>0.8834324561</v>
      </c>
      <c r="I167" s="10">
        <v>0.8801736365</v>
      </c>
      <c r="J167" s="10">
        <v>0.8975577685</v>
      </c>
      <c r="K167" s="10">
        <v>0.9000129485</v>
      </c>
      <c r="L167" s="10">
        <v>0.8145442204</v>
      </c>
      <c r="M167" s="10">
        <v>0.8610997783</v>
      </c>
      <c r="O167" s="7">
        <f>IFERROR(__xludf.DUMMYFUNCTION("""COMPUTED_VALUE"""),0.008023466605023564)</f>
        <v>0.008023466605</v>
      </c>
      <c r="P167" s="7">
        <f>IFERROR(__xludf.DUMMYFUNCTION("""COMPUTED_VALUE"""),0.09047548391)</f>
        <v>0.09047548391</v>
      </c>
      <c r="Q167" s="7">
        <f>IFERROR(__xludf.DUMMYFUNCTION("""COMPUTED_VALUE"""),0.7861189802)</f>
        <v>0.7861189802</v>
      </c>
    </row>
    <row r="168">
      <c r="A168" s="10" t="s">
        <v>4</v>
      </c>
      <c r="B168" s="10">
        <v>0.7501593177</v>
      </c>
      <c r="C168" s="10">
        <v>0.6199696908</v>
      </c>
      <c r="D168" s="10">
        <v>0.4940811851</v>
      </c>
      <c r="E168" s="10">
        <v>0.207033418</v>
      </c>
      <c r="F168" s="10">
        <v>0.381033557</v>
      </c>
      <c r="G168" s="10">
        <v>0.5407417542</v>
      </c>
      <c r="H168" s="10">
        <v>0.4777098474</v>
      </c>
      <c r="I168" s="10">
        <v>0.5961876844</v>
      </c>
      <c r="J168" s="10">
        <v>0.5939026053</v>
      </c>
      <c r="K168" s="10">
        <v>0.6392075748</v>
      </c>
      <c r="L168" s="10">
        <v>0.570946803</v>
      </c>
      <c r="M168" s="10">
        <v>0.6805125711</v>
      </c>
      <c r="O168" s="7">
        <f>IFERROR(__xludf.DUMMYFUNCTION("""COMPUTED_VALUE"""),0.04161505898029685)</f>
        <v>0.04161505898</v>
      </c>
      <c r="P168" s="7">
        <f>IFERROR(__xludf.DUMMYFUNCTION("""COMPUTED_VALUE"""),0.2012463749)</f>
        <v>0.2012463749</v>
      </c>
      <c r="Q168" s="7">
        <f>IFERROR(__xludf.DUMMYFUNCTION("""COMPUTED_VALUE"""),0.7711048159)</f>
        <v>0.7711048159</v>
      </c>
    </row>
    <row r="169">
      <c r="A169" s="10" t="s">
        <v>5</v>
      </c>
      <c r="B169" s="10">
        <v>0.9482599682</v>
      </c>
      <c r="C169" s="10">
        <v>0.9474146712</v>
      </c>
      <c r="D169" s="10">
        <v>0.842019845</v>
      </c>
      <c r="E169" s="10">
        <v>0.9102884277</v>
      </c>
      <c r="F169" s="10">
        <v>0.803431255</v>
      </c>
      <c r="G169" s="10">
        <v>0.571710521</v>
      </c>
      <c r="H169" s="10">
        <v>0.7102012423</v>
      </c>
      <c r="I169" s="10">
        <v>0.0</v>
      </c>
      <c r="J169" s="10">
        <v>0.7961472941</v>
      </c>
      <c r="K169" s="10">
        <v>0.9438182535</v>
      </c>
      <c r="L169" s="10">
        <v>0.8995686034</v>
      </c>
      <c r="M169" s="10">
        <v>0.9594579841</v>
      </c>
      <c r="O169" s="7">
        <f>IFERROR(__xludf.DUMMYFUNCTION("""COMPUTED_VALUE"""),0.01936877280016058)</f>
        <v>0.0193687728</v>
      </c>
      <c r="P169" s="7">
        <f>IFERROR(__xludf.DUMMYFUNCTION("""COMPUTED_VALUE"""),0.1620745936)</f>
        <v>0.1620745936</v>
      </c>
      <c r="Q169" s="7">
        <f>IFERROR(__xludf.DUMMYFUNCTION("""COMPUTED_VALUE"""),0.8062322946)</f>
        <v>0.8062322946</v>
      </c>
    </row>
    <row r="170">
      <c r="A170" s="10" t="s">
        <v>6</v>
      </c>
      <c r="B170" s="10">
        <v>0.0</v>
      </c>
      <c r="C170" s="10">
        <v>0.0</v>
      </c>
      <c r="D170" s="10">
        <v>0.0</v>
      </c>
      <c r="E170" s="10">
        <v>0.8336267573</v>
      </c>
      <c r="F170" s="10">
        <v>0.8945931539</v>
      </c>
      <c r="G170" s="10">
        <v>0.9628252864</v>
      </c>
      <c r="H170" s="10">
        <v>0.923906909</v>
      </c>
      <c r="I170" s="10">
        <v>0.9614262938</v>
      </c>
      <c r="J170" s="10">
        <v>0.9819651021</v>
      </c>
      <c r="K170" s="10">
        <v>0.540129044</v>
      </c>
      <c r="L170" s="10">
        <v>0.7189284567</v>
      </c>
      <c r="M170" s="10">
        <v>0.8935161379</v>
      </c>
      <c r="O170" s="7">
        <f>IFERROR(__xludf.DUMMYFUNCTION("""COMPUTED_VALUE"""),-0.007457998277221309)</f>
        <v>-0.007457998277</v>
      </c>
      <c r="P170" s="7">
        <f>IFERROR(__xludf.DUMMYFUNCTION("""COMPUTED_VALUE"""),0.5782882579)</f>
        <v>0.5782882579</v>
      </c>
      <c r="Q170" s="7">
        <f>IFERROR(__xludf.DUMMYFUNCTION("""COMPUTED_VALUE"""),0.776203966)</f>
        <v>0.776203966</v>
      </c>
    </row>
    <row r="171">
      <c r="A171" s="10" t="s">
        <v>7</v>
      </c>
      <c r="B171" s="10">
        <v>0.9889409721</v>
      </c>
      <c r="C171" s="10">
        <v>0.9934555872</v>
      </c>
      <c r="D171" s="10">
        <v>0.9959897426</v>
      </c>
      <c r="E171" s="10">
        <v>0.0</v>
      </c>
      <c r="F171" s="10">
        <v>0.0</v>
      </c>
      <c r="G171" s="10">
        <v>0.6099528343</v>
      </c>
      <c r="H171" s="10">
        <v>0.1729863467</v>
      </c>
      <c r="I171" s="10">
        <v>0.1083072389</v>
      </c>
      <c r="J171" s="10">
        <v>0.01055393251</v>
      </c>
      <c r="K171" s="10">
        <v>0.9926528154</v>
      </c>
      <c r="L171" s="10">
        <v>0.9866584966</v>
      </c>
      <c r="M171" s="10">
        <v>1.0</v>
      </c>
      <c r="O171" s="7">
        <f>IFERROR(__xludf.DUMMYFUNCTION("""COMPUTED_VALUE"""),0.04584985738068328)</f>
        <v>0.04584985738</v>
      </c>
      <c r="P171" s="7">
        <f>IFERROR(__xludf.DUMMYFUNCTION("""COMPUTED_VALUE"""),0.4951966008)</f>
        <v>0.4951966008</v>
      </c>
      <c r="Q171" s="7">
        <f>IFERROR(__xludf.DUMMYFUNCTION("""COMPUTED_VALUE"""),0.7818696884)</f>
        <v>0.7818696884</v>
      </c>
    </row>
    <row r="172">
      <c r="A172" s="10" t="s">
        <v>8</v>
      </c>
      <c r="B172" s="10">
        <v>0.6946066405</v>
      </c>
      <c r="C172" s="10">
        <v>0.7328819326</v>
      </c>
      <c r="D172" s="10">
        <v>0.846679393</v>
      </c>
      <c r="E172" s="10">
        <v>0.8678968689</v>
      </c>
      <c r="F172" s="10">
        <v>0.9277211599</v>
      </c>
      <c r="G172" s="10">
        <v>0.9675230202</v>
      </c>
      <c r="H172" s="10">
        <v>0.9490575329</v>
      </c>
      <c r="I172" s="10">
        <v>0.842214246</v>
      </c>
      <c r="J172" s="10">
        <v>0.8252380088</v>
      </c>
      <c r="K172" s="10">
        <v>0.0</v>
      </c>
      <c r="L172" s="10">
        <v>0.8595558528</v>
      </c>
      <c r="M172" s="10">
        <v>0.9701300759</v>
      </c>
      <c r="O172" s="7">
        <f>IFERROR(__xludf.DUMMYFUNCTION("""COMPUTED_VALUE"""),0.02097723223167123)</f>
        <v>0.02097723223</v>
      </c>
      <c r="P172" s="7">
        <f>IFERROR(__xludf.DUMMYFUNCTION("""COMPUTED_VALUE"""),0.3903608282)</f>
        <v>0.3903608282</v>
      </c>
      <c r="Q172" s="7">
        <f>IFERROR(__xludf.DUMMYFUNCTION("""COMPUTED_VALUE"""),0.821529745)</f>
        <v>0.821529745</v>
      </c>
    </row>
    <row r="173">
      <c r="A173" s="10" t="s">
        <v>9</v>
      </c>
      <c r="B173" s="10">
        <v>0.7946675904</v>
      </c>
      <c r="C173" s="10">
        <v>0.2388171066</v>
      </c>
      <c r="D173" s="10">
        <v>0.614463978</v>
      </c>
      <c r="E173" s="10">
        <v>0.1989362709</v>
      </c>
      <c r="F173" s="10">
        <v>1.0</v>
      </c>
      <c r="G173" s="10">
        <v>1.0</v>
      </c>
      <c r="H173" s="10">
        <v>0.0</v>
      </c>
      <c r="I173" s="10">
        <v>0.0</v>
      </c>
      <c r="J173" s="10">
        <v>0.7343156396</v>
      </c>
      <c r="K173" s="10">
        <v>0.8534539192</v>
      </c>
      <c r="L173" s="10">
        <v>0.757953581</v>
      </c>
      <c r="M173" s="10">
        <v>0.6594252744</v>
      </c>
      <c r="O173" s="7">
        <f>IFERROR(__xludf.DUMMYFUNCTION("""COMPUTED_VALUE"""),0.02073511841549712)</f>
        <v>0.02073511842</v>
      </c>
      <c r="P173" s="7">
        <f>IFERROR(__xludf.DUMMYFUNCTION("""COMPUTED_VALUE"""),0.3212976327)</f>
        <v>0.3212976327</v>
      </c>
      <c r="Q173" s="7">
        <f>IFERROR(__xludf.DUMMYFUNCTION("""COMPUTED_VALUE"""),0.8045325779)</f>
        <v>0.8045325779</v>
      </c>
    </row>
    <row r="174">
      <c r="A174" s="10" t="s">
        <v>10</v>
      </c>
      <c r="B174" s="10">
        <v>0.8384720276</v>
      </c>
      <c r="C174" s="10">
        <v>0.8227064571</v>
      </c>
      <c r="D174" s="10">
        <v>0.8818086874</v>
      </c>
      <c r="E174" s="10">
        <v>0.8508138848</v>
      </c>
      <c r="F174" s="10">
        <v>0.8458566604</v>
      </c>
      <c r="G174" s="10">
        <v>0.9606565007</v>
      </c>
      <c r="H174" s="10">
        <v>0.9253449554</v>
      </c>
      <c r="I174" s="10">
        <v>0.9184654179</v>
      </c>
      <c r="J174" s="10">
        <v>0.9280821903</v>
      </c>
      <c r="K174" s="10">
        <v>0.8760972914</v>
      </c>
      <c r="L174" s="10">
        <v>0.8904543228</v>
      </c>
      <c r="M174" s="10">
        <v>0.924163796</v>
      </c>
      <c r="O174" s="7">
        <f>IFERROR(__xludf.DUMMYFUNCTION("""COMPUTED_VALUE"""),0.04897880526655515)</f>
        <v>0.04897880527</v>
      </c>
      <c r="P174" s="7">
        <f>IFERROR(__xludf.DUMMYFUNCTION("""COMPUTED_VALUE"""),0.4333095029)</f>
        <v>0.4333095029</v>
      </c>
      <c r="Q174" s="7">
        <f>IFERROR(__xludf.DUMMYFUNCTION("""COMPUTED_VALUE"""),0.835694051)</f>
        <v>0.835694051</v>
      </c>
    </row>
    <row r="175">
      <c r="A175" s="10" t="s">
        <v>11</v>
      </c>
      <c r="B175" s="10">
        <v>0.8739363165</v>
      </c>
      <c r="C175" s="10">
        <v>0.9072387626</v>
      </c>
      <c r="D175" s="10">
        <v>0.8773895371</v>
      </c>
      <c r="E175" s="10">
        <v>0.8626975112</v>
      </c>
      <c r="F175" s="10">
        <v>0.8245819056</v>
      </c>
      <c r="G175" s="10">
        <v>0.8978511057</v>
      </c>
      <c r="H175" s="10">
        <v>0.798058325</v>
      </c>
      <c r="I175" s="10">
        <v>0.8114173158</v>
      </c>
      <c r="J175" s="10">
        <v>0.8347636557</v>
      </c>
      <c r="K175" s="10">
        <v>0.8633258428</v>
      </c>
      <c r="L175" s="10">
        <v>0.8430690895</v>
      </c>
      <c r="M175" s="10">
        <v>0.8704475136</v>
      </c>
      <c r="O175" s="7">
        <f>IFERROR(__xludf.DUMMYFUNCTION("""COMPUTED_VALUE"""),-0.03255173067707993)</f>
        <v>-0.03255173068</v>
      </c>
      <c r="P175" s="7">
        <f>IFERROR(__xludf.DUMMYFUNCTION("""COMPUTED_VALUE"""),0.3552896742)</f>
        <v>0.3552896742</v>
      </c>
      <c r="Q175" s="7">
        <f>IFERROR(__xludf.DUMMYFUNCTION("""COMPUTED_VALUE"""),0.790368272)</f>
        <v>0.790368272</v>
      </c>
    </row>
    <row r="176">
      <c r="A176" s="10" t="s">
        <v>12</v>
      </c>
      <c r="B176" s="10">
        <v>0.621014596</v>
      </c>
      <c r="C176" s="10">
        <v>0.6036200496</v>
      </c>
      <c r="D176" s="10">
        <v>0.5380834947</v>
      </c>
      <c r="E176" s="10">
        <v>0.5831463309</v>
      </c>
      <c r="F176" s="10">
        <v>0.4337491952</v>
      </c>
      <c r="G176" s="10">
        <v>0.4138022684</v>
      </c>
      <c r="H176" s="10">
        <v>0.5237707242</v>
      </c>
      <c r="I176" s="10">
        <v>0.5724039423</v>
      </c>
      <c r="J176" s="10">
        <v>0.6718842929</v>
      </c>
      <c r="K176" s="10">
        <v>0.6585903917</v>
      </c>
      <c r="L176" s="10">
        <v>0.6780868984</v>
      </c>
      <c r="M176" s="10">
        <v>0.7664551515</v>
      </c>
      <c r="O176" s="7">
        <f>IFERROR(__xludf.DUMMYFUNCTION("""COMPUTED_VALUE"""),0.001270029500659183)</f>
        <v>0.001270029501</v>
      </c>
      <c r="P176" s="7">
        <f>IFERROR(__xludf.DUMMYFUNCTION("""COMPUTED_VALUE"""),0.3307398665)</f>
        <v>0.3307398665</v>
      </c>
      <c r="Q176" s="7">
        <f>IFERROR(__xludf.DUMMYFUNCTION("""COMPUTED_VALUE"""),0.7875354108)</f>
        <v>0.7875354108</v>
      </c>
    </row>
    <row r="177">
      <c r="A177" s="10" t="s">
        <v>13</v>
      </c>
      <c r="B177" s="10">
        <v>0.8920616022</v>
      </c>
      <c r="C177" s="10">
        <v>0.9031667569</v>
      </c>
      <c r="D177" s="10">
        <v>0.8978623879</v>
      </c>
      <c r="E177" s="10">
        <v>0.8786496719</v>
      </c>
      <c r="F177" s="10">
        <v>0.868622401</v>
      </c>
      <c r="G177" s="10">
        <v>0.8635159045</v>
      </c>
      <c r="H177" s="10">
        <v>0.5300011013</v>
      </c>
      <c r="I177" s="10">
        <v>0.8526632975</v>
      </c>
      <c r="J177" s="10">
        <v>0.9025193323</v>
      </c>
      <c r="K177" s="10">
        <v>0.9365629321</v>
      </c>
      <c r="L177" s="10">
        <v>0.9244154758</v>
      </c>
      <c r="M177" s="10">
        <v>0.9406687844</v>
      </c>
      <c r="O177" s="7">
        <f>IFERROR(__xludf.DUMMYFUNCTION("""COMPUTED_VALUE"""),0.01803756836218642)</f>
        <v>0.01803756836</v>
      </c>
      <c r="P177" s="7">
        <f>IFERROR(__xludf.DUMMYFUNCTION("""COMPUTED_VALUE"""),0.2718742834)</f>
        <v>0.2718742834</v>
      </c>
      <c r="Q177" s="7">
        <f>IFERROR(__xludf.DUMMYFUNCTION("""COMPUTED_VALUE"""),0.7875354108)</f>
        <v>0.7875354108</v>
      </c>
    </row>
    <row r="178">
      <c r="A178" s="10" t="s">
        <v>14</v>
      </c>
      <c r="B178" s="10">
        <v>0.8423713289</v>
      </c>
      <c r="C178" s="10">
        <v>0.8484741304</v>
      </c>
      <c r="D178" s="10">
        <v>0.846247198</v>
      </c>
      <c r="E178" s="10">
        <v>0.7385186925</v>
      </c>
      <c r="F178" s="10">
        <v>0.7934187378</v>
      </c>
      <c r="G178" s="10">
        <v>0.9110773137</v>
      </c>
      <c r="H178" s="10">
        <v>0.8718959743</v>
      </c>
      <c r="I178" s="10">
        <v>0.9151467159</v>
      </c>
      <c r="J178" s="10">
        <v>0.9126030141</v>
      </c>
      <c r="K178" s="10">
        <v>0.874578534</v>
      </c>
      <c r="L178" s="10">
        <v>0.8759792623</v>
      </c>
      <c r="M178" s="10">
        <v>0.9010856252</v>
      </c>
      <c r="O178" s="7">
        <f>IFERROR(__xludf.DUMMYFUNCTION("""COMPUTED_VALUE"""),0.02406520731527247)</f>
        <v>0.02406520732</v>
      </c>
      <c r="P178" s="7">
        <f>IFERROR(__xludf.DUMMYFUNCTION("""COMPUTED_VALUE"""),0.2209401767)</f>
        <v>0.2209401767</v>
      </c>
      <c r="Q178" s="7">
        <f>IFERROR(__xludf.DUMMYFUNCTION("""COMPUTED_VALUE"""),0.8186968839)</f>
        <v>0.8186968839</v>
      </c>
    </row>
    <row r="179">
      <c r="A179" s="10" t="s">
        <v>15</v>
      </c>
      <c r="B179" s="10">
        <v>0.9256947035</v>
      </c>
      <c r="C179" s="10">
        <v>0.8271663969</v>
      </c>
      <c r="D179" s="10">
        <v>0.8389745193</v>
      </c>
      <c r="E179" s="10">
        <v>0.8777141172</v>
      </c>
      <c r="F179" s="10">
        <v>0.8764496432</v>
      </c>
      <c r="G179" s="10">
        <v>0.9339671586</v>
      </c>
      <c r="H179" s="10">
        <v>0.8036777276</v>
      </c>
      <c r="I179" s="10">
        <v>0.8138386491</v>
      </c>
      <c r="J179" s="10">
        <v>0.7673290879</v>
      </c>
      <c r="K179" s="10">
        <v>0.6863150925</v>
      </c>
      <c r="L179" s="10">
        <v>0.8204387352</v>
      </c>
      <c r="M179" s="10">
        <v>0.78066725</v>
      </c>
      <c r="O179" s="7">
        <f>IFERROR(__xludf.DUMMYFUNCTION("""COMPUTED_VALUE"""),-0.02594112947278275)</f>
        <v>-0.02594112947</v>
      </c>
      <c r="P179" s="7">
        <f>IFERROR(__xludf.DUMMYFUNCTION("""COMPUTED_VALUE"""),0.2329183247)</f>
        <v>0.2329183247</v>
      </c>
      <c r="Q179" s="7">
        <f>IFERROR(__xludf.DUMMYFUNCTION("""COMPUTED_VALUE"""),0.790368272)</f>
        <v>0.790368272</v>
      </c>
    </row>
    <row r="180">
      <c r="A180" s="10" t="s">
        <v>16</v>
      </c>
      <c r="B180" s="10">
        <v>0.8843497856</v>
      </c>
      <c r="C180" s="10">
        <v>0.8841996456</v>
      </c>
      <c r="D180" s="10">
        <v>0.852973124</v>
      </c>
      <c r="E180" s="10">
        <v>0.8030407174</v>
      </c>
      <c r="F180" s="10">
        <v>0.7524192288</v>
      </c>
      <c r="G180" s="10">
        <v>0.8021511594</v>
      </c>
      <c r="H180" s="10">
        <v>0.7468310691</v>
      </c>
      <c r="I180" s="10">
        <v>0.7753724275</v>
      </c>
      <c r="J180" s="10">
        <v>0.7722064691</v>
      </c>
      <c r="K180" s="10">
        <v>0.7411318232</v>
      </c>
      <c r="L180" s="10">
        <v>0.7650847983</v>
      </c>
      <c r="M180" s="10">
        <v>0.8439187258</v>
      </c>
      <c r="O180" s="7">
        <f>IFERROR(__xludf.DUMMYFUNCTION("""COMPUTED_VALUE"""),0.02507987336389381)</f>
        <v>0.02507987336</v>
      </c>
      <c r="P180" s="7">
        <f>IFERROR(__xludf.DUMMYFUNCTION("""COMPUTED_VALUE"""),0.2637269846)</f>
        <v>0.2637269846</v>
      </c>
      <c r="Q180" s="7">
        <f>IFERROR(__xludf.DUMMYFUNCTION("""COMPUTED_VALUE"""),0.7790368272)</f>
        <v>0.7790368272</v>
      </c>
    </row>
    <row r="181">
      <c r="A181" s="10" t="s">
        <v>17</v>
      </c>
      <c r="B181" s="10">
        <v>0.7766325623</v>
      </c>
      <c r="C181" s="10">
        <v>0.7050773885</v>
      </c>
      <c r="D181" s="10">
        <v>0.8015315064</v>
      </c>
      <c r="E181" s="10">
        <v>0.8051062275</v>
      </c>
      <c r="F181" s="10">
        <v>0.9044503239</v>
      </c>
      <c r="G181" s="10">
        <v>0.9507568055</v>
      </c>
      <c r="H181" s="10">
        <v>0.8645425845</v>
      </c>
      <c r="I181" s="10">
        <v>0.8373004147</v>
      </c>
      <c r="J181" s="10">
        <v>0.7367421802</v>
      </c>
      <c r="K181" s="10">
        <v>0.8215938587</v>
      </c>
      <c r="L181" s="10">
        <v>0.7630323061</v>
      </c>
      <c r="M181" s="10">
        <v>0.8451606355</v>
      </c>
      <c r="O181" s="7">
        <f>IFERROR(__xludf.DUMMYFUNCTION("""COMPUTED_VALUE"""),0.03667369688729672)</f>
        <v>0.03667369689</v>
      </c>
      <c r="P181" s="7">
        <f>IFERROR(__xludf.DUMMYFUNCTION("""COMPUTED_VALUE"""),0.2727375733)</f>
        <v>0.2727375733</v>
      </c>
      <c r="Q181" s="7">
        <f>IFERROR(__xludf.DUMMYFUNCTION("""COMPUTED_VALUE"""),0.7875354108)</f>
        <v>0.7875354108</v>
      </c>
    </row>
    <row r="182">
      <c r="A182" s="10" t="s">
        <v>18</v>
      </c>
      <c r="B182" s="10">
        <v>0.8540327828</v>
      </c>
      <c r="C182" s="10">
        <v>0.8888053862</v>
      </c>
      <c r="D182" s="10">
        <v>0.944867498</v>
      </c>
      <c r="E182" s="10">
        <v>0.9355431949</v>
      </c>
      <c r="F182" s="10">
        <v>0.6311147671</v>
      </c>
      <c r="G182" s="10">
        <v>1.0</v>
      </c>
      <c r="H182" s="10">
        <v>0.9344679146</v>
      </c>
      <c r="I182" s="10">
        <v>0.9608413552</v>
      </c>
      <c r="J182" s="10">
        <v>0.7272842264</v>
      </c>
      <c r="K182" s="10">
        <v>0.8687491088</v>
      </c>
      <c r="L182" s="10">
        <v>0.8597181429</v>
      </c>
      <c r="M182" s="10">
        <v>0.9460234894</v>
      </c>
      <c r="O182" s="7">
        <f>IFERROR(__xludf.DUMMYFUNCTION("""COMPUTED_VALUE"""),0.02429435560834346)</f>
        <v>0.02429435561</v>
      </c>
      <c r="P182" s="7">
        <f>IFERROR(__xludf.DUMMYFUNCTION("""COMPUTED_VALUE"""),0.6094746071)</f>
        <v>0.6094746071</v>
      </c>
      <c r="Q182" s="7">
        <f>IFERROR(__xludf.DUMMYFUNCTION("""COMPUTED_VALUE"""),0.8300283286)</f>
        <v>0.8300283286</v>
      </c>
    </row>
    <row r="183">
      <c r="A183" s="10" t="s">
        <v>19</v>
      </c>
      <c r="B183" s="10">
        <v>0.8368673518</v>
      </c>
      <c r="C183" s="10">
        <v>0.7985165558</v>
      </c>
      <c r="D183" s="10">
        <v>0.7889058585</v>
      </c>
      <c r="E183" s="10">
        <v>0.5428142073</v>
      </c>
      <c r="F183" s="10">
        <v>0.643946966</v>
      </c>
      <c r="G183" s="10">
        <v>0.8556851909</v>
      </c>
      <c r="H183" s="10">
        <v>0.825048815</v>
      </c>
      <c r="I183" s="10">
        <v>0.7588249139</v>
      </c>
      <c r="J183" s="10">
        <v>0.843398009</v>
      </c>
      <c r="K183" s="10">
        <v>0.8763081818</v>
      </c>
      <c r="L183" s="10">
        <v>0.7989565615</v>
      </c>
      <c r="M183" s="10">
        <v>0.8725095523</v>
      </c>
      <c r="O183" s="7">
        <f>IFERROR(__xludf.DUMMYFUNCTION("""COMPUTED_VALUE"""),0.04117361113020391)</f>
        <v>0.04117361113</v>
      </c>
      <c r="P183" s="7">
        <f>IFERROR(__xludf.DUMMYFUNCTION("""COMPUTED_VALUE"""),0.5319943347)</f>
        <v>0.5319943347</v>
      </c>
      <c r="Q183" s="7">
        <f>IFERROR(__xludf.DUMMYFUNCTION("""COMPUTED_VALUE"""),0.8016997167)</f>
        <v>0.8016997167</v>
      </c>
    </row>
    <row r="184">
      <c r="A184" s="10" t="s">
        <v>20</v>
      </c>
      <c r="B184" s="10">
        <v>0.9010708716</v>
      </c>
      <c r="C184" s="10">
        <v>0.9178110504</v>
      </c>
      <c r="D184" s="10">
        <v>0.9664633615</v>
      </c>
      <c r="E184" s="10">
        <v>0.9855806127</v>
      </c>
      <c r="F184" s="10">
        <v>0.9915445564</v>
      </c>
      <c r="G184" s="10">
        <v>0.9913223839</v>
      </c>
      <c r="H184" s="10">
        <v>0.9690435134</v>
      </c>
      <c r="I184" s="10">
        <v>0.9155146891</v>
      </c>
      <c r="J184" s="10">
        <v>0.9428861703</v>
      </c>
      <c r="K184" s="10">
        <v>0.9683431493</v>
      </c>
      <c r="L184" s="10">
        <v>0.9480742459</v>
      </c>
      <c r="M184" s="10">
        <v>0.9784007952</v>
      </c>
      <c r="O184" s="7">
        <f>IFERROR(__xludf.DUMMYFUNCTION("""COMPUTED_VALUE"""),0.0323855817285224)</f>
        <v>0.03238558173</v>
      </c>
      <c r="P184" s="7">
        <f>IFERROR(__xludf.DUMMYFUNCTION("""COMPUTED_VALUE"""),0.4848371215)</f>
        <v>0.4848371215</v>
      </c>
      <c r="Q184" s="7">
        <f>IFERROR(__xludf.DUMMYFUNCTION("""COMPUTED_VALUE"""),0.7988668555)</f>
        <v>0.7988668555</v>
      </c>
    </row>
    <row r="185">
      <c r="A185" s="10" t="s">
        <v>21</v>
      </c>
      <c r="B185" s="10">
        <v>0.9026417007</v>
      </c>
      <c r="C185" s="10">
        <v>0.9151692803</v>
      </c>
      <c r="D185" s="10">
        <v>0.9650400687</v>
      </c>
      <c r="E185" s="10">
        <v>0.975647071</v>
      </c>
      <c r="F185" s="10">
        <v>0.9723361797</v>
      </c>
      <c r="G185" s="10">
        <v>0.9883976909</v>
      </c>
      <c r="H185" s="10">
        <v>0.9640350852</v>
      </c>
      <c r="I185" s="10">
        <v>0.9463793125</v>
      </c>
      <c r="J185" s="10">
        <v>0.9334880991</v>
      </c>
      <c r="K185" s="10">
        <v>0.9476845761</v>
      </c>
      <c r="L185" s="10">
        <v>0.9229531293</v>
      </c>
      <c r="M185" s="10">
        <v>0.9574011525</v>
      </c>
      <c r="O185" s="7">
        <f>IFERROR(__xludf.DUMMYFUNCTION("""COMPUTED_VALUE"""),0.00348849125191035)</f>
        <v>0.003488491252</v>
      </c>
      <c r="P185" s="7">
        <f>IFERROR(__xludf.DUMMYFUNCTION("""COMPUTED_VALUE"""),0.3060821474)</f>
        <v>0.3060821474</v>
      </c>
      <c r="Q185" s="7">
        <f>IFERROR(__xludf.DUMMYFUNCTION("""COMPUTED_VALUE"""),0.8130311615)</f>
        <v>0.8130311615</v>
      </c>
    </row>
    <row r="186">
      <c r="A186" s="10" t="s">
        <v>22</v>
      </c>
      <c r="B186" s="10">
        <v>0.8386881251</v>
      </c>
      <c r="C186" s="10">
        <v>0.8026076545</v>
      </c>
      <c r="D186" s="10">
        <v>0.8484758661</v>
      </c>
      <c r="E186" s="10">
        <v>0.8052042959</v>
      </c>
      <c r="F186" s="10">
        <v>0.8260303663</v>
      </c>
      <c r="G186" s="10">
        <v>0.9005961514</v>
      </c>
      <c r="H186" s="10">
        <v>0.876638837</v>
      </c>
      <c r="I186" s="10">
        <v>0.9279502754</v>
      </c>
      <c r="J186" s="10">
        <v>0.9406870095</v>
      </c>
      <c r="K186" s="10">
        <v>0.9638302699</v>
      </c>
      <c r="L186" s="10">
        <v>0.9643292902</v>
      </c>
      <c r="M186" s="10">
        <v>0.948292947</v>
      </c>
      <c r="O186" s="7">
        <f>IFERROR(__xludf.DUMMYFUNCTION("""COMPUTED_VALUE"""),0.09350722891174436)</f>
        <v>0.09350722891</v>
      </c>
      <c r="P186" s="7">
        <f>IFERROR(__xludf.DUMMYFUNCTION("""COMPUTED_VALUE"""),0.07579955487)</f>
        <v>0.07579955487</v>
      </c>
      <c r="Q186" s="7">
        <f>IFERROR(__xludf.DUMMYFUNCTION("""COMPUTED_VALUE"""),0.8300283286)</f>
        <v>0.8300283286</v>
      </c>
    </row>
    <row r="187">
      <c r="A187" s="10" t="s">
        <v>23</v>
      </c>
      <c r="B187" s="10">
        <v>0.9766225472</v>
      </c>
      <c r="C187" s="10">
        <v>0.9667818666</v>
      </c>
      <c r="D187" s="10">
        <v>0.9807769998</v>
      </c>
      <c r="E187" s="10">
        <v>0.9456494411</v>
      </c>
      <c r="F187" s="10">
        <v>0.9277437243</v>
      </c>
      <c r="G187" s="10">
        <v>0.9765053859</v>
      </c>
      <c r="H187" s="10">
        <v>0.0</v>
      </c>
      <c r="I187" s="10">
        <v>1.0</v>
      </c>
      <c r="J187" s="10">
        <v>0.0</v>
      </c>
      <c r="K187" s="10">
        <v>0.9479510096</v>
      </c>
      <c r="L187" s="10">
        <v>0.951862461</v>
      </c>
      <c r="M187" s="10">
        <v>0.9659808305</v>
      </c>
      <c r="O187" s="7">
        <f>IFERROR(__xludf.DUMMYFUNCTION("""COMPUTED_VALUE"""),-0.05388820998021817)</f>
        <v>-0.05388820998</v>
      </c>
      <c r="P187" s="7">
        <f>IFERROR(__xludf.DUMMYFUNCTION("""COMPUTED_VALUE"""),0.0)</f>
        <v>0</v>
      </c>
      <c r="Q187" s="7">
        <f>IFERROR(__xludf.DUMMYFUNCTION("""COMPUTED_VALUE"""),0.7705382436)</f>
        <v>0.7705382436</v>
      </c>
    </row>
    <row r="188">
      <c r="A188" s="10" t="s">
        <v>24</v>
      </c>
      <c r="B188" s="10">
        <v>0.7233805858</v>
      </c>
      <c r="C188" s="10">
        <v>0.7011989158</v>
      </c>
      <c r="D188" s="10">
        <v>0.8119736149</v>
      </c>
      <c r="E188" s="10">
        <v>0.4699077732</v>
      </c>
      <c r="F188" s="10">
        <v>0.6250492837</v>
      </c>
      <c r="G188" s="10">
        <v>0.8589839322</v>
      </c>
      <c r="H188" s="10">
        <v>0.6789669099</v>
      </c>
      <c r="I188" s="10">
        <v>0.5759630419</v>
      </c>
      <c r="J188" s="10">
        <v>0.847869231</v>
      </c>
      <c r="K188" s="10">
        <v>0.6773926093</v>
      </c>
      <c r="L188" s="10">
        <v>0.7903977122</v>
      </c>
      <c r="M188" s="10">
        <v>0.7263113538</v>
      </c>
      <c r="O188" s="7">
        <f>IFERROR(__xludf.DUMMYFUNCTION("""COMPUTED_VALUE"""),-0.01230838959981689)</f>
        <v>-0.0123083896</v>
      </c>
      <c r="P188" s="7">
        <f>IFERROR(__xludf.DUMMYFUNCTION("""COMPUTED_VALUE"""),0.2514251029)</f>
        <v>0.2514251029</v>
      </c>
      <c r="Q188" s="7">
        <f>IFERROR(__xludf.DUMMYFUNCTION("""COMPUTED_VALUE"""),0.7677053824)</f>
        <v>0.7677053824</v>
      </c>
    </row>
    <row r="189">
      <c r="A189" s="10" t="s">
        <v>25</v>
      </c>
      <c r="B189" s="10">
        <v>0.9794361539</v>
      </c>
      <c r="C189" s="10">
        <v>0.9485125159</v>
      </c>
      <c r="D189" s="10">
        <v>0.4733505795</v>
      </c>
      <c r="E189" s="10">
        <v>1.0</v>
      </c>
      <c r="F189" s="10">
        <v>1.0</v>
      </c>
      <c r="G189" s="10">
        <v>1.0</v>
      </c>
      <c r="H189" s="10">
        <v>1.0</v>
      </c>
      <c r="I189" s="10">
        <v>0.9462716977</v>
      </c>
      <c r="J189" s="10">
        <v>0.8693600833</v>
      </c>
      <c r="K189" s="10">
        <v>0.9557877982</v>
      </c>
      <c r="L189" s="10">
        <v>0.9438008963</v>
      </c>
      <c r="M189" s="10">
        <v>0.9742159675</v>
      </c>
      <c r="O189" s="7">
        <f>IFERROR(__xludf.DUMMYFUNCTION("""COMPUTED_VALUE"""),0.009231610830514164)</f>
        <v>0.009231610831</v>
      </c>
      <c r="P189" s="7">
        <f>IFERROR(__xludf.DUMMYFUNCTION("""COMPUTED_VALUE"""),0.3601996358)</f>
        <v>0.3601996358</v>
      </c>
      <c r="Q189" s="7">
        <f>IFERROR(__xludf.DUMMYFUNCTION("""COMPUTED_VALUE"""),0.7733711048)</f>
        <v>0.7733711048</v>
      </c>
    </row>
    <row r="190">
      <c r="A190" s="10" t="s">
        <v>26</v>
      </c>
      <c r="B190" s="10">
        <v>0.5651043599</v>
      </c>
      <c r="C190" s="10">
        <v>1.0</v>
      </c>
      <c r="D190" s="10">
        <v>0.9271848216</v>
      </c>
      <c r="E190" s="10">
        <v>1.0</v>
      </c>
      <c r="F190" s="10">
        <v>0.943189054</v>
      </c>
      <c r="G190" s="10">
        <v>0.8562814117</v>
      </c>
      <c r="H190" s="10">
        <v>1.0</v>
      </c>
      <c r="I190" s="10">
        <v>1.0</v>
      </c>
      <c r="J190" s="10">
        <v>1.0</v>
      </c>
      <c r="K190" s="10">
        <v>1.0</v>
      </c>
      <c r="L190" s="10">
        <v>1.0</v>
      </c>
      <c r="M190" s="10">
        <v>0.956540234</v>
      </c>
      <c r="O190" s="7">
        <f>IFERROR(__xludf.DUMMYFUNCTION("""COMPUTED_VALUE"""),0.005674501071632768)</f>
        <v>0.005674501072</v>
      </c>
      <c r="P190" s="7">
        <f>IFERROR(__xludf.DUMMYFUNCTION("""COMPUTED_VALUE"""),0.172002428)</f>
        <v>0.172002428</v>
      </c>
      <c r="Q190" s="7">
        <f>IFERROR(__xludf.DUMMYFUNCTION("""COMPUTED_VALUE"""),0.7790368272)</f>
        <v>0.7790368272</v>
      </c>
    </row>
    <row r="191">
      <c r="A191" s="10" t="s">
        <v>27</v>
      </c>
      <c r="B191" s="10">
        <v>0.8205576322</v>
      </c>
      <c r="C191" s="10">
        <v>0.7859264902</v>
      </c>
      <c r="D191" s="10">
        <v>0.81214198</v>
      </c>
      <c r="E191" s="10">
        <v>0.740532131</v>
      </c>
      <c r="F191" s="10">
        <v>0.7356330533</v>
      </c>
      <c r="G191" s="10">
        <v>0.8701064441</v>
      </c>
      <c r="H191" s="10">
        <v>0.8446329758</v>
      </c>
      <c r="I191" s="10">
        <v>0.8693965334</v>
      </c>
      <c r="J191" s="10">
        <v>0.8955235014</v>
      </c>
      <c r="K191" s="10">
        <v>0.8764045144</v>
      </c>
      <c r="L191" s="10">
        <v>0.8355681633</v>
      </c>
      <c r="M191" s="10">
        <v>0.8645634132</v>
      </c>
      <c r="O191" s="7">
        <f>IFERROR(__xludf.DUMMYFUNCTION("""COMPUTED_VALUE"""),0.004928553347474187)</f>
        <v>0.004928553347</v>
      </c>
      <c r="P191" s="7">
        <f>IFERROR(__xludf.DUMMYFUNCTION("""COMPUTED_VALUE"""),0.293456532)</f>
        <v>0.293456532</v>
      </c>
      <c r="Q191" s="7">
        <f>IFERROR(__xludf.DUMMYFUNCTION("""COMPUTED_VALUE"""),0.7733711048)</f>
        <v>0.7733711048</v>
      </c>
    </row>
    <row r="192">
      <c r="A192" s="10" t="s">
        <v>28</v>
      </c>
      <c r="B192" s="10">
        <v>0.7972911355</v>
      </c>
      <c r="C192" s="10">
        <v>0.6466303935</v>
      </c>
      <c r="D192" s="10">
        <v>0.8790462845</v>
      </c>
      <c r="E192" s="10">
        <v>0.8481790575</v>
      </c>
      <c r="F192" s="10">
        <v>0.8837934865</v>
      </c>
      <c r="G192" s="10">
        <v>0.9475700184</v>
      </c>
      <c r="H192" s="10">
        <v>0.9146928244</v>
      </c>
      <c r="I192" s="10">
        <v>0.9249049496</v>
      </c>
      <c r="J192" s="10">
        <v>0.9295688369</v>
      </c>
      <c r="K192" s="10">
        <v>0.9341051485</v>
      </c>
      <c r="L192" s="10">
        <v>0.8547374862</v>
      </c>
      <c r="M192" s="10">
        <v>0.9341008092</v>
      </c>
      <c r="O192" s="7">
        <f>IFERROR(__xludf.DUMMYFUNCTION("""COMPUTED_VALUE"""),0.02090099260171139)</f>
        <v>0.0209009926</v>
      </c>
      <c r="P192" s="7">
        <f>IFERROR(__xludf.DUMMYFUNCTION("""COMPUTED_VALUE"""),0.2621622715)</f>
        <v>0.2621622715</v>
      </c>
      <c r="Q192" s="7">
        <f>IFERROR(__xludf.DUMMYFUNCTION("""COMPUTED_VALUE"""),0.7677053824)</f>
        <v>0.7677053824</v>
      </c>
    </row>
    <row r="193">
      <c r="A193" s="10" t="s">
        <v>29</v>
      </c>
      <c r="B193" s="10">
        <v>0.3468797388</v>
      </c>
      <c r="C193" s="10">
        <v>0.2156018137</v>
      </c>
      <c r="D193" s="10">
        <v>0.457453094</v>
      </c>
      <c r="E193" s="10">
        <v>0.1549235471</v>
      </c>
      <c r="F193" s="10">
        <v>0.0</v>
      </c>
      <c r="G193" s="10">
        <v>0.5745779351</v>
      </c>
      <c r="H193" s="10">
        <v>0.4296563607</v>
      </c>
      <c r="I193" s="10">
        <v>0.4130203252</v>
      </c>
      <c r="J193" s="10">
        <v>0.5636541635</v>
      </c>
      <c r="K193" s="10">
        <v>0.6667890785</v>
      </c>
      <c r="L193" s="10">
        <v>0.6834849965</v>
      </c>
      <c r="M193" s="10">
        <v>0.7785869862</v>
      </c>
      <c r="O193" s="7">
        <f>IFERROR(__xludf.DUMMYFUNCTION("""COMPUTED_VALUE"""),0.01791808451650983)</f>
        <v>0.01791808452</v>
      </c>
      <c r="P193" s="7">
        <f>IFERROR(__xludf.DUMMYFUNCTION("""COMPUTED_VALUE"""),0.397806704)</f>
        <v>0.397806704</v>
      </c>
      <c r="Q193" s="7">
        <f>IFERROR(__xludf.DUMMYFUNCTION("""COMPUTED_VALUE"""),0.8413597734)</f>
        <v>0.8413597734</v>
      </c>
    </row>
    <row r="194">
      <c r="A194" s="10" t="s">
        <v>30</v>
      </c>
      <c r="B194" s="10">
        <v>0.0</v>
      </c>
      <c r="C194" s="10">
        <v>0.2342773236</v>
      </c>
      <c r="D194" s="10">
        <v>0.09971888233</v>
      </c>
      <c r="E194" s="10">
        <v>0.0</v>
      </c>
      <c r="F194" s="10">
        <v>1.0</v>
      </c>
      <c r="G194" s="10">
        <v>0.0</v>
      </c>
      <c r="H194" s="10">
        <v>0.0</v>
      </c>
      <c r="I194" s="10">
        <v>0.0</v>
      </c>
      <c r="J194" s="10">
        <v>0.1495601635</v>
      </c>
      <c r="K194" s="10">
        <v>0.0</v>
      </c>
      <c r="L194" s="10">
        <v>0.7262506035</v>
      </c>
      <c r="M194" s="10">
        <v>1.0</v>
      </c>
      <c r="O194" s="7">
        <f>IFERROR(__xludf.DUMMYFUNCTION("""COMPUTED_VALUE"""),-0.008573918248539971)</f>
        <v>-0.008573918249</v>
      </c>
      <c r="P194" s="7">
        <f>IFERROR(__xludf.DUMMYFUNCTION("""COMPUTED_VALUE"""),1.0)</f>
        <v>1</v>
      </c>
      <c r="Q194" s="7">
        <f>IFERROR(__xludf.DUMMYFUNCTION("""COMPUTED_VALUE"""),0.7082152975)</f>
        <v>0.7082152975</v>
      </c>
    </row>
    <row r="195">
      <c r="A195" s="10" t="s">
        <v>31</v>
      </c>
      <c r="B195" s="10">
        <v>0.5673443102</v>
      </c>
      <c r="C195" s="10">
        <v>0.7057048523</v>
      </c>
      <c r="D195" s="10">
        <v>0.6771357223</v>
      </c>
      <c r="E195" s="10">
        <v>0.8286582507</v>
      </c>
      <c r="F195" s="10">
        <v>0.7449582242</v>
      </c>
      <c r="G195" s="10">
        <v>0.9121421797</v>
      </c>
      <c r="H195" s="10">
        <v>0.6406013603</v>
      </c>
      <c r="I195" s="10">
        <v>0.6303727456</v>
      </c>
      <c r="J195" s="10">
        <v>0.7036193813</v>
      </c>
      <c r="K195" s="10">
        <v>0.7435297243</v>
      </c>
      <c r="L195" s="10">
        <v>0.7274300272</v>
      </c>
      <c r="M195" s="10">
        <v>0.8175426816</v>
      </c>
      <c r="O195" s="7">
        <f>IFERROR(__xludf.DUMMYFUNCTION("""COMPUTED_VALUE"""),0.03567624769425169)</f>
        <v>0.03567624769</v>
      </c>
      <c r="P195" s="7">
        <f>IFERROR(__xludf.DUMMYFUNCTION("""COMPUTED_VALUE"""),1.0)</f>
        <v>1</v>
      </c>
      <c r="Q195" s="7">
        <f>IFERROR(__xludf.DUMMYFUNCTION("""COMPUTED_VALUE"""),0.6798866856)</f>
        <v>0.6798866856</v>
      </c>
    </row>
    <row r="196">
      <c r="O196" s="7">
        <f>IFERROR(__xludf.DUMMYFUNCTION("""COMPUTED_VALUE"""),0.007840333570203325)</f>
        <v>0.00784033357</v>
      </c>
      <c r="P196" s="7">
        <f>IFERROR(__xludf.DUMMYFUNCTION("""COMPUTED_VALUE"""),1.0)</f>
        <v>1</v>
      </c>
      <c r="Q196" s="7">
        <f>IFERROR(__xludf.DUMMYFUNCTION("""COMPUTED_VALUE"""),0.597733711)</f>
        <v>0.597733711</v>
      </c>
    </row>
    <row r="197">
      <c r="O197" s="7">
        <f>IFERROR(__xludf.DUMMYFUNCTION("""COMPUTED_VALUE"""),0.01081581839470476)</f>
        <v>0.01081581839</v>
      </c>
      <c r="P197" s="7">
        <f>IFERROR(__xludf.DUMMYFUNCTION("""COMPUTED_VALUE"""),0.6816132731)</f>
        <v>0.6816132731</v>
      </c>
      <c r="Q197" s="7">
        <f>IFERROR(__xludf.DUMMYFUNCTION("""COMPUTED_VALUE"""),0.7138810198)</f>
        <v>0.7138810198</v>
      </c>
    </row>
    <row r="198">
      <c r="O198" s="7">
        <f>IFERROR(__xludf.DUMMYFUNCTION("""COMPUTED_VALUE"""),0.03931023176530601)</f>
        <v>0.03931023177</v>
      </c>
      <c r="P198" s="7">
        <f>IFERROR(__xludf.DUMMYFUNCTION("""COMPUTED_VALUE"""),0.7726364066)</f>
        <v>0.7726364066</v>
      </c>
      <c r="Q198" s="7">
        <f>IFERROR(__xludf.DUMMYFUNCTION("""COMPUTED_VALUE"""),0.7592067989)</f>
        <v>0.7592067989</v>
      </c>
    </row>
    <row r="199">
      <c r="A199" s="9" t="s">
        <v>84</v>
      </c>
      <c r="B199" s="10" t="s">
        <v>85</v>
      </c>
      <c r="C199" s="10" t="s">
        <v>86</v>
      </c>
      <c r="D199" s="10" t="s">
        <v>87</v>
      </c>
      <c r="E199" s="10" t="s">
        <v>88</v>
      </c>
      <c r="F199" s="10" t="s">
        <v>89</v>
      </c>
      <c r="G199" s="10" t="s">
        <v>90</v>
      </c>
      <c r="H199" s="10" t="s">
        <v>91</v>
      </c>
      <c r="I199" s="10" t="s">
        <v>92</v>
      </c>
      <c r="J199" s="10" t="s">
        <v>93</v>
      </c>
      <c r="K199" s="10" t="s">
        <v>94</v>
      </c>
      <c r="L199" s="10" t="s">
        <v>95</v>
      </c>
      <c r="M199" s="10" t="s">
        <v>96</v>
      </c>
      <c r="O199" s="7">
        <f>IFERROR(__xludf.DUMMYFUNCTION("""COMPUTED_VALUE"""),-0.02454486913950217)</f>
        <v>-0.02454486914</v>
      </c>
      <c r="P199" s="7">
        <f>IFERROR(__xludf.DUMMYFUNCTION("""COMPUTED_VALUE"""),1.0)</f>
        <v>1</v>
      </c>
      <c r="Q199" s="7">
        <f>IFERROR(__xludf.DUMMYFUNCTION("""COMPUTED_VALUE"""),0.6458923513)</f>
        <v>0.6458923513</v>
      </c>
    </row>
    <row r="200">
      <c r="A200" s="10" t="s">
        <v>3</v>
      </c>
      <c r="B200" s="10">
        <v>0.06526535115</v>
      </c>
      <c r="C200" s="10">
        <v>0.0</v>
      </c>
      <c r="D200" s="10">
        <v>0.2699472975</v>
      </c>
      <c r="E200" s="10">
        <v>0.0</v>
      </c>
      <c r="F200" s="10">
        <v>0.0</v>
      </c>
      <c r="G200" s="10">
        <v>0.5457163868</v>
      </c>
      <c r="H200" s="10">
        <v>0.1939575928</v>
      </c>
      <c r="I200" s="10">
        <v>0.2773011398</v>
      </c>
      <c r="J200" s="10">
        <v>0.05055766638</v>
      </c>
      <c r="K200" s="10">
        <v>0.1878293909</v>
      </c>
      <c r="L200" s="10">
        <v>0.0</v>
      </c>
      <c r="M200" s="10">
        <v>0.0861012379</v>
      </c>
      <c r="O200" s="7">
        <f>IFERROR(__xludf.DUMMYFUNCTION("""COMPUTED_VALUE"""),-0.02485508159972409)</f>
        <v>-0.0248550816</v>
      </c>
      <c r="P200" s="7">
        <f>IFERROR(__xludf.DUMMYFUNCTION("""COMPUTED_VALUE"""),1.0)</f>
        <v>1</v>
      </c>
      <c r="Q200" s="7">
        <f>IFERROR(__xludf.DUMMYFUNCTION("""COMPUTED_VALUE"""),0.6798866856)</f>
        <v>0.6798866856</v>
      </c>
    </row>
    <row r="201">
      <c r="A201" s="10" t="s">
        <v>4</v>
      </c>
      <c r="B201" s="10">
        <v>0.2625934551</v>
      </c>
      <c r="C201" s="10">
        <v>0.1302242922</v>
      </c>
      <c r="D201" s="10">
        <v>0.1314499326</v>
      </c>
      <c r="E201" s="10">
        <v>0.0</v>
      </c>
      <c r="F201" s="10">
        <v>0.0</v>
      </c>
      <c r="G201" s="10">
        <v>0.1032602035</v>
      </c>
      <c r="H201" s="10">
        <v>0.1608653021</v>
      </c>
      <c r="I201" s="10">
        <v>0.2895575438</v>
      </c>
      <c r="J201" s="10">
        <v>0.2368550067</v>
      </c>
      <c r="K201" s="10">
        <v>0.3569677657</v>
      </c>
      <c r="L201" s="10">
        <v>0.4023164604</v>
      </c>
      <c r="M201" s="10">
        <v>0.567777914</v>
      </c>
      <c r="O201" s="7">
        <f>IFERROR(__xludf.DUMMYFUNCTION("""COMPUTED_VALUE"""),0.02802177002910561)</f>
        <v>0.02802177003</v>
      </c>
      <c r="P201" s="7">
        <f>IFERROR(__xludf.DUMMYFUNCTION("""COMPUTED_VALUE"""),1.0)</f>
        <v>1</v>
      </c>
      <c r="Q201" s="7">
        <f>IFERROR(__xludf.DUMMYFUNCTION("""COMPUTED_VALUE"""),0.5779036827)</f>
        <v>0.5779036827</v>
      </c>
    </row>
    <row r="202">
      <c r="A202" s="10" t="s">
        <v>5</v>
      </c>
      <c r="B202" s="10">
        <v>0.7442701311</v>
      </c>
      <c r="C202" s="10">
        <v>0.7209829636</v>
      </c>
      <c r="D202" s="10">
        <v>0.7025983576</v>
      </c>
      <c r="E202" s="10">
        <v>0.6572496629</v>
      </c>
      <c r="F202" s="10">
        <v>0.6682804265</v>
      </c>
      <c r="G202" s="10">
        <v>0.8668341709</v>
      </c>
      <c r="H202" s="10">
        <v>0.6364137762</v>
      </c>
      <c r="I202" s="10">
        <v>0.7295624464</v>
      </c>
      <c r="J202" s="10">
        <v>0.7540752543</v>
      </c>
      <c r="K202" s="10">
        <v>0.7589778159</v>
      </c>
      <c r="L202" s="10">
        <v>0.6168035298</v>
      </c>
      <c r="M202" s="10">
        <v>0.799423949</v>
      </c>
      <c r="O202" s="7">
        <f>IFERROR(__xludf.DUMMYFUNCTION("""COMPUTED_VALUE"""),0.03827236196287698)</f>
        <v>0.03827236196</v>
      </c>
      <c r="P202" s="7">
        <f>IFERROR(__xludf.DUMMYFUNCTION("""COMPUTED_VALUE"""),1.0)</f>
        <v>1</v>
      </c>
      <c r="Q202" s="7">
        <f>IFERROR(__xludf.DUMMYFUNCTION("""COMPUTED_VALUE"""),0.6203966006)</f>
        <v>0.6203966006</v>
      </c>
    </row>
    <row r="203">
      <c r="A203" s="10" t="s">
        <v>6</v>
      </c>
      <c r="B203" s="10">
        <v>0.7798137027</v>
      </c>
      <c r="C203" s="10">
        <v>0.7822649835</v>
      </c>
      <c r="D203" s="10">
        <v>0.7712342199</v>
      </c>
      <c r="E203" s="10">
        <v>0.5861625199</v>
      </c>
      <c r="F203" s="10">
        <v>0.7614290967</v>
      </c>
      <c r="G203" s="10">
        <v>0.9085059444</v>
      </c>
      <c r="H203" s="10">
        <v>0.7503983331</v>
      </c>
      <c r="I203" s="10">
        <v>0.7651060179</v>
      </c>
      <c r="J203" s="10">
        <v>0.7479470523</v>
      </c>
      <c r="K203" s="10">
        <v>0.7209829636</v>
      </c>
      <c r="L203" s="10">
        <v>0.716080402</v>
      </c>
      <c r="M203" s="10">
        <v>0.8165829146</v>
      </c>
      <c r="O203" s="7">
        <f>IFERROR(__xludf.DUMMYFUNCTION("""COMPUTED_VALUE"""),0.001833296861122466)</f>
        <v>0.001833296861</v>
      </c>
      <c r="P203" s="7">
        <f>IFERROR(__xludf.DUMMYFUNCTION("""COMPUTED_VALUE"""),0.9705456262)</f>
        <v>0.9705456262</v>
      </c>
      <c r="Q203" s="7">
        <f>IFERROR(__xludf.DUMMYFUNCTION("""COMPUTED_VALUE"""),0.6373937677)</f>
        <v>0.6373937677</v>
      </c>
    </row>
    <row r="204">
      <c r="A204" s="10" t="s">
        <v>7</v>
      </c>
      <c r="B204" s="10">
        <v>0.09590636107</v>
      </c>
      <c r="C204" s="10">
        <v>0.07507047432</v>
      </c>
      <c r="D204" s="10">
        <v>0.06771663194</v>
      </c>
      <c r="E204" s="10">
        <v>0.0</v>
      </c>
      <c r="F204" s="10">
        <v>0.0</v>
      </c>
      <c r="G204" s="10">
        <v>0.4550189974</v>
      </c>
      <c r="H204" s="10">
        <v>0.0</v>
      </c>
      <c r="I204" s="10">
        <v>0.144931977</v>
      </c>
      <c r="J204" s="10">
        <v>0.2834293418</v>
      </c>
      <c r="K204" s="10">
        <v>0.4501164358</v>
      </c>
      <c r="L204" s="10">
        <v>0.6057727663</v>
      </c>
      <c r="M204" s="10">
        <v>0.8214854762</v>
      </c>
      <c r="O204" s="7">
        <f>IFERROR(__xludf.DUMMYFUNCTION("""COMPUTED_VALUE"""),0.05653350621109909)</f>
        <v>0.05653350621</v>
      </c>
      <c r="P204" s="7">
        <f>IFERROR(__xludf.DUMMYFUNCTION("""COMPUTED_VALUE"""),0.6687178795)</f>
        <v>0.6687178795</v>
      </c>
      <c r="Q204" s="7">
        <f>IFERROR(__xludf.DUMMYFUNCTION("""COMPUTED_VALUE"""),0.7082152975)</f>
        <v>0.7082152975</v>
      </c>
    </row>
    <row r="205">
      <c r="A205" s="10" t="s">
        <v>8</v>
      </c>
      <c r="B205" s="10">
        <v>0.0</v>
      </c>
      <c r="C205" s="10">
        <v>0.1817011889</v>
      </c>
      <c r="D205" s="10">
        <v>0.5800343179</v>
      </c>
      <c r="E205" s="10">
        <v>0.6633778649</v>
      </c>
      <c r="F205" s="10">
        <v>0.8080034318</v>
      </c>
      <c r="G205" s="10">
        <v>0.901152102</v>
      </c>
      <c r="H205" s="10">
        <v>0.8435470033</v>
      </c>
      <c r="I205" s="10">
        <v>0.6646035053</v>
      </c>
      <c r="J205" s="10">
        <v>0.5788086775</v>
      </c>
      <c r="K205" s="10">
        <v>0.5849368795</v>
      </c>
      <c r="L205" s="10">
        <v>0.6094496875</v>
      </c>
      <c r="M205" s="10">
        <v>0.901152102</v>
      </c>
      <c r="O205" s="7">
        <f>IFERROR(__xludf.DUMMYFUNCTION("""COMPUTED_VALUE"""),0.047620216149176)</f>
        <v>0.04762021615</v>
      </c>
      <c r="P205" s="7">
        <f>IFERROR(__xludf.DUMMYFUNCTION("""COMPUTED_VALUE"""),0.4982181156)</f>
        <v>0.4982181156</v>
      </c>
      <c r="Q205" s="7">
        <f>IFERROR(__xludf.DUMMYFUNCTION("""COMPUTED_VALUE"""),0.9348441926)</f>
        <v>0.9348441926</v>
      </c>
    </row>
    <row r="206">
      <c r="A206" s="10" t="s">
        <v>9</v>
      </c>
      <c r="B206" s="10">
        <v>0.3618703272</v>
      </c>
      <c r="C206" s="10">
        <v>0.4954651305</v>
      </c>
      <c r="D206" s="10">
        <v>0.6989214365</v>
      </c>
      <c r="E206" s="10">
        <v>0.6290599338</v>
      </c>
      <c r="F206" s="10">
        <v>0.7271111656</v>
      </c>
      <c r="G206" s="10">
        <v>0.7356906484</v>
      </c>
      <c r="H206" s="10">
        <v>0.870511092</v>
      </c>
      <c r="I206" s="10">
        <v>0.8398700821</v>
      </c>
      <c r="J206" s="10">
        <v>0.8937982596</v>
      </c>
      <c r="K206" s="10">
        <v>0.8950239</v>
      </c>
      <c r="L206" s="10">
        <v>0.8717367324</v>
      </c>
      <c r="M206" s="10">
        <v>0.8937982596</v>
      </c>
      <c r="O206" s="7">
        <f>IFERROR(__xludf.DUMMYFUNCTION("""COMPUTED_VALUE"""),-2.763520955830975E-4)</f>
        <v>-0.0002763520956</v>
      </c>
      <c r="P206" s="7">
        <f>IFERROR(__xludf.DUMMYFUNCTION("""COMPUTED_VALUE"""),0.09840696028)</f>
        <v>0.09840696028</v>
      </c>
      <c r="Q206" s="7">
        <f>IFERROR(__xludf.DUMMYFUNCTION("""COMPUTED_VALUE"""),0.7365439093)</f>
        <v>0.7365439093</v>
      </c>
    </row>
    <row r="207">
      <c r="A207" s="10" t="s">
        <v>10</v>
      </c>
      <c r="B207" s="10">
        <v>0.620480451</v>
      </c>
      <c r="C207" s="10">
        <v>0.6057727663</v>
      </c>
      <c r="D207" s="10">
        <v>0.716080402</v>
      </c>
      <c r="E207" s="10">
        <v>0.620480451</v>
      </c>
      <c r="F207" s="10">
        <v>0.638865057</v>
      </c>
      <c r="G207" s="10">
        <v>0.8668341709</v>
      </c>
      <c r="H207" s="10">
        <v>0.7736855007</v>
      </c>
      <c r="I207" s="10">
        <v>0.7467214119</v>
      </c>
      <c r="J207" s="10">
        <v>0.7516239735</v>
      </c>
      <c r="K207" s="10">
        <v>0.620480451</v>
      </c>
      <c r="L207" s="10">
        <v>0.6400906974</v>
      </c>
      <c r="M207" s="10">
        <v>0.6731829881</v>
      </c>
      <c r="O207" s="7">
        <f>IFERROR(__xludf.DUMMYFUNCTION("""COMPUTED_VALUE"""),0.05937503200050073)</f>
        <v>0.059375032</v>
      </c>
      <c r="P207" s="7">
        <f>IFERROR(__xludf.DUMMYFUNCTION("""COMPUTED_VALUE"""),0.1044499899)</f>
        <v>0.1044499899</v>
      </c>
      <c r="Q207" s="7">
        <f>IFERROR(__xludf.DUMMYFUNCTION("""COMPUTED_VALUE"""),0.7053824363)</f>
        <v>0.7053824363</v>
      </c>
    </row>
    <row r="208">
      <c r="A208" s="10" t="s">
        <v>11</v>
      </c>
      <c r="B208" s="10">
        <v>0.5015933325</v>
      </c>
      <c r="C208" s="10">
        <v>0.5506189484</v>
      </c>
      <c r="D208" s="10">
        <v>0.3912856968</v>
      </c>
      <c r="E208" s="10">
        <v>0.2907831842</v>
      </c>
      <c r="F208" s="10">
        <v>0.2380806471</v>
      </c>
      <c r="G208" s="10">
        <v>0.567777914</v>
      </c>
      <c r="H208" s="10">
        <v>0.2920088246</v>
      </c>
      <c r="I208" s="10">
        <v>0.3226498345</v>
      </c>
      <c r="J208" s="10">
        <v>0.4194754259</v>
      </c>
      <c r="K208" s="10">
        <v>0.5212035789</v>
      </c>
      <c r="L208" s="10">
        <v>0.4243779875</v>
      </c>
      <c r="M208" s="10">
        <v>0.537136904</v>
      </c>
      <c r="O208" s="7">
        <f>IFERROR(__xludf.DUMMYFUNCTION("""COMPUTED_VALUE"""),0.02579957556482034)</f>
        <v>0.02579957556</v>
      </c>
      <c r="P208" s="7">
        <f>IFERROR(__xludf.DUMMYFUNCTION("""COMPUTED_VALUE"""),0.08507992176)</f>
        <v>0.08507992176</v>
      </c>
      <c r="Q208" s="7">
        <f>IFERROR(__xludf.DUMMYFUNCTION("""COMPUTED_VALUE"""),0.6968838527)</f>
        <v>0.6968838527</v>
      </c>
    </row>
    <row r="209">
      <c r="A209" s="10" t="s">
        <v>12</v>
      </c>
      <c r="B209" s="10">
        <v>0.0419781836</v>
      </c>
      <c r="C209" s="10">
        <v>0.01746537566</v>
      </c>
      <c r="D209" s="10">
        <v>0.0</v>
      </c>
      <c r="E209" s="10">
        <v>0.0</v>
      </c>
      <c r="F209" s="10">
        <v>0.0</v>
      </c>
      <c r="G209" s="10">
        <v>0.0</v>
      </c>
      <c r="H209" s="10">
        <v>0.0</v>
      </c>
      <c r="I209" s="10">
        <v>0.07752175512</v>
      </c>
      <c r="J209" s="10">
        <v>0.3459370021</v>
      </c>
      <c r="K209" s="10">
        <v>0.3569677657</v>
      </c>
      <c r="L209" s="10">
        <v>0.3483882829</v>
      </c>
      <c r="M209" s="10">
        <v>0.5248805001</v>
      </c>
      <c r="O209" s="7">
        <f>IFERROR(__xludf.DUMMYFUNCTION("""COMPUTED_VALUE"""),0.02461543398659095)</f>
        <v>0.02461543399</v>
      </c>
      <c r="P209" s="7">
        <f>IFERROR(__xludf.DUMMYFUNCTION("""COMPUTED_VALUE"""),0.07315572941)</f>
        <v>0.07315572941</v>
      </c>
      <c r="Q209" s="7">
        <f>IFERROR(__xludf.DUMMYFUNCTION("""COMPUTED_VALUE"""),0.6912181303)</f>
        <v>0.6912181303</v>
      </c>
    </row>
    <row r="210">
      <c r="A210" s="10" t="s">
        <v>13</v>
      </c>
      <c r="B210" s="10">
        <v>0.4415369531</v>
      </c>
      <c r="C210" s="10">
        <v>0.4819830862</v>
      </c>
      <c r="D210" s="10">
        <v>0.4525677166</v>
      </c>
      <c r="E210" s="10">
        <v>0.4207010663</v>
      </c>
      <c r="F210" s="10">
        <v>0.5199779385</v>
      </c>
      <c r="G210" s="10">
        <v>0.7687829391</v>
      </c>
      <c r="H210" s="10">
        <v>0.6351881358</v>
      </c>
      <c r="I210" s="10">
        <v>0.7197573232</v>
      </c>
      <c r="J210" s="10">
        <v>0.7479470523</v>
      </c>
      <c r="K210" s="10">
        <v>0.7883931854</v>
      </c>
      <c r="L210" s="10">
        <v>0.6646035053</v>
      </c>
      <c r="M210" s="10">
        <v>0.716080402</v>
      </c>
      <c r="O210" s="7">
        <f>IFERROR(__xludf.DUMMYFUNCTION("""COMPUTED_VALUE"""),0.02920858181815071)</f>
        <v>0.02920858182</v>
      </c>
      <c r="P210" s="7">
        <f>IFERROR(__xludf.DUMMYFUNCTION("""COMPUTED_VALUE"""),0.06889323531)</f>
        <v>0.06889323531</v>
      </c>
      <c r="Q210" s="7">
        <f>IFERROR(__xludf.DUMMYFUNCTION("""COMPUTED_VALUE"""),0.6968838527)</f>
        <v>0.6968838527</v>
      </c>
    </row>
    <row r="211">
      <c r="A211" s="10" t="s">
        <v>14</v>
      </c>
      <c r="B211" s="10">
        <v>0.5837112391</v>
      </c>
      <c r="C211" s="10">
        <v>0.5775830371</v>
      </c>
      <c r="D211" s="10">
        <v>0.5788086775</v>
      </c>
      <c r="E211" s="10">
        <v>0.2662703763</v>
      </c>
      <c r="F211" s="10">
        <v>0.364321608</v>
      </c>
      <c r="G211" s="10">
        <v>0.7062752788</v>
      </c>
      <c r="H211" s="10">
        <v>0.5947420027</v>
      </c>
      <c r="I211" s="10">
        <v>0.6437676186</v>
      </c>
      <c r="J211" s="10">
        <v>0.6547983822</v>
      </c>
      <c r="K211" s="10">
        <v>0.5261061405</v>
      </c>
      <c r="L211" s="10">
        <v>0.4893369285</v>
      </c>
      <c r="M211" s="10">
        <v>0.6143522491</v>
      </c>
      <c r="O211" s="7">
        <f>IFERROR(__xludf.DUMMYFUNCTION("""COMPUTED_VALUE"""),-0.03518132992559957)</f>
        <v>-0.03518132993</v>
      </c>
      <c r="P211" s="7">
        <f>IFERROR(__xludf.DUMMYFUNCTION("""COMPUTED_VALUE"""),0.05189721454)</f>
        <v>0.05189721454</v>
      </c>
      <c r="Q211" s="7">
        <f>IFERROR(__xludf.DUMMYFUNCTION("""COMPUTED_VALUE"""),0.7110481586)</f>
        <v>0.7110481586</v>
      </c>
    </row>
    <row r="212">
      <c r="A212" s="10" t="s">
        <v>15</v>
      </c>
      <c r="B212" s="10">
        <v>0.2380806471</v>
      </c>
      <c r="C212" s="10">
        <v>0.1473832578</v>
      </c>
      <c r="D212" s="10">
        <v>0.2491114107</v>
      </c>
      <c r="E212" s="10">
        <v>0.4488907954</v>
      </c>
      <c r="F212" s="10">
        <v>0.4035421007</v>
      </c>
      <c r="G212" s="10">
        <v>0.5481676676</v>
      </c>
      <c r="H212" s="10">
        <v>0.1510601789</v>
      </c>
      <c r="I212" s="10">
        <v>0.191506312</v>
      </c>
      <c r="J212" s="10">
        <v>0.09713200147</v>
      </c>
      <c r="K212" s="10">
        <v>0.2466601299</v>
      </c>
      <c r="L212" s="10">
        <v>0.2491114107</v>
      </c>
      <c r="M212" s="10">
        <v>0.09835764187</v>
      </c>
      <c r="O212" s="7">
        <f>IFERROR(__xludf.DUMMYFUNCTION("""COMPUTED_VALUE"""),0.001327955523393945)</f>
        <v>0.001327955523</v>
      </c>
      <c r="P212" s="7">
        <f>IFERROR(__xludf.DUMMYFUNCTION("""COMPUTED_VALUE"""),0.06355162879)</f>
        <v>0.06355162879</v>
      </c>
      <c r="Q212" s="7">
        <f>IFERROR(__xludf.DUMMYFUNCTION("""COMPUTED_VALUE"""),0.6203966006)</f>
        <v>0.6203966006</v>
      </c>
    </row>
    <row r="213">
      <c r="A213" s="10" t="s">
        <v>16</v>
      </c>
      <c r="B213" s="10">
        <v>0.2674960167</v>
      </c>
      <c r="C213" s="10">
        <v>0.299362667</v>
      </c>
      <c r="D213" s="10">
        <v>0.07139355313</v>
      </c>
      <c r="E213" s="10">
        <v>0.0</v>
      </c>
      <c r="F213" s="10">
        <v>0.0</v>
      </c>
      <c r="G213" s="10">
        <v>0.1645422233</v>
      </c>
      <c r="H213" s="10">
        <v>0.02849613923</v>
      </c>
      <c r="I213" s="10">
        <v>0.09835764187</v>
      </c>
      <c r="J213" s="10">
        <v>0.191506312</v>
      </c>
      <c r="K213" s="10">
        <v>0.3226498345</v>
      </c>
      <c r="L213" s="10">
        <v>0.1400294154</v>
      </c>
      <c r="M213" s="10">
        <v>0.459921559</v>
      </c>
      <c r="O213" s="7">
        <f>IFERROR(__xludf.DUMMYFUNCTION("""COMPUTED_VALUE"""),0.004457556224978909)</f>
        <v>0.004457556225</v>
      </c>
      <c r="P213" s="7">
        <f>IFERROR(__xludf.DUMMYFUNCTION("""COMPUTED_VALUE"""),0.04617791866)</f>
        <v>0.04617791866</v>
      </c>
      <c r="Q213" s="7">
        <f>IFERROR(__xludf.DUMMYFUNCTION("""COMPUTED_VALUE"""),0.716713881)</f>
        <v>0.716713881</v>
      </c>
    </row>
    <row r="214">
      <c r="A214" s="10" t="s">
        <v>17</v>
      </c>
      <c r="B214" s="10">
        <v>0.8423213629</v>
      </c>
      <c r="C214" s="10">
        <v>0.7847162642</v>
      </c>
      <c r="D214" s="10">
        <v>0.8692854516</v>
      </c>
      <c r="E214" s="10">
        <v>0.8778649344</v>
      </c>
      <c r="F214" s="10">
        <v>0.8925726192</v>
      </c>
      <c r="G214" s="10">
        <v>0.9771418066</v>
      </c>
      <c r="H214" s="10">
        <v>0.8962495404</v>
      </c>
      <c r="I214" s="10">
        <v>0.8839931364</v>
      </c>
      <c r="J214" s="10">
        <v>0.907280304</v>
      </c>
      <c r="K214" s="10">
        <v>0.9354700331</v>
      </c>
      <c r="L214" s="10">
        <v>0.8594803285</v>
      </c>
      <c r="M214" s="10">
        <v>0.9023777424</v>
      </c>
      <c r="O214" s="7">
        <f>IFERROR(__xludf.DUMMYFUNCTION("""COMPUTED_VALUE"""),0.02429323569216925)</f>
        <v>0.02429323569</v>
      </c>
      <c r="P214" s="7">
        <f>IFERROR(__xludf.DUMMYFUNCTION("""COMPUTED_VALUE"""),0.05880353409)</f>
        <v>0.05880353409</v>
      </c>
      <c r="Q214" s="7">
        <f>IFERROR(__xludf.DUMMYFUNCTION("""COMPUTED_VALUE"""),0.6430594901)</f>
        <v>0.6430594901</v>
      </c>
    </row>
    <row r="215">
      <c r="A215" s="10" t="s">
        <v>18</v>
      </c>
      <c r="B215" s="10">
        <v>0.8435470033</v>
      </c>
      <c r="C215" s="10">
        <v>0.882767496</v>
      </c>
      <c r="D215" s="10">
        <v>0.9428238755</v>
      </c>
      <c r="E215" s="10">
        <v>0.9514033583</v>
      </c>
      <c r="F215" s="10">
        <v>0.9268905503</v>
      </c>
      <c r="G215" s="10">
        <v>1.0</v>
      </c>
      <c r="H215" s="10">
        <v>0.9869469298</v>
      </c>
      <c r="I215" s="10">
        <v>0.966111043</v>
      </c>
      <c r="J215" s="10">
        <v>0.9710136046</v>
      </c>
      <c r="K215" s="10">
        <v>0.9673366834</v>
      </c>
      <c r="L215" s="10">
        <v>0.9526289987</v>
      </c>
      <c r="M215" s="10">
        <v>0.9771418066</v>
      </c>
      <c r="O215" s="7">
        <f>IFERROR(__xludf.DUMMYFUNCTION("""COMPUTED_VALUE"""),-0.006071640638490561)</f>
        <v>-0.006071640638</v>
      </c>
      <c r="P215" s="7">
        <f>IFERROR(__xludf.DUMMYFUNCTION("""COMPUTED_VALUE"""),0.05934309031)</f>
        <v>0.05934309031</v>
      </c>
      <c r="Q215" s="7">
        <f>IFERROR(__xludf.DUMMYFUNCTION("""COMPUTED_VALUE"""),0.6742209632)</f>
        <v>0.6742209632</v>
      </c>
    </row>
    <row r="216">
      <c r="A216" s="10" t="s">
        <v>19</v>
      </c>
      <c r="B216" s="10">
        <v>0.7822649835</v>
      </c>
      <c r="C216" s="10">
        <v>0.7295624464</v>
      </c>
      <c r="D216" s="10">
        <v>0.811680353</v>
      </c>
      <c r="E216" s="10">
        <v>0.7565265351</v>
      </c>
      <c r="F216" s="10">
        <v>0.7124034808</v>
      </c>
      <c r="G216" s="10">
        <v>0.8631572497</v>
      </c>
      <c r="H216" s="10">
        <v>0.7859419046</v>
      </c>
      <c r="I216" s="10">
        <v>0.6621522245</v>
      </c>
      <c r="J216" s="10">
        <v>0.7454957715</v>
      </c>
      <c r="K216" s="10">
        <v>0.8337418801</v>
      </c>
      <c r="L216" s="10">
        <v>0.8031008702</v>
      </c>
      <c r="M216" s="10">
        <v>0.9085059444</v>
      </c>
      <c r="O216" s="7">
        <f>IFERROR(__xludf.DUMMYFUNCTION("""COMPUTED_VALUE"""),0.02320402969956155)</f>
        <v>0.0232040297</v>
      </c>
      <c r="P216" s="7">
        <f>IFERROR(__xludf.DUMMYFUNCTION("""COMPUTED_VALUE"""),0.05400148378)</f>
        <v>0.05400148378</v>
      </c>
      <c r="Q216" s="7">
        <f>IFERROR(__xludf.DUMMYFUNCTION("""COMPUTED_VALUE"""),0.7620396601)</f>
        <v>0.7620396601</v>
      </c>
    </row>
    <row r="217">
      <c r="A217" s="10" t="s">
        <v>20</v>
      </c>
      <c r="B217" s="10">
        <v>0.8472239245</v>
      </c>
      <c r="C217" s="10">
        <v>0.8496752053</v>
      </c>
      <c r="D217" s="10">
        <v>0.9550802794</v>
      </c>
      <c r="E217" s="10">
        <v>0.9514033583</v>
      </c>
      <c r="F217" s="10">
        <v>0.9587572006</v>
      </c>
      <c r="G217" s="10">
        <v>0.9795930874</v>
      </c>
      <c r="H217" s="10">
        <v>0.9085059444</v>
      </c>
      <c r="I217" s="10">
        <v>0.8778649344</v>
      </c>
      <c r="J217" s="10">
        <v>0.8680598113</v>
      </c>
      <c r="K217" s="10">
        <v>0.8950239</v>
      </c>
      <c r="L217" s="10">
        <v>0.8876700576</v>
      </c>
      <c r="M217" s="10">
        <v>0.9195367079</v>
      </c>
      <c r="O217" s="7">
        <f>IFERROR(__xludf.DUMMYFUNCTION("""COMPUTED_VALUE"""),-0.007700739211578968)</f>
        <v>-0.007700739212</v>
      </c>
      <c r="P217" s="7">
        <f>IFERROR(__xludf.DUMMYFUNCTION("""COMPUTED_VALUE"""),0.06328185068)</f>
        <v>0.06328185068</v>
      </c>
      <c r="Q217" s="7">
        <f>IFERROR(__xludf.DUMMYFUNCTION("""COMPUTED_VALUE"""),0.8583569405)</f>
        <v>0.8583569405</v>
      </c>
    </row>
    <row r="218">
      <c r="A218" s="10" t="s">
        <v>21</v>
      </c>
      <c r="B218" s="10">
        <v>0.3496139233</v>
      </c>
      <c r="C218" s="10">
        <v>0.3839318544</v>
      </c>
      <c r="D218" s="10">
        <v>0.6498958206</v>
      </c>
      <c r="E218" s="10">
        <v>0.6278342934</v>
      </c>
      <c r="F218" s="10">
        <v>0.7234342444</v>
      </c>
      <c r="G218" s="10">
        <v>0.8031008702</v>
      </c>
      <c r="H218" s="10">
        <v>0.7099522</v>
      </c>
      <c r="I218" s="10">
        <v>0.6572496629</v>
      </c>
      <c r="J218" s="10">
        <v>0.5812599583</v>
      </c>
      <c r="K218" s="10">
        <v>0.6413163378</v>
      </c>
      <c r="L218" s="10">
        <v>0.5457163868</v>
      </c>
      <c r="M218" s="10">
        <v>0.6425419782</v>
      </c>
      <c r="O218" s="7">
        <f>IFERROR(__xludf.DUMMYFUNCTION("""COMPUTED_VALUE"""),8.314640619162261E-4)</f>
        <v>0.0008314640619</v>
      </c>
      <c r="P218" s="7">
        <f>IFERROR(__xludf.DUMMYFUNCTION("""COMPUTED_VALUE"""),0.07871315843)</f>
        <v>0.07871315843</v>
      </c>
      <c r="Q218" s="7">
        <f>IFERROR(__xludf.DUMMYFUNCTION("""COMPUTED_VALUE"""),0.7110481586)</f>
        <v>0.7110481586</v>
      </c>
    </row>
    <row r="219">
      <c r="A219" s="10" t="s">
        <v>22</v>
      </c>
      <c r="B219" s="10">
        <v>0.8533521265</v>
      </c>
      <c r="C219" s="10">
        <v>0.7981983086</v>
      </c>
      <c r="D219" s="10">
        <v>0.8521264861</v>
      </c>
      <c r="E219" s="10">
        <v>0.7602034563</v>
      </c>
      <c r="F219" s="10">
        <v>0.7332393676</v>
      </c>
      <c r="G219" s="10">
        <v>0.9281161907</v>
      </c>
      <c r="H219" s="10">
        <v>0.8987008212</v>
      </c>
      <c r="I219" s="10">
        <v>0.9097315848</v>
      </c>
      <c r="J219" s="10">
        <v>0.9158597867</v>
      </c>
      <c r="K219" s="10">
        <v>0.9354700331</v>
      </c>
      <c r="L219" s="10">
        <v>0.9930751318</v>
      </c>
      <c r="M219" s="10">
        <v>0.9955264126</v>
      </c>
      <c r="O219" s="7">
        <f>IFERROR(__xludf.DUMMYFUNCTION("""COMPUTED_VALUE"""),0.04639607541561408)</f>
        <v>0.04639607542</v>
      </c>
      <c r="P219" s="7">
        <f>IFERROR(__xludf.DUMMYFUNCTION("""COMPUTED_VALUE"""),0.08232818507)</f>
        <v>0.08232818507</v>
      </c>
      <c r="Q219" s="7">
        <f>IFERROR(__xludf.DUMMYFUNCTION("""COMPUTED_VALUE"""),0.6685552408)</f>
        <v>0.6685552408</v>
      </c>
    </row>
    <row r="220">
      <c r="A220" s="10" t="s">
        <v>23</v>
      </c>
      <c r="B220" s="10">
        <v>0.901152102</v>
      </c>
      <c r="C220" s="10">
        <v>0.8852187768</v>
      </c>
      <c r="D220" s="10">
        <v>0.9097315848</v>
      </c>
      <c r="E220" s="10">
        <v>0.8864444172</v>
      </c>
      <c r="F220" s="10">
        <v>0.9293418311</v>
      </c>
      <c r="G220" s="10">
        <v>0.9930751318</v>
      </c>
      <c r="H220" s="10">
        <v>0.9342443927</v>
      </c>
      <c r="I220" s="10">
        <v>0.953854639</v>
      </c>
      <c r="J220" s="10">
        <v>0.9489520775</v>
      </c>
      <c r="K220" s="10">
        <v>0.9893982106</v>
      </c>
      <c r="L220" s="10">
        <v>0.9550802794</v>
      </c>
      <c r="M220" s="10">
        <v>0.9795930874</v>
      </c>
      <c r="O220" s="7">
        <f>IFERROR(__xludf.DUMMYFUNCTION("""COMPUTED_VALUE"""),0.007633924781609001)</f>
        <v>0.007633924782</v>
      </c>
      <c r="P220" s="7">
        <f>IFERROR(__xludf.DUMMYFUNCTION("""COMPUTED_VALUE"""),0.1079031497)</f>
        <v>0.1079031497</v>
      </c>
      <c r="Q220" s="7">
        <f>IFERROR(__xludf.DUMMYFUNCTION("""COMPUTED_VALUE"""),0.6912181303)</f>
        <v>0.6912181303</v>
      </c>
    </row>
    <row r="221">
      <c r="A221" s="10" t="s">
        <v>24</v>
      </c>
      <c r="B221" s="10">
        <v>0.1020345631</v>
      </c>
      <c r="C221" s="10">
        <v>0.08977815909</v>
      </c>
      <c r="D221" s="10">
        <v>0.4145728643</v>
      </c>
      <c r="E221" s="10">
        <v>0.376578012</v>
      </c>
      <c r="F221" s="10">
        <v>0.5481676676</v>
      </c>
      <c r="G221" s="10">
        <v>0.7577521755</v>
      </c>
      <c r="H221" s="10">
        <v>0.5873881603</v>
      </c>
      <c r="I221" s="10">
        <v>0.5212035789</v>
      </c>
      <c r="J221" s="10">
        <v>0.4268292683</v>
      </c>
      <c r="K221" s="10">
        <v>0.2245986028</v>
      </c>
      <c r="L221" s="10">
        <v>0.126547371</v>
      </c>
      <c r="M221" s="10">
        <v>0.1682191445</v>
      </c>
      <c r="O221" s="7">
        <f>IFERROR(__xludf.DUMMYFUNCTION("""COMPUTED_VALUE"""),0.03046160522725407)</f>
        <v>0.03046160523</v>
      </c>
      <c r="P221" s="7">
        <f>IFERROR(__xludf.DUMMYFUNCTION("""COMPUTED_VALUE"""),0.1188021852)</f>
        <v>0.1188021852</v>
      </c>
      <c r="Q221" s="7">
        <f>IFERROR(__xludf.DUMMYFUNCTION("""COMPUTED_VALUE"""),0.6402266289)</f>
        <v>0.6402266289</v>
      </c>
    </row>
    <row r="222">
      <c r="A222" s="10" t="s">
        <v>25</v>
      </c>
      <c r="B222" s="10">
        <v>1.0</v>
      </c>
      <c r="C222" s="10">
        <v>0.966111043</v>
      </c>
      <c r="D222" s="10">
        <v>1.0</v>
      </c>
      <c r="E222" s="10">
        <v>0.9992033337</v>
      </c>
      <c r="F222" s="10">
        <v>1.0</v>
      </c>
      <c r="G222" s="10">
        <v>1.0</v>
      </c>
      <c r="H222" s="10">
        <v>1.0</v>
      </c>
      <c r="I222" s="10">
        <v>1.0</v>
      </c>
      <c r="J222" s="10">
        <v>1.0</v>
      </c>
      <c r="K222" s="10">
        <v>1.0</v>
      </c>
      <c r="L222" s="10">
        <v>0.990623851</v>
      </c>
      <c r="M222" s="10">
        <v>1.0</v>
      </c>
      <c r="O222" s="7">
        <f>IFERROR(__xludf.DUMMYFUNCTION("""COMPUTED_VALUE"""),0.02901707785504687)</f>
        <v>0.02901707786</v>
      </c>
      <c r="P222" s="7">
        <f>IFERROR(__xludf.DUMMYFUNCTION("""COMPUTED_VALUE"""),0.1128131112)</f>
        <v>0.1128131112</v>
      </c>
      <c r="Q222" s="7">
        <f>IFERROR(__xludf.DUMMYFUNCTION("""COMPUTED_VALUE"""),0.6855524079)</f>
        <v>0.6855524079</v>
      </c>
    </row>
    <row r="223">
      <c r="A223" s="10" t="s">
        <v>26</v>
      </c>
      <c r="B223" s="10">
        <v>0.9648854026</v>
      </c>
      <c r="C223" s="10">
        <v>0.9685623238</v>
      </c>
      <c r="D223" s="10">
        <v>1.0</v>
      </c>
      <c r="E223" s="10">
        <v>0.9930751318</v>
      </c>
      <c r="F223" s="10">
        <v>0.9967520529</v>
      </c>
      <c r="G223" s="10">
        <v>1.0</v>
      </c>
      <c r="H223" s="10">
        <v>1.0</v>
      </c>
      <c r="I223" s="10">
        <v>1.0</v>
      </c>
      <c r="J223" s="10">
        <v>1.0</v>
      </c>
      <c r="K223" s="10">
        <v>1.0</v>
      </c>
      <c r="L223" s="10">
        <v>1.0</v>
      </c>
      <c r="M223" s="10">
        <v>1.0</v>
      </c>
      <c r="O223" s="7">
        <f>IFERROR(__xludf.DUMMYFUNCTION("""COMPUTED_VALUE"""),-0.01430637565496437)</f>
        <v>-0.01430637565</v>
      </c>
      <c r="P223" s="7">
        <f>IFERROR(__xludf.DUMMYFUNCTION("""COMPUTED_VALUE"""),0.10272341)</f>
        <v>0.10272341</v>
      </c>
      <c r="Q223" s="7">
        <f>IFERROR(__xludf.DUMMYFUNCTION("""COMPUTED_VALUE"""),0.6288951841)</f>
        <v>0.6288951841</v>
      </c>
    </row>
    <row r="224">
      <c r="A224" s="10" t="s">
        <v>27</v>
      </c>
      <c r="B224" s="10">
        <v>0.4464395146</v>
      </c>
      <c r="C224" s="10">
        <v>0.3569677657</v>
      </c>
      <c r="D224" s="10">
        <v>0.4354087511</v>
      </c>
      <c r="E224" s="10">
        <v>0.197634514</v>
      </c>
      <c r="F224" s="10">
        <v>0.1951832332</v>
      </c>
      <c r="G224" s="10">
        <v>0.5383625444</v>
      </c>
      <c r="H224" s="10">
        <v>0.4452138742</v>
      </c>
      <c r="I224" s="10">
        <v>0.531008702</v>
      </c>
      <c r="J224" s="10">
        <v>0.5751317563</v>
      </c>
      <c r="K224" s="10">
        <v>0.5138497365</v>
      </c>
      <c r="L224" s="10">
        <v>0.4268292683</v>
      </c>
      <c r="M224" s="10">
        <v>0.447665155</v>
      </c>
      <c r="O224" s="7">
        <f>IFERROR(__xludf.DUMMYFUNCTION("""COMPUTED_VALUE"""),0.007667034228618749)</f>
        <v>0.007667034229</v>
      </c>
      <c r="P224" s="7">
        <f>IFERROR(__xludf.DUMMYFUNCTION("""COMPUTED_VALUE"""),0.09214810818)</f>
        <v>0.09214810818</v>
      </c>
      <c r="Q224" s="7">
        <f>IFERROR(__xludf.DUMMYFUNCTION("""COMPUTED_VALUE"""),0.6062322946)</f>
        <v>0.6062322946</v>
      </c>
    </row>
    <row r="225">
      <c r="A225" s="10" t="s">
        <v>28</v>
      </c>
      <c r="B225" s="10">
        <v>0.7822649835</v>
      </c>
      <c r="C225" s="10">
        <v>0.8129059934</v>
      </c>
      <c r="D225" s="10">
        <v>0.8496752053</v>
      </c>
      <c r="E225" s="10">
        <v>0.7111778404</v>
      </c>
      <c r="F225" s="10">
        <v>0.7920701066</v>
      </c>
      <c r="G225" s="10">
        <v>0.9085059444</v>
      </c>
      <c r="H225" s="10">
        <v>0.8300649589</v>
      </c>
      <c r="I225" s="10">
        <v>0.8484495649</v>
      </c>
      <c r="J225" s="10">
        <v>0.9036033828</v>
      </c>
      <c r="K225" s="10">
        <v>0.8815418556</v>
      </c>
      <c r="L225" s="10">
        <v>0.7454957715</v>
      </c>
      <c r="M225" s="10">
        <v>0.799423949</v>
      </c>
      <c r="O225" s="7">
        <f>IFERROR(__xludf.DUMMYFUNCTION("""COMPUTED_VALUE"""),-4.636709688955893E-4)</f>
        <v>-0.0004636709689</v>
      </c>
      <c r="P225" s="7">
        <f>IFERROR(__xludf.DUMMYFUNCTION("""COMPUTED_VALUE"""),0.07326364066)</f>
        <v>0.07326364066</v>
      </c>
      <c r="Q225" s="7">
        <f>IFERROR(__xludf.DUMMYFUNCTION("""COMPUTED_VALUE"""),0.6345609065)</f>
        <v>0.6345609065</v>
      </c>
    </row>
    <row r="226">
      <c r="A226" s="10" t="s">
        <v>29</v>
      </c>
      <c r="B226" s="10">
        <v>0.5199779385</v>
      </c>
      <c r="C226" s="10">
        <v>0.2601421743</v>
      </c>
      <c r="D226" s="10">
        <v>0.3961882584</v>
      </c>
      <c r="E226" s="10">
        <v>0.1118396862</v>
      </c>
      <c r="F226" s="10">
        <v>0.2883319034</v>
      </c>
      <c r="G226" s="10">
        <v>0.5898394411</v>
      </c>
      <c r="H226" s="10">
        <v>0.4464395146</v>
      </c>
      <c r="I226" s="10">
        <v>0.4378600319</v>
      </c>
      <c r="J226" s="10">
        <v>0.6940188749</v>
      </c>
      <c r="K226" s="10">
        <v>0.7454957715</v>
      </c>
      <c r="L226" s="10">
        <v>0.7148547616</v>
      </c>
      <c r="M226" s="10">
        <v>0.811680353</v>
      </c>
      <c r="O226" s="7">
        <f>IFERROR(__xludf.DUMMYFUNCTION("""COMPUTED_VALUE"""),0.03003379987311723)</f>
        <v>0.03003379987</v>
      </c>
      <c r="P226" s="7">
        <f>IFERROR(__xludf.DUMMYFUNCTION("""COMPUTED_VALUE"""),0.06549403116)</f>
        <v>0.06549403116</v>
      </c>
      <c r="Q226" s="7">
        <f>IFERROR(__xludf.DUMMYFUNCTION("""COMPUTED_VALUE"""),0.5382436261)</f>
        <v>0.5382436261</v>
      </c>
    </row>
    <row r="227">
      <c r="A227" s="10" t="s">
        <v>30</v>
      </c>
      <c r="B227" s="10">
        <v>0.0</v>
      </c>
      <c r="C227" s="10">
        <v>0.0</v>
      </c>
      <c r="D227" s="10">
        <v>0.3459370021</v>
      </c>
      <c r="E227" s="10">
        <v>0.0</v>
      </c>
      <c r="F227" s="10">
        <v>0.0</v>
      </c>
      <c r="G227" s="10">
        <v>0.4734036034</v>
      </c>
      <c r="H227" s="10">
        <v>0.5150753769</v>
      </c>
      <c r="I227" s="10">
        <v>0.4194754259</v>
      </c>
      <c r="J227" s="10">
        <v>0.4758548842</v>
      </c>
      <c r="K227" s="10">
        <v>0.6658291457</v>
      </c>
      <c r="L227" s="10">
        <v>0.8104547126</v>
      </c>
      <c r="M227" s="10">
        <v>0.8962495404</v>
      </c>
      <c r="O227" s="7">
        <f>IFERROR(__xludf.DUMMYFUNCTION("""COMPUTED_VALUE"""),-0.002588687426197238)</f>
        <v>-0.002588687426</v>
      </c>
      <c r="P227" s="7">
        <f>IFERROR(__xludf.DUMMYFUNCTION("""COMPUTED_VALUE"""),0.05011667903)</f>
        <v>0.05011667903</v>
      </c>
      <c r="Q227" s="7">
        <f>IFERROR(__xludf.DUMMYFUNCTION("""COMPUTED_VALUE"""),0.5240793201)</f>
        <v>0.5240793201</v>
      </c>
    </row>
    <row r="228">
      <c r="A228" s="10" t="s">
        <v>31</v>
      </c>
      <c r="B228" s="10">
        <v>0.5261061405</v>
      </c>
      <c r="C228" s="10">
        <v>0.5861625199</v>
      </c>
      <c r="D228" s="10">
        <v>0.6462188994</v>
      </c>
      <c r="E228" s="10">
        <v>0.6290599338</v>
      </c>
      <c r="F228" s="10">
        <v>0.5395881848</v>
      </c>
      <c r="G228" s="10">
        <v>0.8018752298</v>
      </c>
      <c r="H228" s="10">
        <v>0.7491726927</v>
      </c>
      <c r="I228" s="10">
        <v>0.6437676186</v>
      </c>
      <c r="J228" s="10">
        <v>0.543265106</v>
      </c>
      <c r="K228" s="10">
        <v>0.6413163378</v>
      </c>
      <c r="L228" s="10">
        <v>0.6756342689</v>
      </c>
      <c r="M228" s="10">
        <v>0.7332393676</v>
      </c>
      <c r="O228" s="7">
        <f>IFERROR(__xludf.DUMMYFUNCTION("""COMPUTED_VALUE"""),0.0306808661101274)</f>
        <v>0.03068086611</v>
      </c>
      <c r="P228" s="7">
        <f>IFERROR(__xludf.DUMMYFUNCTION("""COMPUTED_VALUE"""),0.04072840089)</f>
        <v>0.04072840089</v>
      </c>
      <c r="Q228" s="7">
        <f>IFERROR(__xludf.DUMMYFUNCTION("""COMPUTED_VALUE"""),0.5439093484)</f>
        <v>0.5439093484</v>
      </c>
    </row>
    <row r="229">
      <c r="O229" s="7">
        <f>IFERROR(__xludf.DUMMYFUNCTION("""COMPUTED_VALUE"""),0.008361129538947572)</f>
        <v>0.008361129539</v>
      </c>
      <c r="P229" s="7">
        <f>IFERROR(__xludf.DUMMYFUNCTION("""COMPUTED_VALUE"""),0.0397571997)</f>
        <v>0.0397571997</v>
      </c>
      <c r="Q229" s="7">
        <f>IFERROR(__xludf.DUMMYFUNCTION("""COMPUTED_VALUE"""),0.5722379603)</f>
        <v>0.5722379603</v>
      </c>
    </row>
    <row r="230">
      <c r="O230" s="7">
        <f>IFERROR(__xludf.DUMMYFUNCTION("""COMPUTED_VALUE"""),-0.01545755658587669)</f>
        <v>-0.01545755659</v>
      </c>
      <c r="P230" s="7">
        <f>IFERROR(__xludf.DUMMYFUNCTION("""COMPUTED_VALUE"""),0.26637081)</f>
        <v>0.26637081</v>
      </c>
      <c r="Q230" s="7">
        <f>IFERROR(__xludf.DUMMYFUNCTION("""COMPUTED_VALUE"""),0.7450424929)</f>
        <v>0.7450424929</v>
      </c>
    </row>
    <row r="231">
      <c r="O231" s="7">
        <f>IFERROR(__xludf.DUMMYFUNCTION("""COMPUTED_VALUE"""),0.02669123708804367)</f>
        <v>0.02669123709</v>
      </c>
      <c r="P231" s="7">
        <f>IFERROR(__xludf.DUMMYFUNCTION("""COMPUTED_VALUE"""),0.5438645714)</f>
        <v>0.5438645714</v>
      </c>
      <c r="Q231" s="7">
        <f>IFERROR(__xludf.DUMMYFUNCTION("""COMPUTED_VALUE"""),0.7677053824)</f>
        <v>0.7677053824</v>
      </c>
    </row>
    <row r="232">
      <c r="A232" s="9" t="s">
        <v>97</v>
      </c>
      <c r="B232" s="10" t="s">
        <v>98</v>
      </c>
      <c r="C232" s="10" t="s">
        <v>99</v>
      </c>
      <c r="D232" s="10" t="s">
        <v>100</v>
      </c>
      <c r="E232" s="10" t="s">
        <v>101</v>
      </c>
      <c r="F232" s="10" t="s">
        <v>102</v>
      </c>
      <c r="G232" s="10" t="s">
        <v>103</v>
      </c>
      <c r="H232" s="10" t="s">
        <v>104</v>
      </c>
      <c r="I232" s="10" t="s">
        <v>105</v>
      </c>
      <c r="J232" s="10" t="s">
        <v>106</v>
      </c>
      <c r="K232" s="10" t="s">
        <v>107</v>
      </c>
      <c r="L232" s="10" t="s">
        <v>108</v>
      </c>
      <c r="M232" s="10" t="s">
        <v>109</v>
      </c>
      <c r="O232" s="7">
        <f>IFERROR(__xludf.DUMMYFUNCTION("""COMPUTED_VALUE"""),-0.00983989484214899)</f>
        <v>-0.009839894842</v>
      </c>
      <c r="P232" s="7">
        <f>IFERROR(__xludf.DUMMYFUNCTION("""COMPUTED_VALUE"""),0.5206096985)</f>
        <v>0.5206096985</v>
      </c>
      <c r="Q232" s="7">
        <f>IFERROR(__xludf.DUMMYFUNCTION("""COMPUTED_VALUE"""),0.7365439093)</f>
        <v>0.7365439093</v>
      </c>
    </row>
    <row r="233">
      <c r="A233" s="10" t="s">
        <v>3</v>
      </c>
      <c r="B233" s="10">
        <v>0.6883852691</v>
      </c>
      <c r="C233" s="10">
        <v>0.7337110482</v>
      </c>
      <c r="D233" s="10">
        <v>0.8158640227</v>
      </c>
      <c r="E233" s="10">
        <v>0.8866855524</v>
      </c>
      <c r="F233" s="10">
        <v>0.9376770538</v>
      </c>
      <c r="G233" s="10">
        <v>0.9801699717</v>
      </c>
      <c r="H233" s="10">
        <v>0.8328611898</v>
      </c>
      <c r="I233" s="10">
        <v>0.5580736544</v>
      </c>
      <c r="J233" s="10">
        <v>0.9490084986</v>
      </c>
      <c r="K233" s="10">
        <v>0.6855524079</v>
      </c>
      <c r="L233" s="10">
        <v>0.7875354108</v>
      </c>
      <c r="M233" s="10">
        <v>0.9433427762</v>
      </c>
      <c r="O233" s="7">
        <f>IFERROR(__xludf.DUMMYFUNCTION("""COMPUTED_VALUE"""),0.02388863320927615)</f>
        <v>0.02388863321</v>
      </c>
      <c r="P233" s="7">
        <f>IFERROR(__xludf.DUMMYFUNCTION("""COMPUTED_VALUE"""),0.4788480475)</f>
        <v>0.4788480475</v>
      </c>
      <c r="Q233" s="7">
        <f>IFERROR(__xludf.DUMMYFUNCTION("""COMPUTED_VALUE"""),0.7507082153)</f>
        <v>0.7507082153</v>
      </c>
    </row>
    <row r="234">
      <c r="A234" s="10" t="s">
        <v>4</v>
      </c>
      <c r="B234" s="10">
        <v>0.9745042493</v>
      </c>
      <c r="C234" s="10">
        <v>0.9830028329</v>
      </c>
      <c r="D234" s="10">
        <v>0.9745042493</v>
      </c>
      <c r="E234" s="10">
        <v>1.0</v>
      </c>
      <c r="F234" s="10">
        <v>0.9915014164</v>
      </c>
      <c r="G234" s="10">
        <v>0.9235127479</v>
      </c>
      <c r="H234" s="10">
        <v>0.8498583569</v>
      </c>
      <c r="I234" s="10">
        <v>0.8725212465</v>
      </c>
      <c r="J234" s="10">
        <v>0.940509915</v>
      </c>
      <c r="K234" s="10">
        <v>0.9490084986</v>
      </c>
      <c r="L234" s="10">
        <v>0.8640226629</v>
      </c>
      <c r="M234" s="10">
        <v>0.8526912181</v>
      </c>
      <c r="O234" s="7">
        <f>IFERROR(__xludf.DUMMYFUNCTION("""COMPUTED_VALUE"""),0.05413394429372975)</f>
        <v>0.05413394429</v>
      </c>
      <c r="P234" s="7">
        <f>IFERROR(__xludf.DUMMYFUNCTION("""COMPUTED_VALUE"""),0.3944614555)</f>
        <v>0.3944614555</v>
      </c>
      <c r="Q234" s="7">
        <f>IFERROR(__xludf.DUMMYFUNCTION("""COMPUTED_VALUE"""),0.8130311615)</f>
        <v>0.8130311615</v>
      </c>
    </row>
    <row r="235">
      <c r="A235" s="10" t="s">
        <v>5</v>
      </c>
      <c r="B235" s="10">
        <v>0.7518413598</v>
      </c>
      <c r="C235" s="10">
        <v>0.7487252125</v>
      </c>
      <c r="D235" s="10">
        <v>0.7456090652</v>
      </c>
      <c r="E235" s="10">
        <v>0.7464589235</v>
      </c>
      <c r="F235" s="10">
        <v>0.747592068</v>
      </c>
      <c r="G235" s="10">
        <v>0.7441926346</v>
      </c>
      <c r="H235" s="10">
        <v>0.7407932011</v>
      </c>
      <c r="I235" s="10">
        <v>0.7433427762</v>
      </c>
      <c r="J235" s="10">
        <v>0.7436260623</v>
      </c>
      <c r="K235" s="10">
        <v>0.7461756374</v>
      </c>
      <c r="L235" s="10">
        <v>0.745325779</v>
      </c>
      <c r="M235" s="10">
        <v>0.7458923513</v>
      </c>
      <c r="O235" s="7">
        <f>IFERROR(__xludf.DUMMYFUNCTION("""COMPUTED_VALUE"""),-0.01505734156884477)</f>
        <v>-0.01505734157</v>
      </c>
      <c r="P235" s="7">
        <f>IFERROR(__xludf.DUMMYFUNCTION("""COMPUTED_VALUE"""),0.3289053753)</f>
        <v>0.3289053753</v>
      </c>
      <c r="Q235" s="7">
        <f>IFERROR(__xludf.DUMMYFUNCTION("""COMPUTED_VALUE"""),0.611898017)</f>
        <v>0.611898017</v>
      </c>
    </row>
    <row r="236">
      <c r="A236" s="10" t="s">
        <v>6</v>
      </c>
      <c r="B236" s="10">
        <v>0.7847025496</v>
      </c>
      <c r="C236" s="10">
        <v>0.9716713881</v>
      </c>
      <c r="D236" s="10">
        <v>0.9830028329</v>
      </c>
      <c r="E236" s="10">
        <v>0.9886685552</v>
      </c>
      <c r="F236" s="10">
        <v>0.9858356941</v>
      </c>
      <c r="G236" s="10">
        <v>0.9773371105</v>
      </c>
      <c r="H236" s="10">
        <v>0.9631728045</v>
      </c>
      <c r="I236" s="10">
        <v>0.8696883853</v>
      </c>
      <c r="J236" s="10">
        <v>0.7620396601</v>
      </c>
      <c r="K236" s="10">
        <v>0.8186968839</v>
      </c>
      <c r="L236" s="10">
        <v>0.7223796034</v>
      </c>
      <c r="M236" s="10">
        <v>0.6798866856</v>
      </c>
      <c r="O236" s="7">
        <f>IFERROR(__xludf.DUMMYFUNCTION("""COMPUTED_VALUE"""),0.03731877082364393)</f>
        <v>0.03731877082</v>
      </c>
      <c r="P236" s="7">
        <f>IFERROR(__xludf.DUMMYFUNCTION("""COMPUTED_VALUE"""),0.3490847778)</f>
        <v>0.3490847778</v>
      </c>
      <c r="Q236" s="7">
        <f>IFERROR(__xludf.DUMMYFUNCTION("""COMPUTED_VALUE"""),0.6402266289)</f>
        <v>0.6402266289</v>
      </c>
    </row>
    <row r="237">
      <c r="A237" s="10" t="s">
        <v>7</v>
      </c>
      <c r="B237" s="10">
        <v>0.790368272</v>
      </c>
      <c r="C237" s="10">
        <v>0.7847025496</v>
      </c>
      <c r="D237" s="10">
        <v>0.7818696884</v>
      </c>
      <c r="E237" s="10">
        <v>0.7875354108</v>
      </c>
      <c r="F237" s="10">
        <v>0.790368272</v>
      </c>
      <c r="G237" s="10">
        <v>0.7818696884</v>
      </c>
      <c r="H237" s="10">
        <v>0.7677053824</v>
      </c>
      <c r="I237" s="10">
        <v>0.9036827195</v>
      </c>
      <c r="J237" s="10">
        <v>0.8725212465</v>
      </c>
      <c r="K237" s="10">
        <v>0.8781869688</v>
      </c>
      <c r="L237" s="10">
        <v>0.8526912181</v>
      </c>
      <c r="M237" s="10">
        <v>0.7252124646</v>
      </c>
      <c r="O237" s="7">
        <f>IFERROR(__xludf.DUMMYFUNCTION("""COMPUTED_VALUE"""),0.0231108800480071)</f>
        <v>0.02311088005</v>
      </c>
      <c r="P237" s="7">
        <f>IFERROR(__xludf.DUMMYFUNCTION("""COMPUTED_VALUE"""),0.3171970055)</f>
        <v>0.3171970055</v>
      </c>
      <c r="Q237" s="7">
        <f>IFERROR(__xludf.DUMMYFUNCTION("""COMPUTED_VALUE"""),0.6005665722)</f>
        <v>0.6005665722</v>
      </c>
    </row>
    <row r="238">
      <c r="A238" s="10" t="s">
        <v>8</v>
      </c>
      <c r="B238" s="10">
        <v>0.9320113314</v>
      </c>
      <c r="C238" s="10">
        <v>0.8725212465</v>
      </c>
      <c r="D238" s="10">
        <v>0.8470254958</v>
      </c>
      <c r="E238" s="10">
        <v>0.8271954674</v>
      </c>
      <c r="F238" s="10">
        <v>0.8328611898</v>
      </c>
      <c r="G238" s="10">
        <v>0.8470254958</v>
      </c>
      <c r="H238" s="10">
        <v>0.8640226629</v>
      </c>
      <c r="I238" s="10">
        <v>0.8441926346</v>
      </c>
      <c r="J238" s="10">
        <v>0.8895184136</v>
      </c>
      <c r="K238" s="10">
        <v>0.9631728045</v>
      </c>
      <c r="L238" s="10">
        <v>0.9971671388</v>
      </c>
      <c r="M238" s="10">
        <v>0.9603399433</v>
      </c>
      <c r="O238" s="7">
        <f>IFERROR(__xludf.DUMMYFUNCTION("""COMPUTED_VALUE"""),0.02142174306534992)</f>
        <v>0.02142174307</v>
      </c>
      <c r="P238" s="7">
        <f>IFERROR(__xludf.DUMMYFUNCTION("""COMPUTED_VALUE"""),0.534368382)</f>
        <v>0.534368382</v>
      </c>
      <c r="Q238" s="7">
        <f>IFERROR(__xludf.DUMMYFUNCTION("""COMPUTED_VALUE"""),0.6090651558)</f>
        <v>0.6090651558</v>
      </c>
    </row>
    <row r="239">
      <c r="A239" s="10" t="s">
        <v>9</v>
      </c>
      <c r="B239" s="10">
        <v>0.5382436261</v>
      </c>
      <c r="C239" s="10">
        <v>0.552407932</v>
      </c>
      <c r="D239" s="10">
        <v>0.566572238</v>
      </c>
      <c r="E239" s="10">
        <v>0.5637393768</v>
      </c>
      <c r="F239" s="10">
        <v>0.5722379603</v>
      </c>
      <c r="G239" s="10">
        <v>0.597733711</v>
      </c>
      <c r="H239" s="10">
        <v>0.5325779037</v>
      </c>
      <c r="I239" s="10">
        <v>0.5552407932</v>
      </c>
      <c r="J239" s="10">
        <v>0.5155807365</v>
      </c>
      <c r="K239" s="10">
        <v>0.5439093484</v>
      </c>
      <c r="L239" s="10">
        <v>0.5269121813</v>
      </c>
      <c r="M239" s="10">
        <v>0.5439093484</v>
      </c>
      <c r="O239" s="7">
        <f>IFERROR(__xludf.DUMMYFUNCTION("""COMPUTED_VALUE"""),0.02327443061247058)</f>
        <v>0.02327443061</v>
      </c>
      <c r="P239" s="7">
        <f>IFERROR(__xludf.DUMMYFUNCTION("""COMPUTED_VALUE"""),0.5322641128)</f>
        <v>0.5322641128</v>
      </c>
      <c r="Q239" s="7">
        <f>IFERROR(__xludf.DUMMYFUNCTION("""COMPUTED_VALUE"""),0.6288951841)</f>
        <v>0.6288951841</v>
      </c>
    </row>
    <row r="240">
      <c r="A240" s="10" t="s">
        <v>10</v>
      </c>
      <c r="B240" s="10">
        <v>0.9376770538</v>
      </c>
      <c r="C240" s="10">
        <v>0.8271954674</v>
      </c>
      <c r="D240" s="10">
        <v>0.8583569405</v>
      </c>
      <c r="E240" s="10">
        <v>0.8413597734</v>
      </c>
      <c r="F240" s="10">
        <v>0.8640226629</v>
      </c>
      <c r="G240" s="10">
        <v>0.8923512748</v>
      </c>
      <c r="H240" s="10">
        <v>0.88101983</v>
      </c>
      <c r="I240" s="10">
        <v>0.8781869688</v>
      </c>
      <c r="J240" s="10">
        <v>0.9065155807</v>
      </c>
      <c r="K240" s="10">
        <v>0.8470254958</v>
      </c>
      <c r="L240" s="10">
        <v>0.9093484419</v>
      </c>
      <c r="M240" s="10">
        <v>0.9745042493</v>
      </c>
      <c r="O240" s="7">
        <f>IFERROR(__xludf.DUMMYFUNCTION("""COMPUTED_VALUE"""),-0.009220254516437184)</f>
        <v>-0.009220254516</v>
      </c>
      <c r="P240" s="7">
        <f>IFERROR(__xludf.DUMMYFUNCTION("""COMPUTED_VALUE"""),0.42089971)</f>
        <v>0.42089971</v>
      </c>
      <c r="Q240" s="7">
        <f>IFERROR(__xludf.DUMMYFUNCTION("""COMPUTED_VALUE"""),0.7138810198)</f>
        <v>0.7138810198</v>
      </c>
    </row>
    <row r="241">
      <c r="A241" s="10" t="s">
        <v>11</v>
      </c>
      <c r="B241" s="10">
        <v>0.7280453258</v>
      </c>
      <c r="C241" s="10">
        <v>0.7422096317</v>
      </c>
      <c r="D241" s="10">
        <v>0.6940509915</v>
      </c>
      <c r="E241" s="10">
        <v>0.6940509915</v>
      </c>
      <c r="F241" s="10">
        <v>0.6883852691</v>
      </c>
      <c r="G241" s="10">
        <v>0.6883852691</v>
      </c>
      <c r="H241" s="10">
        <v>0.7053824363</v>
      </c>
      <c r="I241" s="10">
        <v>0.7053824363</v>
      </c>
      <c r="J241" s="10">
        <v>0.6912181303</v>
      </c>
      <c r="K241" s="10">
        <v>0.6827195467</v>
      </c>
      <c r="L241" s="10">
        <v>0.6855524079</v>
      </c>
      <c r="M241" s="10">
        <v>0.6968838527</v>
      </c>
      <c r="O241" s="7">
        <f>IFERROR(__xludf.DUMMYFUNCTION("""COMPUTED_VALUE"""),0.01847168205705021)</f>
        <v>0.01847168206</v>
      </c>
      <c r="P241" s="7">
        <f>IFERROR(__xludf.DUMMYFUNCTION("""COMPUTED_VALUE"""),0.4016915087)</f>
        <v>0.4016915087</v>
      </c>
      <c r="Q241" s="7">
        <f>IFERROR(__xludf.DUMMYFUNCTION("""COMPUTED_VALUE"""),0.8045325779)</f>
        <v>0.8045325779</v>
      </c>
    </row>
    <row r="242">
      <c r="A242" s="10" t="s">
        <v>12</v>
      </c>
      <c r="B242" s="10">
        <v>0.8101983003</v>
      </c>
      <c r="C242" s="10">
        <v>0.9036827195</v>
      </c>
      <c r="D242" s="10">
        <v>0.8328611898</v>
      </c>
      <c r="E242" s="10">
        <v>0.8243626062</v>
      </c>
      <c r="F242" s="10">
        <v>0.7960339943</v>
      </c>
      <c r="G242" s="10">
        <v>0.8073654391</v>
      </c>
      <c r="H242" s="10">
        <v>0.821529745</v>
      </c>
      <c r="I242" s="10">
        <v>0.8045325779</v>
      </c>
      <c r="J242" s="10">
        <v>0.8073654391</v>
      </c>
      <c r="K242" s="10">
        <v>0.8470254958</v>
      </c>
      <c r="L242" s="10">
        <v>0.7393767705</v>
      </c>
      <c r="M242" s="10">
        <v>0.730878187</v>
      </c>
      <c r="O242" s="7">
        <f>IFERROR(__xludf.DUMMYFUNCTION("""COMPUTED_VALUE"""),-9.153928741624287E-6)</f>
        <v>-0.000009153928742</v>
      </c>
      <c r="P242" s="7">
        <f>IFERROR(__xludf.DUMMYFUNCTION("""COMPUTED_VALUE"""),0.4575895326)</f>
        <v>0.4575895326</v>
      </c>
      <c r="Q242" s="7">
        <f>IFERROR(__xludf.DUMMYFUNCTION("""COMPUTED_VALUE"""),0.6898016997)</f>
        <v>0.6898016997</v>
      </c>
    </row>
    <row r="243">
      <c r="A243" s="10" t="s">
        <v>13</v>
      </c>
      <c r="B243" s="10">
        <v>0.716713881</v>
      </c>
      <c r="C243" s="10">
        <v>0.7138810198</v>
      </c>
      <c r="D243" s="10">
        <v>0.7195467422</v>
      </c>
      <c r="E243" s="10">
        <v>0.7195467422</v>
      </c>
      <c r="F243" s="10">
        <v>0.7110481586</v>
      </c>
      <c r="G243" s="10">
        <v>0.7280453258</v>
      </c>
      <c r="H243" s="10">
        <v>0.7393767705</v>
      </c>
      <c r="I243" s="10">
        <v>0.7507082153</v>
      </c>
      <c r="J243" s="10">
        <v>0.7620396601</v>
      </c>
      <c r="K243" s="10">
        <v>0.7847025496</v>
      </c>
      <c r="L243" s="10">
        <v>0.790368272</v>
      </c>
      <c r="M243" s="10">
        <v>0.776203966</v>
      </c>
      <c r="O243" s="7">
        <f>IFERROR(__xludf.DUMMYFUNCTION("""COMPUTED_VALUE"""),0.03279969973340005)</f>
        <v>0.03279969973</v>
      </c>
      <c r="P243" s="7">
        <f>IFERROR(__xludf.DUMMYFUNCTION("""COMPUTED_VALUE"""),0.394245633)</f>
        <v>0.394245633</v>
      </c>
      <c r="Q243" s="7">
        <f>IFERROR(__xludf.DUMMYFUNCTION("""COMPUTED_VALUE"""),0.7273087819)</f>
        <v>0.7273087819</v>
      </c>
    </row>
    <row r="244">
      <c r="A244" s="10" t="s">
        <v>14</v>
      </c>
      <c r="B244" s="10">
        <v>0.9235127479</v>
      </c>
      <c r="C244" s="10">
        <v>0.9121813031</v>
      </c>
      <c r="D244" s="10">
        <v>0.9461756374</v>
      </c>
      <c r="E244" s="10">
        <v>1.0</v>
      </c>
      <c r="F244" s="10">
        <v>0.8470254958</v>
      </c>
      <c r="G244" s="10">
        <v>0.8243626062</v>
      </c>
      <c r="H244" s="10">
        <v>0.7620396601</v>
      </c>
      <c r="I244" s="10">
        <v>0.5609065156</v>
      </c>
      <c r="J244" s="10">
        <v>0.4815864023</v>
      </c>
      <c r="K244" s="10">
        <v>0.4589235127</v>
      </c>
      <c r="L244" s="10">
        <v>0.7025495751</v>
      </c>
      <c r="M244" s="10">
        <v>0.552407932</v>
      </c>
      <c r="O244" s="7">
        <f>IFERROR(__xludf.DUMMYFUNCTION("""COMPUTED_VALUE"""),0.00887335307934742)</f>
        <v>0.008873353079</v>
      </c>
      <c r="P244" s="7">
        <f>IFERROR(__xludf.DUMMYFUNCTION("""COMPUTED_VALUE"""),0.3250745262)</f>
        <v>0.3250745262</v>
      </c>
      <c r="Q244" s="7">
        <f>IFERROR(__xludf.DUMMYFUNCTION("""COMPUTED_VALUE"""),0.7479320113)</f>
        <v>0.7479320113</v>
      </c>
    </row>
    <row r="245">
      <c r="A245" s="10" t="s">
        <v>15</v>
      </c>
      <c r="B245" s="10">
        <v>0.6997167139</v>
      </c>
      <c r="C245" s="10">
        <v>0.716713881</v>
      </c>
      <c r="D245" s="10">
        <v>0.7478753541</v>
      </c>
      <c r="E245" s="10">
        <v>0.7705382436</v>
      </c>
      <c r="F245" s="10">
        <v>0.6402266289</v>
      </c>
      <c r="G245" s="10">
        <v>0.3966005666</v>
      </c>
      <c r="H245" s="10">
        <v>0.6685552408</v>
      </c>
      <c r="I245" s="10">
        <v>0.7592067989</v>
      </c>
      <c r="J245" s="10">
        <v>0.5212464589</v>
      </c>
      <c r="K245" s="10">
        <v>0.5099150142</v>
      </c>
      <c r="L245" s="10">
        <v>0.9716713881</v>
      </c>
      <c r="M245" s="10">
        <v>0.9716713881</v>
      </c>
      <c r="O245" s="7">
        <f>IFERROR(__xludf.DUMMYFUNCTION("""COMPUTED_VALUE"""),0.02815952723552873)</f>
        <v>0.02815952724</v>
      </c>
      <c r="P245" s="7">
        <f>IFERROR(__xludf.DUMMYFUNCTION("""COMPUTED_VALUE"""),0.2025413098)</f>
        <v>0.2025413098</v>
      </c>
      <c r="Q245" s="7">
        <f>IFERROR(__xludf.DUMMYFUNCTION("""COMPUTED_VALUE"""),0.7581303116)</f>
        <v>0.7581303116</v>
      </c>
    </row>
    <row r="246">
      <c r="A246" s="10" t="s">
        <v>16</v>
      </c>
      <c r="B246" s="10">
        <v>0.8461756374</v>
      </c>
      <c r="C246" s="10">
        <v>0.8169971671</v>
      </c>
      <c r="D246" s="10">
        <v>0.8218130312</v>
      </c>
      <c r="E246" s="10">
        <v>0.8195467422</v>
      </c>
      <c r="F246" s="10">
        <v>0.8634560907</v>
      </c>
      <c r="G246" s="10">
        <v>0.7787535411</v>
      </c>
      <c r="H246" s="10">
        <v>0.8586402266</v>
      </c>
      <c r="I246" s="10">
        <v>0.7917847025</v>
      </c>
      <c r="J246" s="10">
        <v>0.7892351275</v>
      </c>
      <c r="K246" s="10">
        <v>0.7861189802</v>
      </c>
      <c r="L246" s="10">
        <v>0.7711048159</v>
      </c>
      <c r="M246" s="10">
        <v>0.8062322946</v>
      </c>
      <c r="O246" s="7">
        <f>IFERROR(__xludf.DUMMYFUNCTION("""COMPUTED_VALUE"""),0.05974920485500892)</f>
        <v>0.05974920486</v>
      </c>
      <c r="P246" s="7">
        <f>IFERROR(__xludf.DUMMYFUNCTION("""COMPUTED_VALUE"""),0.1241437917)</f>
        <v>0.1241437917</v>
      </c>
      <c r="Q246" s="7">
        <f>IFERROR(__xludf.DUMMYFUNCTION("""COMPUTED_VALUE"""),0.6973654391)</f>
        <v>0.6973654391</v>
      </c>
    </row>
    <row r="247">
      <c r="A247" s="10" t="s">
        <v>17</v>
      </c>
      <c r="B247" s="10">
        <v>0.776203966</v>
      </c>
      <c r="C247" s="10">
        <v>0.7818696884</v>
      </c>
      <c r="D247" s="10">
        <v>0.821529745</v>
      </c>
      <c r="E247" s="10">
        <v>0.8045325779</v>
      </c>
      <c r="F247" s="10">
        <v>0.835694051</v>
      </c>
      <c r="G247" s="10">
        <v>0.790368272</v>
      </c>
      <c r="H247" s="10">
        <v>0.7875354108</v>
      </c>
      <c r="I247" s="10">
        <v>0.7875354108</v>
      </c>
      <c r="J247" s="10">
        <v>0.8186968839</v>
      </c>
      <c r="K247" s="10">
        <v>0.790368272</v>
      </c>
      <c r="L247" s="10">
        <v>0.7790368272</v>
      </c>
      <c r="M247" s="10">
        <v>0.7875354108</v>
      </c>
      <c r="O247" s="7">
        <f>IFERROR(__xludf.DUMMYFUNCTION("""COMPUTED_VALUE"""),-0.02780418584654784)</f>
        <v>-0.02780418585</v>
      </c>
      <c r="P247" s="7">
        <f>IFERROR(__xludf.DUMMYFUNCTION("""COMPUTED_VALUE"""),0.1081729278)</f>
        <v>0.1081729278</v>
      </c>
      <c r="Q247" s="7">
        <f>IFERROR(__xludf.DUMMYFUNCTION("""COMPUTED_VALUE"""),0.6337677054)</f>
        <v>0.6337677054</v>
      </c>
    </row>
    <row r="248">
      <c r="A248" s="10" t="s">
        <v>18</v>
      </c>
      <c r="B248" s="10">
        <v>0.8300283286</v>
      </c>
      <c r="C248" s="10">
        <v>0.8016997167</v>
      </c>
      <c r="D248" s="10">
        <v>0.7988668555</v>
      </c>
      <c r="E248" s="10">
        <v>0.8130311615</v>
      </c>
      <c r="F248" s="10">
        <v>0.8300283286</v>
      </c>
      <c r="G248" s="10">
        <v>0.7705382436</v>
      </c>
      <c r="H248" s="10">
        <v>0.7677053824</v>
      </c>
      <c r="I248" s="10">
        <v>0.7733711048</v>
      </c>
      <c r="J248" s="10">
        <v>0.7790368272</v>
      </c>
      <c r="K248" s="10">
        <v>0.7733711048</v>
      </c>
      <c r="L248" s="10">
        <v>0.7677053824</v>
      </c>
      <c r="M248" s="10">
        <v>0.8413597734</v>
      </c>
      <c r="O248" s="7">
        <f>IFERROR(__xludf.DUMMYFUNCTION("""COMPUTED_VALUE"""),0.02020012658342258)</f>
        <v>0.02020012658</v>
      </c>
      <c r="P248" s="7">
        <f>IFERROR(__xludf.DUMMYFUNCTION("""COMPUTED_VALUE"""),0.002581776489)</f>
        <v>0.002581776489</v>
      </c>
      <c r="Q248" s="7">
        <f>IFERROR(__xludf.DUMMYFUNCTION("""COMPUTED_VALUE"""),0.6284135977)</f>
        <v>0.6284135977</v>
      </c>
    </row>
    <row r="249">
      <c r="A249" s="10" t="s">
        <v>19</v>
      </c>
      <c r="B249" s="10">
        <v>0.7082152975</v>
      </c>
      <c r="C249" s="10">
        <v>0.6798866856</v>
      </c>
      <c r="D249" s="10">
        <v>0.597733711</v>
      </c>
      <c r="E249" s="10">
        <v>0.7138810198</v>
      </c>
      <c r="F249" s="10">
        <v>0.7592067989</v>
      </c>
      <c r="G249" s="10">
        <v>0.6458923513</v>
      </c>
      <c r="H249" s="10">
        <v>0.6798866856</v>
      </c>
      <c r="I249" s="10">
        <v>0.5779036827</v>
      </c>
      <c r="J249" s="10">
        <v>0.6203966006</v>
      </c>
      <c r="K249" s="10">
        <v>0.6373937677</v>
      </c>
      <c r="L249" s="10">
        <v>0.7082152975</v>
      </c>
      <c r="M249" s="10">
        <v>0.9348441926</v>
      </c>
      <c r="O249" s="7">
        <f>IFERROR(__xludf.DUMMYFUNCTION("""COMPUTED_VALUE"""),-0.01174835944639823)</f>
        <v>-0.01174835945</v>
      </c>
      <c r="P249" s="7">
        <f>IFERROR(__xludf.DUMMYFUNCTION("""COMPUTED_VALUE"""),0.0)</f>
        <v>0</v>
      </c>
      <c r="Q249" s="7">
        <f>IFERROR(__xludf.DUMMYFUNCTION("""COMPUTED_VALUE"""),0.6111614731)</f>
        <v>0.6111614731</v>
      </c>
    </row>
    <row r="250">
      <c r="A250" s="10" t="s">
        <v>20</v>
      </c>
      <c r="B250" s="10">
        <v>0.7365439093</v>
      </c>
      <c r="C250" s="10">
        <v>0.7053824363</v>
      </c>
      <c r="D250" s="10">
        <v>0.6968838527</v>
      </c>
      <c r="E250" s="10">
        <v>0.6912181303</v>
      </c>
      <c r="F250" s="10">
        <v>0.6968838527</v>
      </c>
      <c r="G250" s="10">
        <v>0.7110481586</v>
      </c>
      <c r="H250" s="10">
        <v>0.6203966006</v>
      </c>
      <c r="I250" s="10">
        <v>0.716713881</v>
      </c>
      <c r="J250" s="10">
        <v>0.6430594901</v>
      </c>
      <c r="K250" s="10">
        <v>0.6742209632</v>
      </c>
      <c r="L250" s="10">
        <v>0.7620396601</v>
      </c>
      <c r="M250" s="10">
        <v>0.8583569405</v>
      </c>
      <c r="O250" s="7">
        <f>IFERROR(__xludf.DUMMYFUNCTION("""COMPUTED_VALUE"""),0.03405140098151101)</f>
        <v>0.03405140098</v>
      </c>
      <c r="P250" s="7">
        <f>IFERROR(__xludf.DUMMYFUNCTION("""COMPUTED_VALUE"""),0.0)</f>
        <v>0</v>
      </c>
      <c r="Q250" s="7">
        <f>IFERROR(__xludf.DUMMYFUNCTION("""COMPUTED_VALUE"""),0.7703966006)</f>
        <v>0.7703966006</v>
      </c>
    </row>
    <row r="251">
      <c r="A251" s="10" t="s">
        <v>21</v>
      </c>
      <c r="B251" s="10">
        <v>0.7110481586</v>
      </c>
      <c r="C251" s="10">
        <v>0.6685552408</v>
      </c>
      <c r="D251" s="10">
        <v>0.6912181303</v>
      </c>
      <c r="E251" s="10">
        <v>0.6402266289</v>
      </c>
      <c r="F251" s="10">
        <v>0.6855524079</v>
      </c>
      <c r="G251" s="10">
        <v>0.6288951841</v>
      </c>
      <c r="H251" s="10">
        <v>0.6062322946</v>
      </c>
      <c r="I251" s="10">
        <v>0.6345609065</v>
      </c>
      <c r="J251" s="10">
        <v>0.5382436261</v>
      </c>
      <c r="K251" s="10">
        <v>0.5240793201</v>
      </c>
      <c r="L251" s="10">
        <v>0.5439093484</v>
      </c>
      <c r="M251" s="10">
        <v>0.5722379603</v>
      </c>
      <c r="O251" s="7">
        <f>IFERROR(__xludf.DUMMYFUNCTION("""COMPUTED_VALUE"""),-0.02514721553636509)</f>
        <v>-0.02514721554</v>
      </c>
      <c r="P251" s="7">
        <f>IFERROR(__xludf.DUMMYFUNCTION("""COMPUTED_VALUE"""),0.07472044244)</f>
        <v>0.07472044244</v>
      </c>
      <c r="Q251" s="7">
        <f>IFERROR(__xludf.DUMMYFUNCTION("""COMPUTED_VALUE"""),0.711388102)</f>
        <v>0.711388102</v>
      </c>
    </row>
    <row r="252">
      <c r="A252" s="10" t="s">
        <v>22</v>
      </c>
      <c r="B252" s="10">
        <v>0.7450424929</v>
      </c>
      <c r="C252" s="10">
        <v>0.7677053824</v>
      </c>
      <c r="D252" s="10">
        <v>0.7365439093</v>
      </c>
      <c r="E252" s="10">
        <v>0.7507082153</v>
      </c>
      <c r="F252" s="10">
        <v>0.8130311615</v>
      </c>
      <c r="G252" s="10">
        <v>0.611898017</v>
      </c>
      <c r="H252" s="10">
        <v>0.6402266289</v>
      </c>
      <c r="I252" s="10">
        <v>0.6005665722</v>
      </c>
      <c r="J252" s="10">
        <v>0.6090651558</v>
      </c>
      <c r="K252" s="10">
        <v>0.6288951841</v>
      </c>
      <c r="L252" s="10">
        <v>0.7138810198</v>
      </c>
      <c r="M252" s="10">
        <v>0.8045325779</v>
      </c>
      <c r="O252" s="7">
        <f>IFERROR(__xludf.DUMMYFUNCTION("""COMPUTED_VALUE"""),0.02937740385799728)</f>
        <v>0.02937740386</v>
      </c>
      <c r="P252" s="7">
        <f>IFERROR(__xludf.DUMMYFUNCTION("""COMPUTED_VALUE"""),0.1114642207)</f>
        <v>0.1114642207</v>
      </c>
      <c r="Q252" s="7">
        <f>IFERROR(__xludf.DUMMYFUNCTION("""COMPUTED_VALUE"""),0.8443909348)</f>
        <v>0.8443909348</v>
      </c>
    </row>
    <row r="253">
      <c r="A253" s="10" t="s">
        <v>23</v>
      </c>
      <c r="B253" s="10">
        <v>0.6898016997</v>
      </c>
      <c r="C253" s="10">
        <v>0.7273087819</v>
      </c>
      <c r="D253" s="10">
        <v>0.7479320113</v>
      </c>
      <c r="E253" s="10">
        <v>0.7581303116</v>
      </c>
      <c r="F253" s="10">
        <v>0.6973654391</v>
      </c>
      <c r="G253" s="10">
        <v>0.6337677054</v>
      </c>
      <c r="H253" s="10">
        <v>0.6284135977</v>
      </c>
      <c r="I253" s="10">
        <v>0.6111614731</v>
      </c>
      <c r="J253" s="10">
        <v>0.7703966006</v>
      </c>
      <c r="K253" s="10">
        <v>0.711388102</v>
      </c>
      <c r="L253" s="10">
        <v>0.8443909348</v>
      </c>
      <c r="M253" s="10">
        <v>0.8974220963</v>
      </c>
      <c r="O253" s="7">
        <f>IFERROR(__xludf.DUMMYFUNCTION("""COMPUTED_VALUE"""),-5.629871398142722E-4)</f>
        <v>-0.0005629871398</v>
      </c>
      <c r="P253" s="7">
        <f>IFERROR(__xludf.DUMMYFUNCTION("""COMPUTED_VALUE"""),1.0)</f>
        <v>1</v>
      </c>
      <c r="Q253" s="7">
        <f>IFERROR(__xludf.DUMMYFUNCTION("""COMPUTED_VALUE"""),0.8974220963)</f>
        <v>0.8974220963</v>
      </c>
    </row>
    <row r="254">
      <c r="A254" s="10" t="s">
        <v>24</v>
      </c>
      <c r="B254" s="10">
        <v>0.7478753541</v>
      </c>
      <c r="C254" s="10">
        <v>0.8413597734</v>
      </c>
      <c r="D254" s="10">
        <v>1.0</v>
      </c>
      <c r="E254" s="10">
        <v>0.9886685552</v>
      </c>
      <c r="F254" s="10">
        <v>0.9688385269</v>
      </c>
      <c r="G254" s="10">
        <v>0.9943342776</v>
      </c>
      <c r="H254" s="10">
        <v>0.940509915</v>
      </c>
      <c r="I254" s="10">
        <v>0.8838526912</v>
      </c>
      <c r="J254" s="10">
        <v>0.954674221</v>
      </c>
      <c r="K254" s="10">
        <v>0.9206798867</v>
      </c>
      <c r="L254" s="10">
        <v>0.9376770538</v>
      </c>
      <c r="M254" s="10">
        <v>0.6827195467</v>
      </c>
      <c r="O254" s="7">
        <f>IFERROR(__xludf.DUMMYFUNCTION("""COMPUTED_VALUE"""),0.00458648042492285)</f>
        <v>0.004586480425</v>
      </c>
      <c r="P254" s="7">
        <f>IFERROR(__xludf.DUMMYFUNCTION("""COMPUTED_VALUE"""),0.2346988602)</f>
        <v>0.2346988602</v>
      </c>
      <c r="Q254" s="7">
        <f>IFERROR(__xludf.DUMMYFUNCTION("""COMPUTED_VALUE"""),0.7478753541)</f>
        <v>0.7478753541</v>
      </c>
    </row>
    <row r="255">
      <c r="A255" s="10" t="s">
        <v>25</v>
      </c>
      <c r="B255" s="10">
        <v>0.7053824363</v>
      </c>
      <c r="C255" s="10">
        <v>0.7082152975</v>
      </c>
      <c r="D255" s="10">
        <v>0.7110481586</v>
      </c>
      <c r="E255" s="10">
        <v>0.7110481586</v>
      </c>
      <c r="F255" s="10">
        <v>0.6968838527</v>
      </c>
      <c r="G255" s="10">
        <v>0.6742209632</v>
      </c>
      <c r="H255" s="10">
        <v>0.6742209632</v>
      </c>
      <c r="I255" s="10">
        <v>0.7025495751</v>
      </c>
      <c r="J255" s="10">
        <v>0.716713881</v>
      </c>
      <c r="K255" s="10">
        <v>0.7252124646</v>
      </c>
      <c r="L255" s="10">
        <v>0.7195467422</v>
      </c>
      <c r="M255" s="10">
        <v>0.7280453258</v>
      </c>
      <c r="O255" s="7">
        <f>IFERROR(__xludf.DUMMYFUNCTION("""COMPUTED_VALUE"""),0.04307016408355807)</f>
        <v>0.04307016408</v>
      </c>
      <c r="P255" s="7">
        <f>IFERROR(__xludf.DUMMYFUNCTION("""COMPUTED_VALUE"""),0.2039441559)</f>
        <v>0.2039441559</v>
      </c>
      <c r="Q255" s="7">
        <f>IFERROR(__xludf.DUMMYFUNCTION("""COMPUTED_VALUE"""),0.8413597734)</f>
        <v>0.8413597734</v>
      </c>
    </row>
    <row r="256">
      <c r="A256" s="10" t="s">
        <v>26</v>
      </c>
      <c r="B256" s="10">
        <v>0.657223796</v>
      </c>
      <c r="C256" s="10">
        <v>0.6373937677</v>
      </c>
      <c r="D256" s="10">
        <v>0.6855524079</v>
      </c>
      <c r="E256" s="10">
        <v>0.7223796034</v>
      </c>
      <c r="F256" s="10">
        <v>0.6742209632</v>
      </c>
      <c r="G256" s="10">
        <v>0.7025495751</v>
      </c>
      <c r="H256" s="10">
        <v>0.7082152975</v>
      </c>
      <c r="I256" s="10">
        <v>0.7790368272</v>
      </c>
      <c r="J256" s="10">
        <v>0.7195467422</v>
      </c>
      <c r="K256" s="10">
        <v>0.7025495751</v>
      </c>
      <c r="L256" s="10">
        <v>0.7648725212</v>
      </c>
      <c r="M256" s="10">
        <v>0.6883852691</v>
      </c>
      <c r="O256" s="7">
        <f>IFERROR(__xludf.DUMMYFUNCTION("""COMPUTED_VALUE"""),0.007239943615408219)</f>
        <v>0.007239943615</v>
      </c>
      <c r="P256" s="7">
        <f>IFERROR(__xludf.DUMMYFUNCTION("""COMPUTED_VALUE"""),0.17912457)</f>
        <v>0.17912457</v>
      </c>
      <c r="Q256" s="7">
        <f>IFERROR(__xludf.DUMMYFUNCTION("""COMPUTED_VALUE"""),1.0)</f>
        <v>1</v>
      </c>
    </row>
    <row r="257">
      <c r="A257" s="10" t="s">
        <v>27</v>
      </c>
      <c r="B257" s="10">
        <v>0.9093484419</v>
      </c>
      <c r="C257" s="10">
        <v>0.8725212465</v>
      </c>
      <c r="D257" s="10">
        <v>0.8498583569</v>
      </c>
      <c r="E257" s="10">
        <v>0.8413597734</v>
      </c>
      <c r="F257" s="10">
        <v>0.7422096317</v>
      </c>
      <c r="G257" s="10">
        <v>0.6232294618</v>
      </c>
      <c r="H257" s="10">
        <v>0.3852691218</v>
      </c>
      <c r="I257" s="10">
        <v>0.2747875354</v>
      </c>
      <c r="J257" s="10">
        <v>0.0</v>
      </c>
      <c r="K257" s="10">
        <v>0.4164305949</v>
      </c>
      <c r="L257" s="10">
        <v>0.8866855524</v>
      </c>
      <c r="M257" s="10">
        <v>0.790368272</v>
      </c>
      <c r="O257" s="7">
        <f>IFERROR(__xludf.DUMMYFUNCTION("""COMPUTED_VALUE"""),0.03543065442953279)</f>
        <v>0.03543065443</v>
      </c>
      <c r="P257" s="7">
        <f>IFERROR(__xludf.DUMMYFUNCTION("""COMPUTED_VALUE"""),0.06204087138)</f>
        <v>0.06204087138</v>
      </c>
      <c r="Q257" s="7">
        <f>IFERROR(__xludf.DUMMYFUNCTION("""COMPUTED_VALUE"""),0.9886685552)</f>
        <v>0.9886685552</v>
      </c>
    </row>
    <row r="258">
      <c r="A258" s="10" t="s">
        <v>28</v>
      </c>
      <c r="B258" s="10">
        <v>0.9631728045</v>
      </c>
      <c r="C258" s="10">
        <v>0.9603399433</v>
      </c>
      <c r="D258" s="10">
        <v>0.9093484419</v>
      </c>
      <c r="E258" s="10">
        <v>0.9886685552</v>
      </c>
      <c r="F258" s="10">
        <v>0.8696883853</v>
      </c>
      <c r="G258" s="10">
        <v>0.9660056657</v>
      </c>
      <c r="H258" s="10">
        <v>0.9745042493</v>
      </c>
      <c r="I258" s="10">
        <v>0.9178470255</v>
      </c>
      <c r="J258" s="10">
        <v>0.8441926346</v>
      </c>
      <c r="K258" s="10">
        <v>0.8130311615</v>
      </c>
      <c r="L258" s="10">
        <v>0.9575070822</v>
      </c>
      <c r="M258" s="10">
        <v>0.9121813031</v>
      </c>
      <c r="O258" s="7">
        <f>IFERROR(__xludf.DUMMYFUNCTION("""COMPUTED_VALUE"""),0.04376936131790155)</f>
        <v>0.04376936132</v>
      </c>
      <c r="P258" s="7">
        <f>IFERROR(__xludf.DUMMYFUNCTION("""COMPUTED_VALUE"""),0.05394752816)</f>
        <v>0.05394752816</v>
      </c>
      <c r="Q258" s="7">
        <f>IFERROR(__xludf.DUMMYFUNCTION("""COMPUTED_VALUE"""),0.9688385269)</f>
        <v>0.9688385269</v>
      </c>
    </row>
    <row r="259">
      <c r="A259" s="10" t="s">
        <v>29</v>
      </c>
      <c r="B259" s="10">
        <v>0.8130311615</v>
      </c>
      <c r="C259" s="10">
        <v>0.8725212465</v>
      </c>
      <c r="D259" s="10">
        <v>0.9121813031</v>
      </c>
      <c r="E259" s="10">
        <v>0.9036827195</v>
      </c>
      <c r="F259" s="10">
        <v>0.9178470255</v>
      </c>
      <c r="G259" s="10">
        <v>0.9433427762</v>
      </c>
      <c r="H259" s="10">
        <v>0.9320113314</v>
      </c>
      <c r="I259" s="10">
        <v>0.9320113314</v>
      </c>
      <c r="J259" s="10">
        <v>0.9065155807</v>
      </c>
      <c r="K259" s="10">
        <v>0.9688385269</v>
      </c>
      <c r="L259" s="10">
        <v>0.9433427762</v>
      </c>
      <c r="M259" s="10">
        <v>0.8555240793</v>
      </c>
      <c r="O259" s="7">
        <f>IFERROR(__xludf.DUMMYFUNCTION("""COMPUTED_VALUE"""),-0.02054374773913064)</f>
        <v>-0.02054374774</v>
      </c>
      <c r="P259" s="7">
        <f>IFERROR(__xludf.DUMMYFUNCTION("""COMPUTED_VALUE"""),0.0733715519)</f>
        <v>0.0733715519</v>
      </c>
      <c r="Q259" s="7">
        <f>IFERROR(__xludf.DUMMYFUNCTION("""COMPUTED_VALUE"""),0.9943342776)</f>
        <v>0.9943342776</v>
      </c>
    </row>
    <row r="260">
      <c r="A260" s="10" t="s">
        <v>30</v>
      </c>
      <c r="B260" s="10">
        <v>0.9518413598</v>
      </c>
      <c r="C260" s="10">
        <v>0.9943342776</v>
      </c>
      <c r="D260" s="10">
        <v>0.9518413598</v>
      </c>
      <c r="E260" s="10">
        <v>0.7932011331</v>
      </c>
      <c r="F260" s="10">
        <v>0.9631728045</v>
      </c>
      <c r="G260" s="10">
        <v>0.5750708215</v>
      </c>
      <c r="H260" s="10">
        <v>0.8668555241</v>
      </c>
      <c r="I260" s="10">
        <v>0.7280453258</v>
      </c>
      <c r="J260" s="10">
        <v>0.7252124646</v>
      </c>
      <c r="K260" s="10">
        <v>0.6855524079</v>
      </c>
      <c r="L260" s="10">
        <v>0.7252124646</v>
      </c>
      <c r="M260" s="10">
        <v>0.8895184136</v>
      </c>
      <c r="O260" s="7">
        <f>IFERROR(__xludf.DUMMYFUNCTION("""COMPUTED_VALUE"""),0.004476652584727923)</f>
        <v>0.004476652585</v>
      </c>
      <c r="P260" s="7">
        <f>IFERROR(__xludf.DUMMYFUNCTION("""COMPUTED_VALUE"""),0.04855196601)</f>
        <v>0.04855196601</v>
      </c>
      <c r="Q260" s="7">
        <f>IFERROR(__xludf.DUMMYFUNCTION("""COMPUTED_VALUE"""),0.940509915)</f>
        <v>0.940509915</v>
      </c>
    </row>
    <row r="261">
      <c r="A261" s="10" t="s">
        <v>31</v>
      </c>
      <c r="B261" s="10">
        <v>0.6402266289</v>
      </c>
      <c r="C261" s="10">
        <v>0.6770538244</v>
      </c>
      <c r="D261" s="10">
        <v>0.6855524079</v>
      </c>
      <c r="E261" s="10">
        <v>0.6798866856</v>
      </c>
      <c r="F261" s="10">
        <v>0.7648725212</v>
      </c>
      <c r="G261" s="10">
        <v>0.6855524079</v>
      </c>
      <c r="H261" s="10">
        <v>0.6685552408</v>
      </c>
      <c r="I261" s="10">
        <v>0.716713881</v>
      </c>
      <c r="J261" s="10">
        <v>0.8866855524</v>
      </c>
      <c r="K261" s="10">
        <v>0.6912181303</v>
      </c>
      <c r="L261" s="10">
        <v>0.6600566572</v>
      </c>
      <c r="M261" s="10">
        <v>0.8441926346</v>
      </c>
      <c r="O261" s="7">
        <f>IFERROR(__xludf.DUMMYFUNCTION("""COMPUTED_VALUE"""),-0.02461149622386271)</f>
        <v>-0.02461149622</v>
      </c>
      <c r="P261" s="7">
        <f>IFERROR(__xludf.DUMMYFUNCTION("""COMPUTED_VALUE"""),0.03722128549)</f>
        <v>0.03722128549</v>
      </c>
      <c r="Q261" s="7">
        <f>IFERROR(__xludf.DUMMYFUNCTION("""COMPUTED_VALUE"""),0.8838526912)</f>
        <v>0.8838526912</v>
      </c>
    </row>
    <row r="262">
      <c r="O262" s="7">
        <f>IFERROR(__xludf.DUMMYFUNCTION("""COMPUTED_VALUE"""),-0.01711429938416075)</f>
        <v>-0.01711429938</v>
      </c>
      <c r="P262" s="7">
        <f>IFERROR(__xludf.DUMMYFUNCTION("""COMPUTED_VALUE"""),0.1451325285)</f>
        <v>0.1451325285</v>
      </c>
      <c r="Q262" s="7">
        <f>IFERROR(__xludf.DUMMYFUNCTION("""COMPUTED_VALUE"""),0.954674221)</f>
        <v>0.954674221</v>
      </c>
    </row>
    <row r="263">
      <c r="O263" s="7">
        <f>IFERROR(__xludf.DUMMYFUNCTION("""COMPUTED_VALUE"""),-0.01063667158082518)</f>
        <v>-0.01063667158</v>
      </c>
      <c r="P263" s="7">
        <f>IFERROR(__xludf.DUMMYFUNCTION("""COMPUTED_VALUE"""),0.09063735078)</f>
        <v>0.09063735078</v>
      </c>
      <c r="Q263" s="7">
        <f>IFERROR(__xludf.DUMMYFUNCTION("""COMPUTED_VALUE"""),0.9206798867)</f>
        <v>0.9206798867</v>
      </c>
    </row>
    <row r="264">
      <c r="O264" s="7">
        <f>IFERROR(__xludf.DUMMYFUNCTION("""COMPUTED_VALUE"""),0.04625998937010491)</f>
        <v>0.04625998937</v>
      </c>
      <c r="P264" s="7">
        <f>IFERROR(__xludf.DUMMYFUNCTION("""COMPUTED_VALUE"""),0.09063735078)</f>
        <v>0.09063735078</v>
      </c>
      <c r="Q264" s="7">
        <f>IFERROR(__xludf.DUMMYFUNCTION("""COMPUTED_VALUE"""),0.9376770538)</f>
        <v>0.9376770538</v>
      </c>
    </row>
    <row r="265">
      <c r="A265" s="11" t="s">
        <v>110</v>
      </c>
      <c r="B265" s="12">
        <v>2025.0</v>
      </c>
      <c r="C265" s="12">
        <v>2024.0</v>
      </c>
      <c r="D265" s="12">
        <v>2023.0</v>
      </c>
      <c r="E265" s="12">
        <v>2022.0</v>
      </c>
      <c r="F265" s="12">
        <v>2021.0</v>
      </c>
      <c r="G265" s="12">
        <v>2020.0</v>
      </c>
      <c r="H265" s="12">
        <v>2019.0</v>
      </c>
      <c r="I265" s="12">
        <v>2018.0</v>
      </c>
      <c r="J265" s="12">
        <v>2017.0</v>
      </c>
      <c r="K265" s="12">
        <v>2016.0</v>
      </c>
      <c r="L265" s="12">
        <v>2015.0</v>
      </c>
      <c r="M265" s="12">
        <v>2014.0</v>
      </c>
      <c r="N265" s="4"/>
      <c r="O265" s="7">
        <f>IFERROR(__xludf.DUMMYFUNCTION("""COMPUTED_VALUE"""),0.03249862732219783)</f>
        <v>0.03249862732</v>
      </c>
      <c r="P265" s="7">
        <f>IFERROR(__xludf.DUMMYFUNCTION("""COMPUTED_VALUE"""),0.07067377082)</f>
        <v>0.07067377082</v>
      </c>
      <c r="Q265" s="7">
        <f>IFERROR(__xludf.DUMMYFUNCTION("""COMPUTED_VALUE"""),0.6827195467)</f>
        <v>0.6827195467</v>
      </c>
    </row>
    <row r="266">
      <c r="A266" s="4" t="s">
        <v>3</v>
      </c>
      <c r="B266" s="13">
        <v>0.5326348676</v>
      </c>
      <c r="C266" s="13">
        <v>0.462500688</v>
      </c>
      <c r="D266" s="13">
        <v>0.3622563143</v>
      </c>
      <c r="E266" s="13">
        <v>0.3201332085</v>
      </c>
      <c r="F266" s="13">
        <v>0.3451701076</v>
      </c>
      <c r="G266" s="13">
        <v>0.3622563143</v>
      </c>
      <c r="H266" s="13">
        <v>0.3709224427</v>
      </c>
      <c r="I266" s="13">
        <v>0.397432307</v>
      </c>
      <c r="J266" s="13">
        <v>0.3160271858</v>
      </c>
      <c r="K266" s="13">
        <v>0.2376064065</v>
      </c>
      <c r="L266" s="13">
        <v>0.233858915</v>
      </c>
      <c r="M266" s="13">
        <v>0.264284434</v>
      </c>
      <c r="N266" s="4"/>
      <c r="O266" s="7">
        <f>IFERROR(__xludf.DUMMYFUNCTION("""COMPUTED_VALUE"""),0.07958817829)</f>
        <v>0.07958817829</v>
      </c>
      <c r="P266" s="7">
        <f>IFERROR(__xludf.DUMMYFUNCTION("""COMPUTED_VALUE"""),0.4135617455)</f>
        <v>0.4135617455</v>
      </c>
      <c r="Q266" s="7">
        <f>IFERROR(__xludf.DUMMYFUNCTION("""COMPUTED_VALUE"""),0.7053824363)</f>
        <v>0.7053824363</v>
      </c>
    </row>
    <row r="267">
      <c r="A267" s="4" t="s">
        <v>4</v>
      </c>
      <c r="B267" s="13">
        <v>0.9912920056</v>
      </c>
      <c r="C267" s="13">
        <v>0.9741244311</v>
      </c>
      <c r="D267" s="13">
        <v>0.9741244311</v>
      </c>
      <c r="E267" s="13">
        <v>0.9741244311</v>
      </c>
      <c r="F267" s="13">
        <v>1.0</v>
      </c>
      <c r="G267" s="13">
        <v>1.0</v>
      </c>
      <c r="H267" s="13">
        <v>0.965661736</v>
      </c>
      <c r="I267" s="13">
        <v>0.9741244311</v>
      </c>
      <c r="J267" s="13">
        <v>0.965661736</v>
      </c>
      <c r="K267" s="13">
        <v>0.9826673426</v>
      </c>
      <c r="L267" s="13">
        <v>0.9489710662</v>
      </c>
      <c r="M267" s="13">
        <v>0.9741244311</v>
      </c>
      <c r="N267" s="4"/>
      <c r="O267" s="7">
        <f>IFERROR(__xludf.DUMMYFUNCTION("""COMPUTED_VALUE"""),0.3010389084)</f>
        <v>0.3010389084</v>
      </c>
      <c r="P267" s="7">
        <f>IFERROR(__xludf.DUMMYFUNCTION("""COMPUTED_VALUE"""),0.430449855)</f>
        <v>0.430449855</v>
      </c>
      <c r="Q267" s="7">
        <f>IFERROR(__xludf.DUMMYFUNCTION("""COMPUTED_VALUE"""),0.7082152975)</f>
        <v>0.7082152975</v>
      </c>
    </row>
    <row r="268">
      <c r="A268" s="4" t="s">
        <v>5</v>
      </c>
      <c r="B268" s="13">
        <v>0.4574420529</v>
      </c>
      <c r="C268" s="13">
        <v>0.3933567403</v>
      </c>
      <c r="D268" s="13">
        <v>0.3421508305</v>
      </c>
      <c r="E268" s="13">
        <v>0.3614808784</v>
      </c>
      <c r="F268" s="13">
        <v>0.3956331497</v>
      </c>
      <c r="G268" s="13">
        <v>0.4475876574</v>
      </c>
      <c r="H268" s="13">
        <v>0.2370003656</v>
      </c>
      <c r="I268" s="13">
        <v>0.3191961727</v>
      </c>
      <c r="J268" s="13">
        <v>0.3144179224</v>
      </c>
      <c r="K268" s="13">
        <v>0.3791011188</v>
      </c>
      <c r="L268" s="13">
        <v>0.3464026268</v>
      </c>
      <c r="M268" s="13">
        <v>0.3658464498</v>
      </c>
      <c r="N268" s="4"/>
      <c r="O268" s="7">
        <f>IFERROR(__xludf.DUMMYFUNCTION("""COMPUTED_VALUE"""),0.1179561749)</f>
        <v>0.1179561749</v>
      </c>
      <c r="P268" s="7">
        <f>IFERROR(__xludf.DUMMYFUNCTION("""COMPUTED_VALUE"""),0.02259931207)</f>
        <v>0.02259931207</v>
      </c>
      <c r="Q268" s="7">
        <f>IFERROR(__xludf.DUMMYFUNCTION("""COMPUTED_VALUE"""),0.7110481586)</f>
        <v>0.7110481586</v>
      </c>
    </row>
    <row r="269">
      <c r="A269" s="4" t="s">
        <v>6</v>
      </c>
      <c r="B269" s="13">
        <v>0.7588405617</v>
      </c>
      <c r="C269" s="13">
        <v>0.7739520683</v>
      </c>
      <c r="D269" s="13">
        <v>0.8011696078</v>
      </c>
      <c r="E269" s="13">
        <v>0.8805759601</v>
      </c>
      <c r="F269" s="13">
        <v>0.9451236614</v>
      </c>
      <c r="G269" s="13">
        <v>0.8732564434</v>
      </c>
      <c r="H269" s="13">
        <v>0.8503126561</v>
      </c>
      <c r="I269" s="13">
        <v>1.0</v>
      </c>
      <c r="J269" s="13">
        <v>1.0</v>
      </c>
      <c r="K269" s="13">
        <v>1.0</v>
      </c>
      <c r="L269" s="13">
        <v>1.0</v>
      </c>
      <c r="M269" s="13">
        <v>1.0</v>
      </c>
      <c r="N269" s="4"/>
      <c r="O269" s="7">
        <f>IFERROR(__xludf.DUMMYFUNCTION("""COMPUTED_VALUE"""),0.1792926486)</f>
        <v>0.1792926486</v>
      </c>
      <c r="P269" s="7">
        <f>IFERROR(__xludf.DUMMYFUNCTION("""COMPUTED_VALUE"""),0.0)</f>
        <v>0</v>
      </c>
      <c r="Q269" s="7">
        <f>IFERROR(__xludf.DUMMYFUNCTION("""COMPUTED_VALUE"""),0.7110481586)</f>
        <v>0.7110481586</v>
      </c>
    </row>
    <row r="270">
      <c r="A270" s="4" t="s">
        <v>7</v>
      </c>
      <c r="B270" s="13">
        <v>0.9183099302</v>
      </c>
      <c r="C270" s="13">
        <v>0.9060227573</v>
      </c>
      <c r="D270" s="13">
        <v>0.8805759601</v>
      </c>
      <c r="E270" s="13">
        <v>0.9121406381</v>
      </c>
      <c r="F270" s="13">
        <v>0.9451236614</v>
      </c>
      <c r="G270" s="13">
        <v>0.8761754987</v>
      </c>
      <c r="H270" s="13">
        <v>0.7259357698</v>
      </c>
      <c r="I270" s="13">
        <v>0.9696245373</v>
      </c>
      <c r="J270" s="13">
        <v>0.8253300074</v>
      </c>
      <c r="K270" s="13">
        <v>0.7464809863</v>
      </c>
      <c r="L270" s="13">
        <v>0.7816260906</v>
      </c>
      <c r="M270" s="13">
        <v>0.724744948</v>
      </c>
      <c r="N270" s="4"/>
      <c r="O270" s="7">
        <f>IFERROR(__xludf.DUMMYFUNCTION("""COMPUTED_VALUE"""),0.5495296692)</f>
        <v>0.5495296692</v>
      </c>
      <c r="P270" s="7">
        <f>IFERROR(__xludf.DUMMYFUNCTION("""COMPUTED_VALUE"""),0.0)</f>
        <v>0</v>
      </c>
      <c r="Q270" s="7">
        <f>IFERROR(__xludf.DUMMYFUNCTION("""COMPUTED_VALUE"""),0.6968838527)</f>
        <v>0.6968838527</v>
      </c>
    </row>
    <row r="271">
      <c r="A271" s="4" t="s">
        <v>8</v>
      </c>
      <c r="B271" s="13">
        <v>0.3160271858</v>
      </c>
      <c r="C271" s="13">
        <v>0.3451701076</v>
      </c>
      <c r="D271" s="13">
        <v>0.3579542994</v>
      </c>
      <c r="E271" s="13">
        <v>0.4340371516</v>
      </c>
      <c r="F271" s="13">
        <v>0.4869268553</v>
      </c>
      <c r="G271" s="13">
        <v>0.233858915</v>
      </c>
      <c r="H271" s="13">
        <v>0.2917762947</v>
      </c>
      <c r="I271" s="13">
        <v>0.5862977638</v>
      </c>
      <c r="J271" s="13">
        <v>0.5326348676</v>
      </c>
      <c r="K271" s="13">
        <v>0.6258583016</v>
      </c>
      <c r="L271" s="13">
        <v>0.5484009327</v>
      </c>
      <c r="M271" s="13">
        <v>0.5069559109</v>
      </c>
      <c r="N271" s="4"/>
      <c r="O271" s="7">
        <f>IFERROR(__xludf.DUMMYFUNCTION("""COMPUTED_VALUE"""),0.04388831226)</f>
        <v>0.04388831226</v>
      </c>
      <c r="P271" s="7">
        <f>IFERROR(__xludf.DUMMYFUNCTION("""COMPUTED_VALUE"""),0.0)</f>
        <v>0</v>
      </c>
      <c r="Q271" s="7">
        <f>IFERROR(__xludf.DUMMYFUNCTION("""COMPUTED_VALUE"""),0.6742209632)</f>
        <v>0.6742209632</v>
      </c>
    </row>
    <row r="272">
      <c r="A272" s="4" t="s">
        <v>9</v>
      </c>
      <c r="B272" s="13">
        <v>0.3451701076</v>
      </c>
      <c r="C272" s="13">
        <v>0.2008147508</v>
      </c>
      <c r="D272" s="13">
        <v>0.09226019708</v>
      </c>
      <c r="E272" s="13">
        <v>0.03649372664</v>
      </c>
      <c r="F272" s="13">
        <v>0.0</v>
      </c>
      <c r="G272" s="13">
        <v>0.1936332753</v>
      </c>
      <c r="H272" s="13">
        <v>0.1347962771</v>
      </c>
      <c r="I272" s="13">
        <v>0.233858915</v>
      </c>
      <c r="J272" s="13">
        <v>0.1936332753</v>
      </c>
      <c r="K272" s="13">
        <v>0.2008147508</v>
      </c>
      <c r="L272" s="13">
        <v>0.1116431035</v>
      </c>
      <c r="M272" s="13">
        <v>0.2877971695</v>
      </c>
      <c r="N272" s="4"/>
      <c r="O272" s="7">
        <f>IFERROR(__xludf.DUMMYFUNCTION("""COMPUTED_VALUE"""),0.06030117451)</f>
        <v>0.06030117451</v>
      </c>
      <c r="P272" s="7">
        <f>IFERROR(__xludf.DUMMYFUNCTION("""COMPUTED_VALUE"""),0.0)</f>
        <v>0</v>
      </c>
      <c r="Q272" s="7">
        <f>IFERROR(__xludf.DUMMYFUNCTION("""COMPUTED_VALUE"""),0.6742209632)</f>
        <v>0.6742209632</v>
      </c>
    </row>
    <row r="273">
      <c r="A273" s="4" t="s">
        <v>10</v>
      </c>
      <c r="B273" s="13">
        <v>1.0</v>
      </c>
      <c r="C273" s="13">
        <v>1.0</v>
      </c>
      <c r="D273" s="13">
        <v>1.0</v>
      </c>
      <c r="E273" s="13">
        <v>0.9741244311</v>
      </c>
      <c r="F273" s="13">
        <v>0.9741244311</v>
      </c>
      <c r="G273" s="13">
        <v>0.9489710662</v>
      </c>
      <c r="H273" s="13">
        <v>0.9489710662</v>
      </c>
      <c r="I273" s="13">
        <v>1.0</v>
      </c>
      <c r="J273" s="13">
        <v>1.0</v>
      </c>
      <c r="K273" s="13">
        <v>1.0</v>
      </c>
      <c r="L273" s="13">
        <v>1.0</v>
      </c>
      <c r="M273" s="13">
        <v>1.0</v>
      </c>
      <c r="N273" s="4"/>
      <c r="O273" s="7">
        <f>IFERROR(__xludf.DUMMYFUNCTION("""COMPUTED_VALUE"""),0.0827423111)</f>
        <v>0.0827423111</v>
      </c>
      <c r="P273" s="7">
        <f>IFERROR(__xludf.DUMMYFUNCTION("""COMPUTED_VALUE"""),0.131373845)</f>
        <v>0.131373845</v>
      </c>
      <c r="Q273" s="7">
        <f>IFERROR(__xludf.DUMMYFUNCTION("""COMPUTED_VALUE"""),0.7025495751)</f>
        <v>0.7025495751</v>
      </c>
    </row>
    <row r="274">
      <c r="A274" s="4" t="s">
        <v>11</v>
      </c>
      <c r="B274" s="13">
        <v>0.6043035725</v>
      </c>
      <c r="C274" s="13">
        <v>0.5231267176</v>
      </c>
      <c r="D274" s="13">
        <v>0.4640859122</v>
      </c>
      <c r="E274" s="13">
        <v>0.4826727643</v>
      </c>
      <c r="F274" s="13">
        <v>0.4826727643</v>
      </c>
      <c r="G274" s="13">
        <v>0.4541425353</v>
      </c>
      <c r="H274" s="13">
        <v>0.4956209207</v>
      </c>
      <c r="I274" s="13">
        <v>0.3578626283</v>
      </c>
      <c r="J274" s="13">
        <v>0.445958042</v>
      </c>
      <c r="K274" s="13">
        <v>0.4566157822</v>
      </c>
      <c r="L274" s="13">
        <v>0.3994429218</v>
      </c>
      <c r="M274" s="13">
        <v>0.2766253238</v>
      </c>
      <c r="N274" s="4"/>
      <c r="O274" s="7">
        <f>IFERROR(__xludf.DUMMYFUNCTION("""COMPUTED_VALUE"""),0.1490187048)</f>
        <v>0.1490187048</v>
      </c>
      <c r="P274" s="7">
        <f>IFERROR(__xludf.DUMMYFUNCTION("""COMPUTED_VALUE"""),0.1069859041)</f>
        <v>0.1069859041</v>
      </c>
      <c r="Q274" s="7">
        <f>IFERROR(__xludf.DUMMYFUNCTION("""COMPUTED_VALUE"""),0.716713881)</f>
        <v>0.716713881</v>
      </c>
    </row>
    <row r="275">
      <c r="A275" s="4" t="s">
        <v>12</v>
      </c>
      <c r="B275" s="13">
        <v>0.6258583016</v>
      </c>
      <c r="C275" s="13">
        <v>0.6200993657</v>
      </c>
      <c r="D275" s="13">
        <v>0.6374877586</v>
      </c>
      <c r="E275" s="13">
        <v>0.6492692389</v>
      </c>
      <c r="F275" s="13">
        <v>0.6672353569</v>
      </c>
      <c r="G275" s="13">
        <v>0.1517061617</v>
      </c>
      <c r="H275" s="13">
        <v>0.2451484623</v>
      </c>
      <c r="I275" s="13">
        <v>0.233858915</v>
      </c>
      <c r="J275" s="13">
        <v>0.1759260179</v>
      </c>
      <c r="K275" s="13">
        <v>0.2604245977</v>
      </c>
      <c r="L275" s="13">
        <v>0.05470182894</v>
      </c>
      <c r="M275" s="13">
        <v>0.0</v>
      </c>
      <c r="N275" s="4"/>
      <c r="O275" s="7">
        <f>IFERROR(__xludf.DUMMYFUNCTION("""COMPUTED_VALUE"""),0.08269886645)</f>
        <v>0.08269886645</v>
      </c>
      <c r="P275" s="7">
        <f>IFERROR(__xludf.DUMMYFUNCTION("""COMPUTED_VALUE"""),0.1734052742)</f>
        <v>0.1734052742</v>
      </c>
      <c r="Q275" s="7">
        <f>IFERROR(__xludf.DUMMYFUNCTION("""COMPUTED_VALUE"""),0.7252124646)</f>
        <v>0.7252124646</v>
      </c>
    </row>
    <row r="276">
      <c r="A276" s="4" t="s">
        <v>13</v>
      </c>
      <c r="B276" s="13">
        <v>0.3798445532</v>
      </c>
      <c r="C276" s="13">
        <v>0.3761348867</v>
      </c>
      <c r="D276" s="13">
        <v>0.4750120884</v>
      </c>
      <c r="E276" s="13">
        <v>0.4370592489</v>
      </c>
      <c r="F276" s="13">
        <v>0.4227263143</v>
      </c>
      <c r="G276" s="13">
        <v>0.3428577554</v>
      </c>
      <c r="H276" s="13">
        <v>0.3607558003</v>
      </c>
      <c r="I276" s="13">
        <v>0.3979166397</v>
      </c>
      <c r="J276" s="13">
        <v>0.4314520312</v>
      </c>
      <c r="K276" s="13">
        <v>0.432250445</v>
      </c>
      <c r="L276" s="13">
        <v>0.419578865</v>
      </c>
      <c r="M276" s="13">
        <v>0.4243051137</v>
      </c>
      <c r="N276" s="4"/>
      <c r="O276" s="7">
        <f>IFERROR(__xludf.DUMMYFUNCTION("""COMPUTED_VALUE"""),0.1719763062)</f>
        <v>0.1719763062</v>
      </c>
      <c r="P276" s="7">
        <f>IFERROR(__xludf.DUMMYFUNCTION("""COMPUTED_VALUE"""),0.2229904903)</f>
        <v>0.2229904903</v>
      </c>
      <c r="Q276" s="7">
        <f>IFERROR(__xludf.DUMMYFUNCTION("""COMPUTED_VALUE"""),0.7195467422)</f>
        <v>0.7195467422</v>
      </c>
    </row>
    <row r="277">
      <c r="A277" s="4" t="s">
        <v>14</v>
      </c>
      <c r="B277" s="13">
        <v>0.6794148721</v>
      </c>
      <c r="C277" s="13">
        <v>0.6672353569</v>
      </c>
      <c r="D277" s="13">
        <v>0.6200993657</v>
      </c>
      <c r="E277" s="13">
        <v>0.6258583016</v>
      </c>
      <c r="F277" s="13">
        <v>0.704279081</v>
      </c>
      <c r="G277" s="13">
        <v>0.7106038116</v>
      </c>
      <c r="H277" s="13">
        <v>0.8041527903</v>
      </c>
      <c r="I277" s="13">
        <v>0.8400647286</v>
      </c>
      <c r="J277" s="13">
        <v>0.8698615055</v>
      </c>
      <c r="K277" s="13">
        <v>0.8623194497</v>
      </c>
      <c r="L277" s="13">
        <v>0.8623194497</v>
      </c>
      <c r="M277" s="13">
        <v>0.8183463184</v>
      </c>
      <c r="N277" s="4"/>
      <c r="O277" s="7">
        <f>IFERROR(__xludf.DUMMYFUNCTION("""COMPUTED_VALUE"""),0.1849616949)</f>
        <v>0.1849616949</v>
      </c>
      <c r="P277" s="7">
        <f>IFERROR(__xludf.DUMMYFUNCTION("""COMPUTED_VALUE"""),0.2233681797)</f>
        <v>0.2233681797</v>
      </c>
      <c r="Q277" s="7">
        <f>IFERROR(__xludf.DUMMYFUNCTION("""COMPUTED_VALUE"""),0.7280453258)</f>
        <v>0.7280453258</v>
      </c>
    </row>
    <row r="278">
      <c r="A278" s="4" t="s">
        <v>15</v>
      </c>
      <c r="B278" s="13">
        <v>0.9164893379</v>
      </c>
      <c r="C278" s="13">
        <v>0.9085485781</v>
      </c>
      <c r="D278" s="13">
        <v>0.8400647286</v>
      </c>
      <c r="E278" s="13">
        <v>0.8327669526</v>
      </c>
      <c r="F278" s="13">
        <v>0.8400647286</v>
      </c>
      <c r="G278" s="13">
        <v>0.8548399843</v>
      </c>
      <c r="H278" s="13">
        <v>0.8327669526</v>
      </c>
      <c r="I278" s="13">
        <v>0.8400647286</v>
      </c>
      <c r="J278" s="13">
        <v>0.825527794</v>
      </c>
      <c r="K278" s="13">
        <v>0.7106038116</v>
      </c>
      <c r="L278" s="13">
        <v>0.6979984255</v>
      </c>
      <c r="M278" s="13">
        <v>0.6855669125</v>
      </c>
      <c r="N278" s="4"/>
      <c r="O278" s="7">
        <f>IFERROR(__xludf.DUMMYFUNCTION("""COMPUTED_VALUE"""),-0.003476322325365507)</f>
        <v>-0.003476322325</v>
      </c>
      <c r="P278" s="7">
        <f>IFERROR(__xludf.DUMMYFUNCTION("""COMPUTED_VALUE"""),0.003445066433)</f>
        <v>0.003445066433</v>
      </c>
      <c r="Q278" s="7">
        <f>IFERROR(__xludf.DUMMYFUNCTION("""COMPUTED_VALUE"""),0.657223796)</f>
        <v>0.657223796</v>
      </c>
    </row>
    <row r="279">
      <c r="A279" s="4" t="s">
        <v>16</v>
      </c>
      <c r="B279" s="13">
        <v>0.8212476534</v>
      </c>
      <c r="C279" s="13">
        <v>0.7563519443</v>
      </c>
      <c r="D279" s="13">
        <v>0.8038151654</v>
      </c>
      <c r="E279" s="13">
        <v>0.8038151654</v>
      </c>
      <c r="F279" s="13">
        <v>0.7867870358</v>
      </c>
      <c r="G279" s="13">
        <v>0.7071105988</v>
      </c>
      <c r="H279" s="13">
        <v>0.6577001767</v>
      </c>
      <c r="I279" s="13">
        <v>0.6469196388</v>
      </c>
      <c r="J279" s="13">
        <v>0.6134487053</v>
      </c>
      <c r="K279" s="13">
        <v>0.5972686246</v>
      </c>
      <c r="L279" s="13">
        <v>0.6227091966</v>
      </c>
      <c r="M279" s="13">
        <v>0.5765594338</v>
      </c>
      <c r="N279" s="4"/>
      <c r="O279" s="7">
        <f>IFERROR(__xludf.DUMMYFUNCTION("""COMPUTED_VALUE"""),0.03386114279527395)</f>
        <v>0.0338611428</v>
      </c>
      <c r="P279" s="7">
        <f>IFERROR(__xludf.DUMMYFUNCTION("""COMPUTED_VALUE"""),0.0)</f>
        <v>0</v>
      </c>
      <c r="Q279" s="7">
        <f>IFERROR(__xludf.DUMMYFUNCTION("""COMPUTED_VALUE"""),0.6373937677)</f>
        <v>0.6373937677</v>
      </c>
    </row>
    <row r="280">
      <c r="A280" s="4" t="s">
        <v>17</v>
      </c>
      <c r="B280" s="13">
        <v>0.264284434</v>
      </c>
      <c r="C280" s="13">
        <v>0.2681608718</v>
      </c>
      <c r="D280" s="13">
        <v>0.264284434</v>
      </c>
      <c r="E280" s="13">
        <v>0.2008147508</v>
      </c>
      <c r="F280" s="13">
        <v>0.1214931513</v>
      </c>
      <c r="G280" s="13">
        <v>0.009853252848</v>
      </c>
      <c r="H280" s="13">
        <v>0.03050519691</v>
      </c>
      <c r="I280" s="13">
        <v>0.1449040886</v>
      </c>
      <c r="J280" s="13">
        <v>0.1381529678</v>
      </c>
      <c r="K280" s="13">
        <v>0.03950297956</v>
      </c>
      <c r="L280" s="13">
        <v>0.03349448791</v>
      </c>
      <c r="M280" s="13">
        <v>0.0</v>
      </c>
      <c r="N280" s="4"/>
      <c r="O280" s="7">
        <f>IFERROR(__xludf.DUMMYFUNCTION("""COMPUTED_VALUE"""),-0.01039939826289133)</f>
        <v>-0.01039939826</v>
      </c>
      <c r="P280" s="7">
        <f>IFERROR(__xludf.DUMMYFUNCTION("""COMPUTED_VALUE"""),0.02734740676)</f>
        <v>0.02734740676</v>
      </c>
      <c r="Q280" s="7">
        <f>IFERROR(__xludf.DUMMYFUNCTION("""COMPUTED_VALUE"""),0.6855524079)</f>
        <v>0.6855524079</v>
      </c>
    </row>
    <row r="281">
      <c r="A281" s="4" t="s">
        <v>18</v>
      </c>
      <c r="B281" s="13">
        <v>0.1759260179</v>
      </c>
      <c r="C281" s="13">
        <v>0.1794397471</v>
      </c>
      <c r="D281" s="13">
        <v>0.1759260179</v>
      </c>
      <c r="E281" s="13">
        <v>0.1724259342</v>
      </c>
      <c r="F281" s="13">
        <v>0.2264103568</v>
      </c>
      <c r="G281" s="13">
        <v>0.1794397471</v>
      </c>
      <c r="H281" s="13">
        <v>0.2565812212</v>
      </c>
      <c r="I281" s="13">
        <v>0.3038201765</v>
      </c>
      <c r="J281" s="13">
        <v>0.2565812212</v>
      </c>
      <c r="K281" s="13">
        <v>0.3325647216</v>
      </c>
      <c r="L281" s="13">
        <v>0.3409486928</v>
      </c>
      <c r="M281" s="13">
        <v>0.3119397847</v>
      </c>
      <c r="N281" s="4"/>
      <c r="O281" s="7">
        <f>IFERROR(__xludf.DUMMYFUNCTION("""COMPUTED_VALUE"""),0.04406029198773135)</f>
        <v>0.04406029199</v>
      </c>
      <c r="P281" s="7">
        <f>IFERROR(__xludf.DUMMYFUNCTION("""COMPUTED_VALUE"""),1.0)</f>
        <v>1</v>
      </c>
      <c r="Q281" s="7">
        <f>IFERROR(__xludf.DUMMYFUNCTION("""COMPUTED_VALUE"""),0.7223796034)</f>
        <v>0.7223796034</v>
      </c>
    </row>
    <row r="282">
      <c r="A282" s="4" t="s">
        <v>19</v>
      </c>
      <c r="B282" s="13">
        <v>0.7901793258</v>
      </c>
      <c r="C282" s="13">
        <v>0.7495136126</v>
      </c>
      <c r="D282" s="13">
        <v>0.7495136126</v>
      </c>
      <c r="E282" s="13">
        <v>0.762866011</v>
      </c>
      <c r="F282" s="13">
        <v>0.7696171318</v>
      </c>
      <c r="G282" s="13">
        <v>0.8112216141</v>
      </c>
      <c r="H282" s="13">
        <v>0.7832730053</v>
      </c>
      <c r="I282" s="13">
        <v>0.762866011</v>
      </c>
      <c r="J282" s="13">
        <v>0.7561650849</v>
      </c>
      <c r="K282" s="13">
        <v>0.7169732403</v>
      </c>
      <c r="L282" s="13">
        <v>0.6374877586</v>
      </c>
      <c r="M282" s="13">
        <v>0.5918440608</v>
      </c>
      <c r="N282" s="4"/>
      <c r="O282" s="7">
        <f>IFERROR(__xludf.DUMMYFUNCTION("""COMPUTED_VALUE"""),0.1034116388722557)</f>
        <v>0.1034116389</v>
      </c>
      <c r="P282" s="7">
        <f>IFERROR(__xludf.DUMMYFUNCTION("""COMPUTED_VALUE"""),0.3327901801)</f>
        <v>0.3327901801</v>
      </c>
      <c r="Q282" s="7">
        <f>IFERROR(__xludf.DUMMYFUNCTION("""COMPUTED_VALUE"""),0.6742209632)</f>
        <v>0.6742209632</v>
      </c>
    </row>
    <row r="283">
      <c r="A283" s="4" t="s">
        <v>20</v>
      </c>
      <c r="B283" s="13">
        <v>0.3367469583</v>
      </c>
      <c r="C283" s="13">
        <v>0.29978764</v>
      </c>
      <c r="D283" s="13">
        <v>0.264284434</v>
      </c>
      <c r="E283" s="13">
        <v>0.264284434</v>
      </c>
      <c r="F283" s="13">
        <v>0.2451484623</v>
      </c>
      <c r="G283" s="13">
        <v>0.233858915</v>
      </c>
      <c r="H283" s="13">
        <v>0.2917762947</v>
      </c>
      <c r="I283" s="13">
        <v>0.3451701076</v>
      </c>
      <c r="J283" s="13">
        <v>0.3840799086</v>
      </c>
      <c r="K283" s="13">
        <v>0.4247456218</v>
      </c>
      <c r="L283" s="13">
        <v>0.4201355329</v>
      </c>
      <c r="M283" s="13">
        <v>0.5326348676</v>
      </c>
      <c r="N283" s="4"/>
      <c r="O283" s="7">
        <f>IFERROR(__xludf.DUMMYFUNCTION("""COMPUTED_VALUE"""),-0.04081887056193328)</f>
        <v>-0.04081887056</v>
      </c>
      <c r="P283" s="7">
        <f>IFERROR(__xludf.DUMMYFUNCTION("""COMPUTED_VALUE"""),0.05265259324)</f>
        <v>0.05265259324</v>
      </c>
      <c r="Q283" s="7">
        <f>IFERROR(__xludf.DUMMYFUNCTION("""COMPUTED_VALUE"""),0.7025495751)</f>
        <v>0.7025495751</v>
      </c>
    </row>
    <row r="284">
      <c r="A284" s="4" t="s">
        <v>21</v>
      </c>
      <c r="B284" s="13">
        <v>0.233858915</v>
      </c>
      <c r="C284" s="13">
        <v>0.2301269411</v>
      </c>
      <c r="D284" s="13">
        <v>0.1936332753</v>
      </c>
      <c r="E284" s="13">
        <v>0.1083835324</v>
      </c>
      <c r="F284" s="13">
        <v>0.07642023912</v>
      </c>
      <c r="G284" s="13">
        <v>0.0</v>
      </c>
      <c r="H284" s="13">
        <v>0.0</v>
      </c>
      <c r="I284" s="13">
        <v>0.0</v>
      </c>
      <c r="J284" s="13">
        <v>0.0</v>
      </c>
      <c r="K284" s="13">
        <v>0.0</v>
      </c>
      <c r="L284" s="13">
        <v>0.0</v>
      </c>
      <c r="M284" s="13">
        <v>0.0</v>
      </c>
      <c r="N284" s="4"/>
      <c r="O284" s="7">
        <f>IFERROR(__xludf.DUMMYFUNCTION("""COMPUTED_VALUE"""),-0.01175667989902923)</f>
        <v>-0.0117566799</v>
      </c>
      <c r="P284" s="7">
        <f>IFERROR(__xludf.DUMMYFUNCTION("""COMPUTED_VALUE"""),0.4620678492)</f>
        <v>0.4620678492</v>
      </c>
      <c r="Q284" s="7">
        <f>IFERROR(__xludf.DUMMYFUNCTION("""COMPUTED_VALUE"""),0.7082152975)</f>
        <v>0.7082152975</v>
      </c>
    </row>
    <row r="285">
      <c r="A285" s="4" t="s">
        <v>22</v>
      </c>
      <c r="B285" s="13">
        <v>0.7169732403</v>
      </c>
      <c r="C285" s="13">
        <v>0.7169732403</v>
      </c>
      <c r="D285" s="13">
        <v>0.6979984255</v>
      </c>
      <c r="E285" s="13">
        <v>0.762866011</v>
      </c>
      <c r="F285" s="13">
        <v>0.7764192049</v>
      </c>
      <c r="G285" s="13">
        <v>0.5753065251</v>
      </c>
      <c r="H285" s="13">
        <v>0.5484009327</v>
      </c>
      <c r="I285" s="13">
        <v>0.5918440608</v>
      </c>
      <c r="J285" s="13">
        <v>0.5484009327</v>
      </c>
      <c r="K285" s="13">
        <v>0.5378596382</v>
      </c>
      <c r="L285" s="13">
        <v>0.5590669792</v>
      </c>
      <c r="M285" s="13">
        <v>0.5590669792</v>
      </c>
      <c r="N285" s="4"/>
      <c r="O285" s="7">
        <f>IFERROR(__xludf.DUMMYFUNCTION("""COMPUTED_VALUE"""),0.01923830434818943)</f>
        <v>0.01923830435</v>
      </c>
      <c r="P285" s="7">
        <f>IFERROR(__xludf.DUMMYFUNCTION("""COMPUTED_VALUE"""),0.6798327376)</f>
        <v>0.6798327376</v>
      </c>
      <c r="Q285" s="7">
        <f>IFERROR(__xludf.DUMMYFUNCTION("""COMPUTED_VALUE"""),0.7790368272)</f>
        <v>0.7790368272</v>
      </c>
    </row>
    <row r="286">
      <c r="A286" s="4" t="s">
        <v>23</v>
      </c>
      <c r="B286" s="13">
        <v>0.6043035725</v>
      </c>
      <c r="C286" s="13">
        <v>0.5231267176</v>
      </c>
      <c r="D286" s="13">
        <v>0.4640859122</v>
      </c>
      <c r="E286" s="13">
        <v>0.4826727643</v>
      </c>
      <c r="F286" s="13">
        <v>0.4826727643</v>
      </c>
      <c r="G286" s="13">
        <v>0.4541425353</v>
      </c>
      <c r="H286" s="13">
        <v>0.4956209207</v>
      </c>
      <c r="I286" s="13">
        <v>0.3578626283</v>
      </c>
      <c r="J286" s="13">
        <v>0.445958042</v>
      </c>
      <c r="K286" s="13">
        <v>0.4566157822</v>
      </c>
      <c r="L286" s="13">
        <v>0.3994429218</v>
      </c>
      <c r="M286" s="13">
        <v>0.2766253238</v>
      </c>
      <c r="N286" s="4"/>
      <c r="O286" s="7">
        <f>IFERROR(__xludf.DUMMYFUNCTION("""COMPUTED_VALUE"""),0.03596726385500009)</f>
        <v>0.03596726386</v>
      </c>
      <c r="P286" s="7">
        <f>IFERROR(__xludf.DUMMYFUNCTION("""COMPUTED_VALUE"""),0.0)</f>
        <v>0</v>
      </c>
      <c r="Q286" s="7">
        <f>IFERROR(__xludf.DUMMYFUNCTION("""COMPUTED_VALUE"""),0.7195467422)</f>
        <v>0.7195467422</v>
      </c>
    </row>
    <row r="287">
      <c r="A287" s="4" t="s">
        <v>24</v>
      </c>
      <c r="B287" s="13">
        <v>0.8112216141</v>
      </c>
      <c r="C287" s="13">
        <v>0.762866011</v>
      </c>
      <c r="D287" s="13">
        <v>0.7298487508</v>
      </c>
      <c r="E287" s="13">
        <v>0.7298487508</v>
      </c>
      <c r="F287" s="13">
        <v>0.7298487508</v>
      </c>
      <c r="G287" s="13">
        <v>0.704279081</v>
      </c>
      <c r="H287" s="13">
        <v>0.7233880034</v>
      </c>
      <c r="I287" s="13">
        <v>0.7169732403</v>
      </c>
      <c r="J287" s="13">
        <v>0.7696171318</v>
      </c>
      <c r="K287" s="13">
        <v>0.7696171318</v>
      </c>
      <c r="L287" s="13">
        <v>0.7106038116</v>
      </c>
      <c r="M287" s="13">
        <v>0.7901793258</v>
      </c>
      <c r="N287" s="4"/>
      <c r="O287" s="7">
        <f>IFERROR(__xludf.DUMMYFUNCTION("""COMPUTED_VALUE"""),0.009808201644440314)</f>
        <v>0.009808201644</v>
      </c>
      <c r="P287" s="7">
        <f>IFERROR(__xludf.DUMMYFUNCTION("""COMPUTED_VALUE"""),0.0)</f>
        <v>0</v>
      </c>
      <c r="Q287" s="7">
        <f>IFERROR(__xludf.DUMMYFUNCTION("""COMPUTED_VALUE"""),0.7025495751)</f>
        <v>0.7025495751</v>
      </c>
    </row>
    <row r="288">
      <c r="A288" s="4" t="s">
        <v>25</v>
      </c>
      <c r="B288" s="13">
        <v>0.6374877586</v>
      </c>
      <c r="C288" s="13">
        <v>0.3325647216</v>
      </c>
      <c r="D288" s="13">
        <v>0.0</v>
      </c>
      <c r="E288" s="13">
        <v>0.0</v>
      </c>
      <c r="F288" s="13">
        <v>0.0127747154</v>
      </c>
      <c r="G288" s="13">
        <v>0.1724259342</v>
      </c>
      <c r="H288" s="13">
        <v>0.1972168601</v>
      </c>
      <c r="I288" s="13">
        <v>0.4869268553</v>
      </c>
      <c r="J288" s="13">
        <v>0.2838355349</v>
      </c>
      <c r="K288" s="13">
        <v>0.5069559109</v>
      </c>
      <c r="L288" s="13">
        <v>0.3038201765</v>
      </c>
      <c r="M288" s="13">
        <v>0.4770768074</v>
      </c>
      <c r="N288" s="4"/>
      <c r="O288" s="7">
        <f>IFERROR(__xludf.DUMMYFUNCTION("""COMPUTED_VALUE"""),-0.01344355110701005)</f>
        <v>-0.01344355111</v>
      </c>
      <c r="P288" s="7">
        <f>IFERROR(__xludf.DUMMYFUNCTION("""COMPUTED_VALUE"""),0.0)</f>
        <v>0</v>
      </c>
      <c r="Q288" s="7">
        <f>IFERROR(__xludf.DUMMYFUNCTION("""COMPUTED_VALUE"""),0.7648725212)</f>
        <v>0.7648725212</v>
      </c>
    </row>
    <row r="289">
      <c r="A289" s="4" t="s">
        <v>26</v>
      </c>
      <c r="B289" s="13">
        <v>0.4109855009</v>
      </c>
      <c r="C289" s="13">
        <v>0.4529126145</v>
      </c>
      <c r="D289" s="13">
        <v>0.5171398657</v>
      </c>
      <c r="E289" s="13">
        <v>0.6030401105</v>
      </c>
      <c r="F289" s="13">
        <v>0.3579542994</v>
      </c>
      <c r="G289" s="13">
        <v>0.1689393906</v>
      </c>
      <c r="H289" s="13">
        <v>0.2489432907</v>
      </c>
      <c r="I289" s="13">
        <v>0.1972168601</v>
      </c>
      <c r="J289" s="13">
        <v>0.0</v>
      </c>
      <c r="K289" s="13">
        <v>0.05470182894</v>
      </c>
      <c r="L289" s="13">
        <v>0.0</v>
      </c>
      <c r="M289" s="13">
        <v>0.1347962771</v>
      </c>
      <c r="N289" s="4"/>
      <c r="O289" s="7">
        <f>IFERROR(__xludf.DUMMYFUNCTION("""COMPUTED_VALUE"""),0.02912152802520943)</f>
        <v>0.02912152803</v>
      </c>
      <c r="P289" s="7">
        <f>IFERROR(__xludf.DUMMYFUNCTION("""COMPUTED_VALUE"""),0.1785310582)</f>
        <v>0.1785310582</v>
      </c>
      <c r="Q289" s="7">
        <f>IFERROR(__xludf.DUMMYFUNCTION("""COMPUTED_VALUE"""),0.6883852691)</f>
        <v>0.6883852691</v>
      </c>
    </row>
    <row r="290">
      <c r="A290" s="4" t="s">
        <v>27</v>
      </c>
      <c r="B290" s="13">
        <v>0.5537181777</v>
      </c>
      <c r="C290" s="13">
        <v>0.5644477141</v>
      </c>
      <c r="D290" s="13">
        <v>0.6086907271</v>
      </c>
      <c r="E290" s="13">
        <v>0.6143769946</v>
      </c>
      <c r="F290" s="13">
        <v>0.6612067698</v>
      </c>
      <c r="G290" s="13">
        <v>0.7106038116</v>
      </c>
      <c r="H290" s="13">
        <v>0.8183463184</v>
      </c>
      <c r="I290" s="13">
        <v>0.8183463184</v>
      </c>
      <c r="J290" s="13">
        <v>0.8698615055</v>
      </c>
      <c r="K290" s="13">
        <v>0.8474220789</v>
      </c>
      <c r="L290" s="13">
        <v>0.8183463184</v>
      </c>
      <c r="M290" s="13">
        <v>0.8112216141</v>
      </c>
      <c r="N290" s="4"/>
      <c r="O290" s="7">
        <f>IFERROR(__xludf.DUMMYFUNCTION("""COMPUTED_VALUE"""),-0.002235286369726609)</f>
        <v>-0.00223528637</v>
      </c>
      <c r="P290" s="7">
        <f>IFERROR(__xludf.DUMMYFUNCTION("""COMPUTED_VALUE"""),0.7126917111)</f>
        <v>0.7126917111</v>
      </c>
      <c r="Q290" s="7">
        <f>IFERROR(__xludf.DUMMYFUNCTION("""COMPUTED_VALUE"""),0.9093484419)</f>
        <v>0.9093484419</v>
      </c>
    </row>
    <row r="291">
      <c r="A291" s="4" t="s">
        <v>28</v>
      </c>
      <c r="B291" s="13">
        <v>1.0</v>
      </c>
      <c r="C291" s="13">
        <v>0.9741244311</v>
      </c>
      <c r="D291" s="13">
        <v>0.9741244311</v>
      </c>
      <c r="E291" s="13">
        <v>0.9741244311</v>
      </c>
      <c r="F291" s="13">
        <v>0.965661736</v>
      </c>
      <c r="G291" s="13">
        <v>0.9325838801</v>
      </c>
      <c r="H291" s="13">
        <v>0.965661736</v>
      </c>
      <c r="I291" s="13">
        <v>0.9489710662</v>
      </c>
      <c r="J291" s="13">
        <v>0.965661736</v>
      </c>
      <c r="K291" s="13">
        <v>0.965661736</v>
      </c>
      <c r="L291" s="13">
        <v>0.9741244311</v>
      </c>
      <c r="M291" s="13">
        <v>1.0</v>
      </c>
      <c r="N291" s="4"/>
      <c r="O291" s="7">
        <f>IFERROR(__xludf.DUMMYFUNCTION("""COMPUTED_VALUE"""),0.01615716719455356)</f>
        <v>0.01615716719</v>
      </c>
      <c r="P291" s="7">
        <f>IFERROR(__xludf.DUMMYFUNCTION("""COMPUTED_VALUE"""),0.6678545896)</f>
        <v>0.6678545896</v>
      </c>
      <c r="Q291" s="7">
        <f>IFERROR(__xludf.DUMMYFUNCTION("""COMPUTED_VALUE"""),0.8725212465)</f>
        <v>0.8725212465</v>
      </c>
    </row>
    <row r="292">
      <c r="A292" s="4" t="s">
        <v>29</v>
      </c>
      <c r="B292" s="13">
        <v>0.1794397471</v>
      </c>
      <c r="C292" s="13">
        <v>0.2376064065</v>
      </c>
      <c r="D292" s="13">
        <v>0.5862977638</v>
      </c>
      <c r="E292" s="13">
        <v>0.9741244311</v>
      </c>
      <c r="F292" s="13">
        <v>0.6143769946</v>
      </c>
      <c r="G292" s="13">
        <v>0.7561650849</v>
      </c>
      <c r="H292" s="13">
        <v>0.7298487508</v>
      </c>
      <c r="I292" s="13">
        <v>0.7696171318</v>
      </c>
      <c r="J292" s="13">
        <v>0.6979984255</v>
      </c>
      <c r="K292" s="13">
        <v>1.0</v>
      </c>
      <c r="L292" s="13">
        <v>1.0</v>
      </c>
      <c r="M292" s="13">
        <v>0.7764192049</v>
      </c>
      <c r="N292" s="4"/>
      <c r="O292" s="7">
        <f>IFERROR(__xludf.DUMMYFUNCTION("""COMPUTED_VALUE"""),-0.0105608256161337)</f>
        <v>-0.01056082562</v>
      </c>
      <c r="P292" s="7">
        <f>IFERROR(__xludf.DUMMYFUNCTION("""COMPUTED_VALUE"""),0.6101760302)</f>
        <v>0.6101760302</v>
      </c>
      <c r="Q292" s="7">
        <f>IFERROR(__xludf.DUMMYFUNCTION("""COMPUTED_VALUE"""),0.8498583569)</f>
        <v>0.8498583569</v>
      </c>
    </row>
    <row r="293">
      <c r="A293" s="4" t="s">
        <v>30</v>
      </c>
      <c r="B293" s="13">
        <v>0.9489710662</v>
      </c>
      <c r="C293" s="13">
        <v>0.9245006832</v>
      </c>
      <c r="D293" s="13">
        <v>0.8698615055</v>
      </c>
      <c r="E293" s="13">
        <v>0.8548399843</v>
      </c>
      <c r="F293" s="13">
        <v>1.0</v>
      </c>
      <c r="G293" s="13">
        <v>0.9164893379</v>
      </c>
      <c r="H293" s="13">
        <v>0.8327669526</v>
      </c>
      <c r="I293" s="13">
        <v>0.825527794</v>
      </c>
      <c r="J293" s="13">
        <v>0.8698615055</v>
      </c>
      <c r="K293" s="13">
        <v>0.965661736</v>
      </c>
      <c r="L293" s="13">
        <v>0.9572777647</v>
      </c>
      <c r="M293" s="13">
        <v>0.7696171318</v>
      </c>
      <c r="N293" s="4"/>
      <c r="O293" s="7">
        <f>IFERROR(__xludf.DUMMYFUNCTION("""COMPUTED_VALUE"""),0.01376354104348635)</f>
        <v>0.01376354104</v>
      </c>
      <c r="P293" s="7">
        <f>IFERROR(__xludf.DUMMYFUNCTION("""COMPUTED_VALUE"""),0.5477493761)</f>
        <v>0.5477493761</v>
      </c>
      <c r="Q293" s="7">
        <f>IFERROR(__xludf.DUMMYFUNCTION("""COMPUTED_VALUE"""),0.8413597734)</f>
        <v>0.8413597734</v>
      </c>
    </row>
    <row r="294">
      <c r="A294" s="4" t="s">
        <v>31</v>
      </c>
      <c r="B294" s="13">
        <v>0.7696171318</v>
      </c>
      <c r="C294" s="13">
        <v>0.8851376408</v>
      </c>
      <c r="D294" s="13">
        <v>0.8774672081</v>
      </c>
      <c r="E294" s="13">
        <v>0.8623194497</v>
      </c>
      <c r="F294" s="13">
        <v>0.7233880034</v>
      </c>
      <c r="G294" s="13">
        <v>0.6316542728</v>
      </c>
      <c r="H294" s="13">
        <v>0.4673332487</v>
      </c>
      <c r="I294" s="13">
        <v>0.5431148741</v>
      </c>
      <c r="J294" s="13">
        <v>0.7832730053</v>
      </c>
      <c r="K294" s="13">
        <v>0.762866011</v>
      </c>
      <c r="L294" s="13">
        <v>0.7233880034</v>
      </c>
      <c r="M294" s="13">
        <v>0.7169732403</v>
      </c>
      <c r="N294" s="4"/>
      <c r="O294" s="7">
        <f>IFERROR(__xludf.DUMMYFUNCTION("""COMPUTED_VALUE"""),0.04862835222659218)</f>
        <v>0.04862835223</v>
      </c>
      <c r="P294" s="7">
        <f>IFERROR(__xludf.DUMMYFUNCTION("""COMPUTED_VALUE"""),0.4565104202)</f>
        <v>0.4565104202</v>
      </c>
      <c r="Q294" s="7">
        <f>IFERROR(__xludf.DUMMYFUNCTION("""COMPUTED_VALUE"""),0.7422096317)</f>
        <v>0.7422096317</v>
      </c>
    </row>
    <row r="295">
      <c r="O295" s="7">
        <f>IFERROR(__xludf.DUMMYFUNCTION("""COMPUTED_VALUE"""),-0.006849600777712916)</f>
        <v>-0.006849600778</v>
      </c>
      <c r="P295" s="7">
        <f>IFERROR(__xludf.DUMMYFUNCTION("""COMPUTED_VALUE"""),0.4537047279)</f>
        <v>0.4537047279</v>
      </c>
      <c r="Q295" s="7">
        <f>IFERROR(__xludf.DUMMYFUNCTION("""COMPUTED_VALUE"""),0.6232294618)</f>
        <v>0.6232294618</v>
      </c>
    </row>
    <row r="296">
      <c r="O296" s="7">
        <f>IFERROR(__xludf.DUMMYFUNCTION("""COMPUTED_VALUE"""),0.03018665814381449)</f>
        <v>0.03018665814</v>
      </c>
      <c r="P296" s="7">
        <f>IFERROR(__xludf.DUMMYFUNCTION("""COMPUTED_VALUE"""),0.4367626627)</f>
        <v>0.4367626627</v>
      </c>
      <c r="Q296" s="7">
        <f>IFERROR(__xludf.DUMMYFUNCTION("""COMPUTED_VALUE"""),0.3852691218)</f>
        <v>0.3852691218</v>
      </c>
    </row>
    <row r="297">
      <c r="O297" s="7">
        <f>IFERROR(__xludf.DUMMYFUNCTION("""COMPUTED_VALUE"""),0.0171719772706642)</f>
        <v>0.01717197727</v>
      </c>
      <c r="P297" s="7">
        <f>IFERROR(__xludf.DUMMYFUNCTION("""COMPUTED_VALUE"""),0.7126917111)</f>
        <v>0.7126917111</v>
      </c>
      <c r="Q297" s="7">
        <f>IFERROR(__xludf.DUMMYFUNCTION("""COMPUTED_VALUE"""),0.2747875354)</f>
        <v>0.2747875354</v>
      </c>
    </row>
    <row r="298">
      <c r="O298" s="7">
        <f>IFERROR(__xludf.DUMMYFUNCTION("""COMPUTED_VALUE"""),-0.001770017297125195)</f>
        <v>-0.001770017297</v>
      </c>
      <c r="P298" s="7">
        <f>IFERROR(__xludf.DUMMYFUNCTION("""COMPUTED_VALUE"""),0.7084831726)</f>
        <v>0.7084831726</v>
      </c>
      <c r="Q298" s="7">
        <f>IFERROR(__xludf.DUMMYFUNCTION("""COMPUTED_VALUE"""),0.0)</f>
        <v>0</v>
      </c>
    </row>
    <row r="299">
      <c r="O299" s="7">
        <f>IFERROR(__xludf.DUMMYFUNCTION("""COMPUTED_VALUE"""),9.542857893895622E-5)</f>
        <v>0.00009542857894</v>
      </c>
      <c r="P299" s="7">
        <f>IFERROR(__xludf.DUMMYFUNCTION("""COMPUTED_VALUE"""),0.6532865718)</f>
        <v>0.6532865718</v>
      </c>
      <c r="Q299" s="7">
        <f>IFERROR(__xludf.DUMMYFUNCTION("""COMPUTED_VALUE"""),0.4164305949)</f>
        <v>0.4164305949</v>
      </c>
    </row>
    <row r="300">
      <c r="O300" s="7">
        <f>IFERROR(__xludf.DUMMYFUNCTION("""COMPUTED_VALUE"""),0.01666775424972431)</f>
        <v>0.01666775425</v>
      </c>
      <c r="P300" s="7">
        <f>IFERROR(__xludf.DUMMYFUNCTION("""COMPUTED_VALUE"""),0.5355014501)</f>
        <v>0.5355014501</v>
      </c>
      <c r="Q300" s="7">
        <f>IFERROR(__xludf.DUMMYFUNCTION("""COMPUTED_VALUE"""),0.8866855524)</f>
        <v>0.8866855524</v>
      </c>
    </row>
    <row r="301">
      <c r="O301" s="7">
        <f>IFERROR(__xludf.DUMMYFUNCTION("""COMPUTED_VALUE"""),0.03318709540282299)</f>
        <v>0.0331870954</v>
      </c>
      <c r="P301" s="7">
        <f>IFERROR(__xludf.DUMMYFUNCTION("""COMPUTED_VALUE"""),0.5156457813)</f>
        <v>0.5156457813</v>
      </c>
      <c r="Q301" s="7">
        <f>IFERROR(__xludf.DUMMYFUNCTION("""COMPUTED_VALUE"""),0.790368272)</f>
        <v>0.790368272</v>
      </c>
    </row>
    <row r="302">
      <c r="O302" s="7">
        <f>IFERROR(__xludf.DUMMYFUNCTION("""COMPUTED_VALUE"""),0.01217495055156818)</f>
        <v>0.01217495055</v>
      </c>
      <c r="P302" s="7">
        <f>IFERROR(__xludf.DUMMYFUNCTION("""COMPUTED_VALUE"""),0.2471626088)</f>
        <v>0.2471626088</v>
      </c>
      <c r="Q302" s="7">
        <f>IFERROR(__xludf.DUMMYFUNCTION("""COMPUTED_VALUE"""),0.9631728045)</f>
        <v>0.9631728045</v>
      </c>
    </row>
    <row r="303">
      <c r="O303" s="7">
        <f>IFERROR(__xludf.DUMMYFUNCTION("""COMPUTED_VALUE"""),0.01297289614082412)</f>
        <v>0.01297289614</v>
      </c>
      <c r="P303" s="7">
        <f>IFERROR(__xludf.DUMMYFUNCTION("""COMPUTED_VALUE"""),0.1320752681)</f>
        <v>0.1320752681</v>
      </c>
      <c r="Q303" s="7">
        <f>IFERROR(__xludf.DUMMYFUNCTION("""COMPUTED_VALUE"""),0.9603399433)</f>
        <v>0.9603399433</v>
      </c>
    </row>
    <row r="304">
      <c r="O304" s="7">
        <f>IFERROR(__xludf.DUMMYFUNCTION("""COMPUTED_VALUE"""),-0.01854543908565983)</f>
        <v>-0.01854543909</v>
      </c>
      <c r="P304" s="7">
        <f>IFERROR(__xludf.DUMMYFUNCTION("""COMPUTED_VALUE"""),0.2841222095)</f>
        <v>0.2841222095</v>
      </c>
      <c r="Q304" s="7">
        <f>IFERROR(__xludf.DUMMYFUNCTION("""COMPUTED_VALUE"""),0.9093484419)</f>
        <v>0.9093484419</v>
      </c>
    </row>
    <row r="305">
      <c r="O305" s="7">
        <f>IFERROR(__xludf.DUMMYFUNCTION("""COMPUTED_VALUE"""),0.04022466724781694)</f>
        <v>0.04022466725</v>
      </c>
      <c r="P305" s="7">
        <f>IFERROR(__xludf.DUMMYFUNCTION("""COMPUTED_VALUE"""),0.3275564848)</f>
        <v>0.3275564848</v>
      </c>
      <c r="Q305" s="7">
        <f>IFERROR(__xludf.DUMMYFUNCTION("""COMPUTED_VALUE"""),0.9886685552)</f>
        <v>0.9886685552</v>
      </c>
    </row>
    <row r="306">
      <c r="O306" s="7">
        <f>IFERROR(__xludf.DUMMYFUNCTION("""COMPUTED_VALUE"""),0.05306833122587624)</f>
        <v>0.05306833123</v>
      </c>
      <c r="P306" s="7">
        <f>IFERROR(__xludf.DUMMYFUNCTION("""COMPUTED_VALUE"""),0.2594644905)</f>
        <v>0.2594644905</v>
      </c>
      <c r="Q306" s="7">
        <f>IFERROR(__xludf.DUMMYFUNCTION("""COMPUTED_VALUE"""),0.8696883853)</f>
        <v>0.8696883853</v>
      </c>
    </row>
    <row r="307">
      <c r="O307" s="7">
        <f>IFERROR(__xludf.DUMMYFUNCTION("""COMPUTED_VALUE"""),-0.02242105031351834)</f>
        <v>-0.02242105031</v>
      </c>
      <c r="P307" s="7">
        <f>IFERROR(__xludf.DUMMYFUNCTION("""COMPUTED_VALUE"""),0.2360477507)</f>
        <v>0.2360477507</v>
      </c>
      <c r="Q307" s="7">
        <f>IFERROR(__xludf.DUMMYFUNCTION("""COMPUTED_VALUE"""),0.9660056657)</f>
        <v>0.9660056657</v>
      </c>
    </row>
    <row r="308">
      <c r="O308" s="7">
        <f>IFERROR(__xludf.DUMMYFUNCTION("""COMPUTED_VALUE"""),0.01845309556162968)</f>
        <v>0.01845309556</v>
      </c>
      <c r="P308" s="7">
        <f>IFERROR(__xludf.DUMMYFUNCTION("""COMPUTED_VALUE"""),0.2461374519)</f>
        <v>0.2461374519</v>
      </c>
      <c r="Q308" s="7">
        <f>IFERROR(__xludf.DUMMYFUNCTION("""COMPUTED_VALUE"""),0.9745042493)</f>
        <v>0.9745042493</v>
      </c>
    </row>
    <row r="309">
      <c r="O309" s="7">
        <f>IFERROR(__xludf.DUMMYFUNCTION("""COMPUTED_VALUE"""),0.02798524047914695)</f>
        <v>0.02798524048</v>
      </c>
      <c r="P309" s="7">
        <f>IFERROR(__xludf.DUMMYFUNCTION("""COMPUTED_VALUE"""),0.2188359075)</f>
        <v>0.2188359075</v>
      </c>
      <c r="Q309" s="7">
        <f>IFERROR(__xludf.DUMMYFUNCTION("""COMPUTED_VALUE"""),0.9178470255)</f>
        <v>0.9178470255</v>
      </c>
    </row>
    <row r="310">
      <c r="O310" s="7">
        <f>IFERROR(__xludf.DUMMYFUNCTION("""COMPUTED_VALUE"""),0.003304745571031654)</f>
        <v>0.003304745571</v>
      </c>
      <c r="P310" s="7">
        <f>IFERROR(__xludf.DUMMYFUNCTION("""COMPUTED_VALUE"""),0.1593768126)</f>
        <v>0.1593768126</v>
      </c>
      <c r="Q310" s="7">
        <f>IFERROR(__xludf.DUMMYFUNCTION("""COMPUTED_VALUE"""),0.8441926346)</f>
        <v>0.8441926346</v>
      </c>
    </row>
    <row r="311">
      <c r="O311" s="7">
        <f>IFERROR(__xludf.DUMMYFUNCTION("""COMPUTED_VALUE"""),-0.01915068661792532)</f>
        <v>-0.01915068662</v>
      </c>
      <c r="P311" s="7">
        <f>IFERROR(__xludf.DUMMYFUNCTION("""COMPUTED_VALUE"""),0.1705456262)</f>
        <v>0.1705456262</v>
      </c>
      <c r="Q311" s="7">
        <f>IFERROR(__xludf.DUMMYFUNCTION("""COMPUTED_VALUE"""),0.8130311615)</f>
        <v>0.8130311615</v>
      </c>
    </row>
    <row r="312">
      <c r="O312" s="7">
        <f>IFERROR(__xludf.DUMMYFUNCTION("""COMPUTED_VALUE"""),0.03287652290715787)</f>
        <v>0.03287652291</v>
      </c>
      <c r="P312" s="7">
        <f>IFERROR(__xludf.DUMMYFUNCTION("""COMPUTED_VALUE"""),0.132938558)</f>
        <v>0.132938558</v>
      </c>
      <c r="Q312" s="7">
        <f>IFERROR(__xludf.DUMMYFUNCTION("""COMPUTED_VALUE"""),0.9575070822)</f>
        <v>0.9575070822</v>
      </c>
    </row>
    <row r="313">
      <c r="O313" s="7">
        <f>IFERROR(__xludf.DUMMYFUNCTION("""COMPUTED_VALUE"""),0.04772376519980543)</f>
        <v>0.0477237652</v>
      </c>
      <c r="P313" s="7">
        <f>IFERROR(__xludf.DUMMYFUNCTION("""COMPUTED_VALUE"""),0.6727105955)</f>
        <v>0.6727105955</v>
      </c>
      <c r="Q313" s="7">
        <f>IFERROR(__xludf.DUMMYFUNCTION("""COMPUTED_VALUE"""),0.9121813031)</f>
        <v>0.9121813031</v>
      </c>
    </row>
    <row r="314">
      <c r="O314" s="7">
        <f>IFERROR(__xludf.DUMMYFUNCTION("""COMPUTED_VALUE"""),-0.01885702509434362)</f>
        <v>-0.01885702509</v>
      </c>
      <c r="P314" s="7">
        <f>IFERROR(__xludf.DUMMYFUNCTION("""COMPUTED_VALUE"""),0.1915883186)</f>
        <v>0.1915883186</v>
      </c>
      <c r="Q314" s="7">
        <f>IFERROR(__xludf.DUMMYFUNCTION("""COMPUTED_VALUE"""),0.8130311615)</f>
        <v>0.8130311615</v>
      </c>
    </row>
    <row r="315">
      <c r="O315" s="7">
        <f>IFERROR(__xludf.DUMMYFUNCTION("""COMPUTED_VALUE"""),0.03248143819246841)</f>
        <v>0.03248143819</v>
      </c>
      <c r="P315" s="7">
        <f>IFERROR(__xludf.DUMMYFUNCTION("""COMPUTED_VALUE"""),0.2011384636)</f>
        <v>0.2011384636</v>
      </c>
      <c r="Q315" s="7">
        <f>IFERROR(__xludf.DUMMYFUNCTION("""COMPUTED_VALUE"""),0.8725212465)</f>
        <v>0.8725212465</v>
      </c>
    </row>
    <row r="316">
      <c r="O316" s="7">
        <f>IFERROR(__xludf.DUMMYFUNCTION("""COMPUTED_VALUE"""),0.002958018706912582)</f>
        <v>0.002958018707</v>
      </c>
      <c r="P316" s="7">
        <f>IFERROR(__xludf.DUMMYFUNCTION("""COMPUTED_VALUE"""),0.1861927565)</f>
        <v>0.1861927565</v>
      </c>
      <c r="Q316" s="7">
        <f>IFERROR(__xludf.DUMMYFUNCTION("""COMPUTED_VALUE"""),0.9121813031)</f>
        <v>0.9121813031</v>
      </c>
    </row>
    <row r="317">
      <c r="O317" s="7">
        <f>IFERROR(__xludf.DUMMYFUNCTION("""COMPUTED_VALUE"""),0.03945991197893355)</f>
        <v>0.03945991198</v>
      </c>
      <c r="P317" s="7">
        <f>IFERROR(__xludf.DUMMYFUNCTION("""COMPUTED_VALUE"""),0.1207985432)</f>
        <v>0.1207985432</v>
      </c>
      <c r="Q317" s="7">
        <f>IFERROR(__xludf.DUMMYFUNCTION("""COMPUTED_VALUE"""),0.9036827195)</f>
        <v>0.9036827195</v>
      </c>
    </row>
    <row r="318">
      <c r="O318" s="7">
        <f>IFERROR(__xludf.DUMMYFUNCTION("""COMPUTED_VALUE"""),0.0455789729982325)</f>
        <v>0.045578973</v>
      </c>
      <c r="P318" s="7">
        <f>IFERROR(__xludf.DUMMYFUNCTION("""COMPUTED_VALUE"""),0.04779658731)</f>
        <v>0.04779658731</v>
      </c>
      <c r="Q318" s="7">
        <f>IFERROR(__xludf.DUMMYFUNCTION("""COMPUTED_VALUE"""),0.9178470255)</f>
        <v>0.9178470255</v>
      </c>
    </row>
    <row r="319">
      <c r="O319" s="7">
        <f>IFERROR(__xludf.DUMMYFUNCTION("""COMPUTED_VALUE"""),-0.008374709058371862)</f>
        <v>-0.008374709058</v>
      </c>
      <c r="P319" s="7">
        <f>IFERROR(__xludf.DUMMYFUNCTION("""COMPUTED_VALUE"""),0.0799001821)</f>
        <v>0.0799001821</v>
      </c>
      <c r="Q319" s="7">
        <f>IFERROR(__xludf.DUMMYFUNCTION("""COMPUTED_VALUE"""),0.9433427762)</f>
        <v>0.9433427762</v>
      </c>
    </row>
    <row r="320">
      <c r="O320" s="7">
        <f>IFERROR(__xludf.DUMMYFUNCTION("""COMPUTED_VALUE"""),0.0148505751741288)</f>
        <v>0.01485057517</v>
      </c>
      <c r="P320" s="7">
        <f>IFERROR(__xludf.DUMMYFUNCTION("""COMPUTED_VALUE"""),0.07401901936)</f>
        <v>0.07401901936</v>
      </c>
      <c r="Q320" s="7">
        <f>IFERROR(__xludf.DUMMYFUNCTION("""COMPUTED_VALUE"""),0.9320113314)</f>
        <v>0.9320113314</v>
      </c>
    </row>
    <row r="321">
      <c r="O321" s="7">
        <f>IFERROR(__xludf.DUMMYFUNCTION("""COMPUTED_VALUE"""),0.06109454439272572)</f>
        <v>0.06109454439</v>
      </c>
      <c r="P321" s="7">
        <f>IFERROR(__xludf.DUMMYFUNCTION("""COMPUTED_VALUE"""),0.05745464356)</f>
        <v>0.05745464356</v>
      </c>
      <c r="Q321" s="7">
        <f>IFERROR(__xludf.DUMMYFUNCTION("""COMPUTED_VALUE"""),0.9320113314)</f>
        <v>0.9320113314</v>
      </c>
    </row>
    <row r="322">
      <c r="O322" s="7">
        <f>IFERROR(__xludf.DUMMYFUNCTION("""COMPUTED_VALUE"""),0.02511110053636459)</f>
        <v>0.02511110054</v>
      </c>
      <c r="P322" s="7">
        <f>IFERROR(__xludf.DUMMYFUNCTION("""COMPUTED_VALUE"""),0.03274296891)</f>
        <v>0.03274296891</v>
      </c>
      <c r="Q322" s="7">
        <f>IFERROR(__xludf.DUMMYFUNCTION("""COMPUTED_VALUE"""),0.9065155807)</f>
        <v>0.9065155807</v>
      </c>
    </row>
    <row r="323">
      <c r="O323" s="7">
        <f>IFERROR(__xludf.DUMMYFUNCTION("""COMPUTED_VALUE"""),-5.490476366508101E-4)</f>
        <v>-0.0005490476367</v>
      </c>
      <c r="P323" s="7">
        <f>IFERROR(__xludf.DUMMYFUNCTION("""COMPUTED_VALUE"""),0.02966749848)</f>
        <v>0.02966749848</v>
      </c>
      <c r="Q323" s="7">
        <f>IFERROR(__xludf.DUMMYFUNCTION("""COMPUTED_VALUE"""),0.9688385269)</f>
        <v>0.9688385269</v>
      </c>
    </row>
    <row r="324">
      <c r="O324" s="7">
        <f>IFERROR(__xludf.DUMMYFUNCTION("""COMPUTED_VALUE"""),0.03257901924542615)</f>
        <v>0.03257901925</v>
      </c>
      <c r="P324" s="7">
        <f>IFERROR(__xludf.DUMMYFUNCTION("""COMPUTED_VALUE"""),0.0382464423)</f>
        <v>0.0382464423</v>
      </c>
      <c r="Q324" s="7">
        <f>IFERROR(__xludf.DUMMYFUNCTION("""COMPUTED_VALUE"""),0.9433427762)</f>
        <v>0.9433427762</v>
      </c>
    </row>
    <row r="325">
      <c r="O325" s="7">
        <f>IFERROR(__xludf.DUMMYFUNCTION("""COMPUTED_VALUE"""),0.01201439673734698)</f>
        <v>0.01201439674</v>
      </c>
      <c r="P325" s="7">
        <f>IFERROR(__xludf.DUMMYFUNCTION("""COMPUTED_VALUE"""),0.03333648074)</f>
        <v>0.03333648074</v>
      </c>
      <c r="Q325" s="7">
        <f>IFERROR(__xludf.DUMMYFUNCTION("""COMPUTED_VALUE"""),0.8555240793)</f>
        <v>0.8555240793</v>
      </c>
    </row>
    <row r="326">
      <c r="O326" s="7">
        <f>IFERROR(__xludf.DUMMYFUNCTION("""COMPUTED_VALUE"""),0.02524233881954087)</f>
        <v>0.02524233882</v>
      </c>
      <c r="P326" s="7">
        <f>IFERROR(__xludf.DUMMYFUNCTION("""COMPUTED_VALUE"""),0.2234221353)</f>
        <v>0.2234221353</v>
      </c>
      <c r="Q326" s="7">
        <f>IFERROR(__xludf.DUMMYFUNCTION("""COMPUTED_VALUE"""),0.9518413598)</f>
        <v>0.9518413598</v>
      </c>
    </row>
    <row r="327">
      <c r="O327" s="7">
        <f>IFERROR(__xludf.DUMMYFUNCTION("""COMPUTED_VALUE"""),0.0923101442004925)</f>
        <v>0.0923101442</v>
      </c>
      <c r="P327" s="7">
        <f>IFERROR(__xludf.DUMMYFUNCTION("""COMPUTED_VALUE"""),0.2143036353)</f>
        <v>0.2143036353</v>
      </c>
      <c r="Q327" s="7">
        <f>IFERROR(__xludf.DUMMYFUNCTION("""COMPUTED_VALUE"""),0.9943342776)</f>
        <v>0.9943342776</v>
      </c>
    </row>
    <row r="328">
      <c r="O328" s="7">
        <f>IFERROR(__xludf.DUMMYFUNCTION("""COMPUTED_VALUE"""),0.00809622391186966)</f>
        <v>0.008096223912</v>
      </c>
      <c r="P328" s="7">
        <f>IFERROR(__xludf.DUMMYFUNCTION("""COMPUTED_VALUE"""),0.05615970864)</f>
        <v>0.05615970864</v>
      </c>
      <c r="Q328" s="7">
        <f>IFERROR(__xludf.DUMMYFUNCTION("""COMPUTED_VALUE"""),0.9518413598)</f>
        <v>0.9518413598</v>
      </c>
    </row>
    <row r="329">
      <c r="O329" s="7">
        <f>IFERROR(__xludf.DUMMYFUNCTION("""COMPUTED_VALUE"""),0.0456136277431818)</f>
        <v>0.04561362774</v>
      </c>
      <c r="P329" s="7">
        <f>IFERROR(__xludf.DUMMYFUNCTION("""COMPUTED_VALUE"""),0.004740001349)</f>
        <v>0.004740001349</v>
      </c>
      <c r="Q329" s="7">
        <f>IFERROR(__xludf.DUMMYFUNCTION("""COMPUTED_VALUE"""),0.7932011331)</f>
        <v>0.7932011331</v>
      </c>
    </row>
    <row r="330">
      <c r="O330" s="7">
        <f>IFERROR(__xludf.DUMMYFUNCTION("""COMPUTED_VALUE"""),0.04265957489488357)</f>
        <v>0.04265957489</v>
      </c>
      <c r="P330" s="7">
        <f>IFERROR(__xludf.DUMMYFUNCTION("""COMPUTED_VALUE"""),0.0)</f>
        <v>0</v>
      </c>
      <c r="Q330" s="7">
        <f>IFERROR(__xludf.DUMMYFUNCTION("""COMPUTED_VALUE"""),0.9631728045)</f>
        <v>0.9631728045</v>
      </c>
    </row>
    <row r="331">
      <c r="O331" s="7">
        <f>IFERROR(__xludf.DUMMYFUNCTION("""COMPUTED_VALUE"""),0.03391856732569443)</f>
        <v>0.03391856733</v>
      </c>
      <c r="P331" s="7">
        <f>IFERROR(__xludf.DUMMYFUNCTION("""COMPUTED_VALUE"""),0.007707560531)</f>
        <v>0.007707560531</v>
      </c>
      <c r="Q331" s="7">
        <f>IFERROR(__xludf.DUMMYFUNCTION("""COMPUTED_VALUE"""),0.5750708215)</f>
        <v>0.5750708215</v>
      </c>
    </row>
    <row r="332">
      <c r="O332" s="7">
        <f>IFERROR(__xludf.DUMMYFUNCTION("""COMPUTED_VALUE"""),0.00521106696287784)</f>
        <v>0.005211066963</v>
      </c>
      <c r="P332" s="7">
        <f>IFERROR(__xludf.DUMMYFUNCTION("""COMPUTED_VALUE"""),0.00441626762)</f>
        <v>0.00441626762</v>
      </c>
      <c r="Q332" s="7">
        <f>IFERROR(__xludf.DUMMYFUNCTION("""COMPUTED_VALUE"""),0.8668555241)</f>
        <v>0.8668555241</v>
      </c>
    </row>
    <row r="333">
      <c r="O333" s="7">
        <f>IFERROR(__xludf.DUMMYFUNCTION("""COMPUTED_VALUE"""),0.01454998108966455)</f>
        <v>0.01454998109</v>
      </c>
      <c r="P333" s="7">
        <f>IFERROR(__xludf.DUMMYFUNCTION("""COMPUTED_VALUE"""),0.002797598975)</f>
        <v>0.002797598975</v>
      </c>
      <c r="Q333" s="7">
        <f>IFERROR(__xludf.DUMMYFUNCTION("""COMPUTED_VALUE"""),0.7280453258)</f>
        <v>0.7280453258</v>
      </c>
    </row>
    <row r="334">
      <c r="O334" s="7">
        <f>IFERROR(__xludf.DUMMYFUNCTION("""COMPUTED_VALUE"""),0.04026333059559339)</f>
        <v>0.0402633306</v>
      </c>
      <c r="P334" s="7">
        <f>IFERROR(__xludf.DUMMYFUNCTION("""COMPUTED_VALUE"""),0.002419909624)</f>
        <v>0.002419909624</v>
      </c>
      <c r="Q334" s="7">
        <f>IFERROR(__xludf.DUMMYFUNCTION("""COMPUTED_VALUE"""),0.7252124646)</f>
        <v>0.7252124646</v>
      </c>
    </row>
    <row r="335">
      <c r="O335" s="7">
        <f>IFERROR(__xludf.DUMMYFUNCTION("""COMPUTED_VALUE"""),0.00892415639760893)</f>
        <v>0.008924156398</v>
      </c>
      <c r="P335" s="7">
        <f>IFERROR(__xludf.DUMMYFUNCTION("""COMPUTED_VALUE"""),0.0)</f>
        <v>0</v>
      </c>
      <c r="Q335" s="7">
        <f>IFERROR(__xludf.DUMMYFUNCTION("""COMPUTED_VALUE"""),0.6855524079)</f>
        <v>0.6855524079</v>
      </c>
    </row>
    <row r="336">
      <c r="O336" s="7">
        <f>IFERROR(__xludf.DUMMYFUNCTION("""COMPUTED_VALUE"""),0.03504243821666245)</f>
        <v>0.03504243822</v>
      </c>
      <c r="P336" s="7">
        <f>IFERROR(__xludf.DUMMYFUNCTION("""COMPUTED_VALUE"""),0.198656505)</f>
        <v>0.198656505</v>
      </c>
      <c r="Q336" s="7">
        <f>IFERROR(__xludf.DUMMYFUNCTION("""COMPUTED_VALUE"""),0.7252124646)</f>
        <v>0.7252124646</v>
      </c>
    </row>
    <row r="337">
      <c r="O337" s="7">
        <f>IFERROR(__xludf.DUMMYFUNCTION("""COMPUTED_VALUE"""),0.005748469361784319)</f>
        <v>0.005748469362</v>
      </c>
      <c r="P337" s="7">
        <f>IFERROR(__xludf.DUMMYFUNCTION("""COMPUTED_VALUE"""),0.0)</f>
        <v>0</v>
      </c>
      <c r="Q337" s="7">
        <f>IFERROR(__xludf.DUMMYFUNCTION("""COMPUTED_VALUE"""),0.8895184136)</f>
        <v>0.8895184136</v>
      </c>
    </row>
    <row r="338">
      <c r="O338" s="7">
        <f>IFERROR(__xludf.DUMMYFUNCTION("""COMPUTED_VALUE"""),0.01126777641509852)</f>
        <v>0.01126777642</v>
      </c>
      <c r="P338" s="7">
        <f>IFERROR(__xludf.DUMMYFUNCTION("""COMPUTED_VALUE"""),1.0)</f>
        <v>1</v>
      </c>
      <c r="Q338" s="7">
        <f>IFERROR(__xludf.DUMMYFUNCTION("""COMPUTED_VALUE"""),0.6402266289)</f>
        <v>0.6402266289</v>
      </c>
    </row>
    <row r="339">
      <c r="O339" s="7">
        <f>IFERROR(__xludf.DUMMYFUNCTION("""COMPUTED_VALUE"""),0.01911559684260707)</f>
        <v>0.01911559684</v>
      </c>
      <c r="P339" s="7">
        <f>IFERROR(__xludf.DUMMYFUNCTION("""COMPUTED_VALUE"""),1.0)</f>
        <v>1</v>
      </c>
      <c r="Q339" s="7">
        <f>IFERROR(__xludf.DUMMYFUNCTION("""COMPUTED_VALUE"""),0.6770538244)</f>
        <v>0.6770538244</v>
      </c>
    </row>
    <row r="340">
      <c r="O340" s="7">
        <f>IFERROR(__xludf.DUMMYFUNCTION("""COMPUTED_VALUE"""),0.01425852107486944)</f>
        <v>0.01425852107</v>
      </c>
      <c r="P340" s="7">
        <f>IFERROR(__xludf.DUMMYFUNCTION("""COMPUTED_VALUE"""),0.935798206)</f>
        <v>0.935798206</v>
      </c>
      <c r="Q340" s="7">
        <f>IFERROR(__xludf.DUMMYFUNCTION("""COMPUTED_VALUE"""),0.6855524079)</f>
        <v>0.6855524079</v>
      </c>
    </row>
    <row r="341">
      <c r="O341" s="7">
        <f>IFERROR(__xludf.DUMMYFUNCTION("""COMPUTED_VALUE"""),-0.002718961355323896)</f>
        <v>-0.002718961355</v>
      </c>
      <c r="P341" s="7">
        <f>IFERROR(__xludf.DUMMYFUNCTION("""COMPUTED_VALUE"""),1.0)</f>
        <v>1</v>
      </c>
      <c r="Q341" s="7">
        <f>IFERROR(__xludf.DUMMYFUNCTION("""COMPUTED_VALUE"""),0.6798866856)</f>
        <v>0.6798866856</v>
      </c>
    </row>
    <row r="342">
      <c r="O342" s="7">
        <f>IFERROR(__xludf.DUMMYFUNCTION("""COMPUTED_VALUE"""),0.0629232292406107)</f>
        <v>0.06292322924</v>
      </c>
      <c r="P342" s="7">
        <f>IFERROR(__xludf.DUMMYFUNCTION("""COMPUTED_VALUE"""),1.0)</f>
        <v>1</v>
      </c>
      <c r="Q342" s="7">
        <f>IFERROR(__xludf.DUMMYFUNCTION("""COMPUTED_VALUE"""),0.7648725212)</f>
        <v>0.7648725212</v>
      </c>
    </row>
    <row r="343">
      <c r="O343" s="7">
        <f>IFERROR(__xludf.DUMMYFUNCTION("""COMPUTED_VALUE"""),-0.01034153242667817)</f>
        <v>-0.01034153243</v>
      </c>
      <c r="P343" s="7">
        <f>IFERROR(__xludf.DUMMYFUNCTION("""COMPUTED_VALUE"""),1.0)</f>
        <v>1</v>
      </c>
      <c r="Q343" s="7">
        <f>IFERROR(__xludf.DUMMYFUNCTION("""COMPUTED_VALUE"""),0.6855524079)</f>
        <v>0.6855524079</v>
      </c>
    </row>
    <row r="344">
      <c r="O344" s="7">
        <f>IFERROR(__xludf.DUMMYFUNCTION("""COMPUTED_VALUE"""),-0.00213004293333417)</f>
        <v>-0.002130042933</v>
      </c>
      <c r="P344" s="7">
        <f>IFERROR(__xludf.DUMMYFUNCTION("""COMPUTED_VALUE"""),0.4418884468)</f>
        <v>0.4418884468</v>
      </c>
      <c r="Q344" s="7">
        <f>IFERROR(__xludf.DUMMYFUNCTION("""COMPUTED_VALUE"""),0.6685552408)</f>
        <v>0.6685552408</v>
      </c>
    </row>
    <row r="345">
      <c r="O345" s="7">
        <f>IFERROR(__xludf.DUMMYFUNCTION("""COMPUTED_VALUE"""),-0.00322860412485805)</f>
        <v>-0.003228604125</v>
      </c>
      <c r="P345" s="7">
        <f>IFERROR(__xludf.DUMMYFUNCTION("""COMPUTED_VALUE"""),0.4252701153)</f>
        <v>0.4252701153</v>
      </c>
      <c r="Q345" s="7">
        <f>IFERROR(__xludf.DUMMYFUNCTION("""COMPUTED_VALUE"""),0.716713881)</f>
        <v>0.716713881</v>
      </c>
    </row>
    <row r="346">
      <c r="O346" s="7">
        <f>IFERROR(__xludf.DUMMYFUNCTION("""COMPUTED_VALUE"""),0.01791526757676973)</f>
        <v>0.01791526758</v>
      </c>
      <c r="P346" s="7">
        <f>IFERROR(__xludf.DUMMYFUNCTION("""COMPUTED_VALUE"""),0.5221744115)</f>
        <v>0.5221744115</v>
      </c>
      <c r="Q346" s="7">
        <f>IFERROR(__xludf.DUMMYFUNCTION("""COMPUTED_VALUE"""),0.8866855524)</f>
        <v>0.8866855524</v>
      </c>
    </row>
    <row r="347">
      <c r="O347" s="7">
        <f>IFERROR(__xludf.DUMMYFUNCTION("""COMPUTED_VALUE"""),0.01167474210722776)</f>
        <v>0.01167474211</v>
      </c>
      <c r="P347" s="7">
        <f>IFERROR(__xludf.DUMMYFUNCTION("""COMPUTED_VALUE"""),0.4756107102)</f>
        <v>0.4756107102</v>
      </c>
      <c r="Q347" s="7">
        <f>IFERROR(__xludf.DUMMYFUNCTION("""COMPUTED_VALUE"""),0.6912181303)</f>
        <v>0.6912181303</v>
      </c>
    </row>
    <row r="348">
      <c r="O348" s="7">
        <f>IFERROR(__xludf.DUMMYFUNCTION("""COMPUTED_VALUE"""),0.02194911132098757)</f>
        <v>0.02194911132</v>
      </c>
      <c r="P348" s="7">
        <f>IFERROR(__xludf.DUMMYFUNCTION("""COMPUTED_VALUE"""),0.4010979969)</f>
        <v>0.4010979969</v>
      </c>
      <c r="Q348" s="7">
        <f>IFERROR(__xludf.DUMMYFUNCTION("""COMPUTED_VALUE"""),0.6600566572)</f>
        <v>0.6600566572</v>
      </c>
    </row>
    <row r="349">
      <c r="O349" s="7">
        <f>IFERROR(__xludf.DUMMYFUNCTION("""COMPUTED_VALUE"""),0.01781446103155151)</f>
        <v>0.01781446103</v>
      </c>
      <c r="P349" s="7">
        <f>IFERROR(__xludf.DUMMYFUNCTION("""COMPUTED_VALUE"""),0.4225723343)</f>
        <v>0.4225723343</v>
      </c>
      <c r="Q349" s="7">
        <f>IFERROR(__xludf.DUMMYFUNCTION("""COMPUTED_VALUE"""),0.8441926346)</f>
        <v>0.8441926346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88"/>
  </cols>
  <sheetData>
    <row r="1">
      <c r="A1" s="9" t="s">
        <v>1</v>
      </c>
      <c r="B1" s="10">
        <v>2025.0</v>
      </c>
      <c r="C1" s="10">
        <v>2024.0</v>
      </c>
      <c r="D1" s="10">
        <v>2023.0</v>
      </c>
      <c r="E1" s="10">
        <v>2022.0</v>
      </c>
      <c r="F1" s="10">
        <v>2021.0</v>
      </c>
      <c r="G1" s="10">
        <v>2020.0</v>
      </c>
      <c r="H1" s="10">
        <v>2019.0</v>
      </c>
      <c r="I1" s="10">
        <v>2018.0</v>
      </c>
      <c r="J1" s="10">
        <v>2017.0</v>
      </c>
      <c r="K1" s="10">
        <v>2016.0</v>
      </c>
      <c r="L1" s="10">
        <v>2015.0</v>
      </c>
      <c r="M1" s="10">
        <v>2014.0</v>
      </c>
    </row>
    <row r="2">
      <c r="A2" s="10" t="s">
        <v>3</v>
      </c>
      <c r="B2" s="7">
        <f>ABS(Annual_return_and_ratios!B2 - Annual_return_and_ratios!B35)</f>
        <v>0.2841121952</v>
      </c>
      <c r="C2" s="7">
        <f>ABS(Annual_return_and_ratios!C2 - Annual_return_and_ratios!C35)</f>
        <v>0.1263984811</v>
      </c>
      <c r="D2" s="7">
        <f>ABS(Annual_return_and_ratios!D2 - Annual_return_and_ratios!D35)</f>
        <v>0.1346951584</v>
      </c>
      <c r="E2" s="7">
        <f>ABS(Annual_return_and_ratios!E2 - Annual_return_and_ratios!E35)</f>
        <v>0.1046736937</v>
      </c>
      <c r="F2" s="7">
        <f>ABS(Annual_return_and_ratios!F2 - Annual_return_and_ratios!F35)</f>
        <v>0.02417212883</v>
      </c>
      <c r="G2" s="7">
        <f>ABS(Annual_return_and_ratios!G2 - Annual_return_and_ratios!G35)</f>
        <v>0.1157092316</v>
      </c>
      <c r="H2" s="7">
        <f>ABS(Annual_return_and_ratios!H2 - Annual_return_and_ratios!H35)</f>
        <v>0.08449318365</v>
      </c>
      <c r="I2" s="7">
        <f>ABS(Annual_return_and_ratios!I2 - Annual_return_and_ratios!I35)</f>
        <v>0.08088942624</v>
      </c>
      <c r="J2" s="7">
        <f>ABS(Annual_return_and_ratios!J2 - Annual_return_and_ratios!J35)</f>
        <v>0.06183446587</v>
      </c>
      <c r="K2" s="7">
        <f>ABS(Annual_return_and_ratios!K2 - Annual_return_and_ratios!K35)</f>
        <v>0.07776967176</v>
      </c>
      <c r="L2" s="7">
        <f>ABS(Annual_return_and_ratios!L2 - Annual_return_and_ratios!L35)</f>
        <v>0.003466736732</v>
      </c>
      <c r="M2" s="7">
        <f>ABS(Annual_return_and_ratios!M2 - Annual_return_and_ratios!M35)</f>
        <v>0.00657503113</v>
      </c>
    </row>
    <row r="3">
      <c r="A3" s="10" t="s">
        <v>4</v>
      </c>
      <c r="B3" s="7">
        <f>ABS(Annual_return_and_ratios!B3 - Annual_return_and_ratios!B36)</f>
        <v>0.2105495375</v>
      </c>
      <c r="C3" s="7">
        <f>ABS(Annual_return_and_ratios!C3 - Annual_return_and_ratios!C36)</f>
        <v>0.2924613975</v>
      </c>
      <c r="D3" s="7">
        <f>ABS(Annual_return_and_ratios!D3 - Annual_return_and_ratios!D36)</f>
        <v>0.2241889451</v>
      </c>
      <c r="E3" s="7">
        <f>ABS(Annual_return_and_ratios!E3 - Annual_return_and_ratios!E36)</f>
        <v>0.1414229652</v>
      </c>
      <c r="F3" s="7">
        <f>ABS(Annual_return_and_ratios!F3 - Annual_return_and_ratios!F36)</f>
        <v>0.1305370257</v>
      </c>
      <c r="G3" s="7">
        <f>ABS(Annual_return_and_ratios!G3 - Annual_return_and_ratios!G36)</f>
        <v>0.1309656908</v>
      </c>
      <c r="H3" s="7">
        <f>ABS(Annual_return_and_ratios!H3 - Annual_return_and_ratios!H36)</f>
        <v>0.08484365347</v>
      </c>
      <c r="I3" s="7">
        <f>ABS(Annual_return_and_ratios!I3 - Annual_return_and_ratios!I36)</f>
        <v>0.1008958718</v>
      </c>
      <c r="J3" s="7">
        <f>ABS(Annual_return_and_ratios!J3 - Annual_return_and_ratios!J36)</f>
        <v>0.07934654492</v>
      </c>
      <c r="K3" s="7">
        <f>ABS(Annual_return_and_ratios!K3 - Annual_return_and_ratios!K36)</f>
        <v>0.08102345371</v>
      </c>
      <c r="L3" s="7">
        <f>ABS(Annual_return_and_ratios!L3 - Annual_return_and_ratios!L36)</f>
        <v>0.03119577469</v>
      </c>
      <c r="M3" s="7">
        <f>ABS(Annual_return_and_ratios!M3 - Annual_return_and_ratios!M36)</f>
        <v>0.04311954259</v>
      </c>
    </row>
    <row r="4">
      <c r="A4" s="10" t="s">
        <v>5</v>
      </c>
      <c r="B4" s="7">
        <f>ABS(Annual_return_and_ratios!B4 - Annual_return_and_ratios!B37)</f>
        <v>0.4720880396</v>
      </c>
      <c r="C4" s="7">
        <f>ABS(Annual_return_and_ratios!C4 - Annual_return_and_ratios!C37)</f>
        <v>0.4316954008</v>
      </c>
      <c r="D4" s="7">
        <f>ABS(Annual_return_and_ratios!D4 - Annual_return_and_ratios!D37)</f>
        <v>0.1612712106</v>
      </c>
      <c r="E4" s="7">
        <f>ABS(Annual_return_and_ratios!E4 - Annual_return_and_ratios!E37)</f>
        <v>0.2305239285</v>
      </c>
      <c r="F4" s="7">
        <f>ABS(Annual_return_and_ratios!F4 - Annual_return_and_ratios!F37)</f>
        <v>0.06433986698</v>
      </c>
      <c r="G4" s="7">
        <f>ABS(Annual_return_and_ratios!G4 - Annual_return_and_ratios!G37)</f>
        <v>0.06909961209</v>
      </c>
      <c r="H4" s="7">
        <f>ABS(Annual_return_and_ratios!H4 - Annual_return_and_ratios!H37)</f>
        <v>0.05627959094</v>
      </c>
      <c r="I4" s="7">
        <f>ABS(Annual_return_and_ratios!I4 - Annual_return_and_ratios!I37)</f>
        <v>0.003598780509</v>
      </c>
      <c r="J4" s="7">
        <f>ABS(Annual_return_and_ratios!J4 - Annual_return_and_ratios!J37)</f>
        <v>0.07033446405</v>
      </c>
      <c r="K4" s="7">
        <f>ABS(Annual_return_and_ratios!K4 - Annual_return_and_ratios!K37)</f>
        <v>0.1954163537</v>
      </c>
      <c r="L4" s="7">
        <f>ABS(Annual_return_and_ratios!L4 - Annual_return_and_ratios!L37)</f>
        <v>0.106910773</v>
      </c>
      <c r="M4" s="7">
        <f>ABS(Annual_return_and_ratios!M4 - Annual_return_and_ratios!M37)</f>
        <v>0.6919214122</v>
      </c>
    </row>
    <row r="5">
      <c r="A5" s="10" t="s">
        <v>6</v>
      </c>
      <c r="B5" s="7">
        <f>ABS(Annual_return_and_ratios!B5 - Annual_return_and_ratios!B38)</f>
        <v>0.02772927789</v>
      </c>
      <c r="C5" s="7">
        <f>ABS(Annual_return_and_ratios!C5 - Annual_return_and_ratios!C38)</f>
        <v>0.007021517253</v>
      </c>
      <c r="D5" s="7">
        <f>ABS(Annual_return_and_ratios!D5 - Annual_return_and_ratios!D38)</f>
        <v>0.02927530248</v>
      </c>
      <c r="E5" s="7">
        <f>ABS(Annual_return_and_ratios!E5 - Annual_return_and_ratios!E38)</f>
        <v>0.08224556692</v>
      </c>
      <c r="F5" s="7">
        <f>ABS(Annual_return_and_ratios!F5 - Annual_return_and_ratios!F38)</f>
        <v>0.02561918261</v>
      </c>
      <c r="G5" s="7">
        <f>ABS(Annual_return_and_ratios!G5 - Annual_return_and_ratios!G38)</f>
        <v>0.2283626185</v>
      </c>
      <c r="H5" s="7">
        <f>ABS(Annual_return_and_ratios!H5 - Annual_return_and_ratios!H38)</f>
        <v>0.06632841435</v>
      </c>
      <c r="I5" s="7">
        <f>ABS(Annual_return_and_ratios!I5 - Annual_return_and_ratios!I38)</f>
        <v>0.01508851643</v>
      </c>
      <c r="J5" s="7">
        <f>ABS(Annual_return_and_ratios!J5 - Annual_return_and_ratios!J38)</f>
        <v>0.06179572922</v>
      </c>
      <c r="K5" s="7">
        <f>ABS(Annual_return_and_ratios!K5 - Annual_return_and_ratios!K38)</f>
        <v>0.02793131911</v>
      </c>
      <c r="L5" s="7">
        <f>ABS(Annual_return_and_ratios!L5 - Annual_return_and_ratios!L38)</f>
        <v>0.02297891529</v>
      </c>
      <c r="M5" s="7">
        <f>ABS(Annual_return_and_ratios!M5 - Annual_return_and_ratios!M38)</f>
        <v>0.0109485327</v>
      </c>
    </row>
    <row r="6">
      <c r="A6" s="10" t="s">
        <v>7</v>
      </c>
      <c r="B6" s="7">
        <f>ABS(Annual_return_and_ratios!B6 - Annual_return_and_ratios!B39)</f>
        <v>0.9839878836</v>
      </c>
      <c r="C6" s="7">
        <f>ABS(Annual_return_and_ratios!C6 - Annual_return_and_ratios!C39)</f>
        <v>0.9786361458</v>
      </c>
      <c r="D6" s="7">
        <f>ABS(Annual_return_and_ratios!D6 - Annual_return_and_ratios!D39)</f>
        <v>1.013425761</v>
      </c>
      <c r="E6" s="7">
        <f>ABS(Annual_return_and_ratios!E6 - Annual_return_and_ratios!E39)</f>
        <v>0.5825306519</v>
      </c>
      <c r="F6" s="7">
        <f>ABS(Annual_return_and_ratios!F6 - Annual_return_and_ratios!F39)</f>
        <v>0.2968149555</v>
      </c>
      <c r="G6" s="7">
        <f>ABS(Annual_return_and_ratios!G6 - Annual_return_and_ratios!G39)</f>
        <v>0.4736848914</v>
      </c>
      <c r="H6" s="7">
        <f>ABS(Annual_return_and_ratios!H6 - Annual_return_and_ratios!H39)</f>
        <v>0.3119309164</v>
      </c>
      <c r="I6" s="7">
        <f>ABS(Annual_return_and_ratios!I6 - Annual_return_and_ratios!I39)</f>
        <v>0.208756522</v>
      </c>
      <c r="J6" s="7">
        <f>ABS(Annual_return_and_ratios!J6 - Annual_return_and_ratios!J39)</f>
        <v>0.1254811384</v>
      </c>
      <c r="K6" s="7">
        <f>ABS(Annual_return_and_ratios!K6 - Annual_return_and_ratios!K39)</f>
        <v>0.9564493707</v>
      </c>
      <c r="L6" s="7">
        <f>ABS(Annual_return_and_ratios!L6 - Annual_return_and_ratios!L39)</f>
        <v>0.8855797539</v>
      </c>
      <c r="M6" s="7">
        <f>ABS(Annual_return_and_ratios!M6 - Annual_return_and_ratios!M39)</f>
        <v>0.7206267338</v>
      </c>
    </row>
    <row r="7">
      <c r="A7" s="10" t="s">
        <v>8</v>
      </c>
      <c r="B7" s="7">
        <f>ABS(Annual_return_and_ratios!B7 - Annual_return_and_ratios!B40)</f>
        <v>0.00008685147683</v>
      </c>
      <c r="C7" s="7">
        <f>ABS(Annual_return_and_ratios!C7 - Annual_return_and_ratios!C40)</f>
        <v>0.04196547869</v>
      </c>
      <c r="D7" s="7">
        <f>ABS(Annual_return_and_ratios!D7 - Annual_return_and_ratios!D40)</f>
        <v>0.01803184374</v>
      </c>
      <c r="E7" s="7">
        <f>ABS(Annual_return_and_ratios!E7 - Annual_return_and_ratios!E40)</f>
        <v>0.002049151257</v>
      </c>
      <c r="F7" s="7">
        <f>ABS(Annual_return_and_ratios!F7 - Annual_return_and_ratios!F40)</f>
        <v>0.01629429186</v>
      </c>
      <c r="G7" s="7">
        <f>ABS(Annual_return_and_ratios!G7 - Annual_return_and_ratios!G40)</f>
        <v>0.03560696918</v>
      </c>
      <c r="H7" s="7">
        <f>ABS(Annual_return_and_ratios!H7 - Annual_return_and_ratios!H40)</f>
        <v>0.06254905685</v>
      </c>
      <c r="I7" s="7">
        <f>ABS(Annual_return_and_ratios!I7 - Annual_return_and_ratios!I40)</f>
        <v>0.0234767417</v>
      </c>
      <c r="J7" s="7">
        <f>ABS(Annual_return_and_ratios!J7 - Annual_return_and_ratios!J40)</f>
        <v>0.0009777304622</v>
      </c>
      <c r="K7" s="7">
        <f>ABS(Annual_return_and_ratios!K7 - Annual_return_and_ratios!K40)</f>
        <v>0.0050301108</v>
      </c>
      <c r="L7" s="7">
        <f>ABS(Annual_return_and_ratios!L7 - Annual_return_and_ratios!L40)</f>
        <v>0.6919014714</v>
      </c>
      <c r="M7" s="7">
        <f>ABS(Annual_return_and_ratios!M7 - Annual_return_and_ratios!M40)</f>
        <v>0.6241367822</v>
      </c>
    </row>
    <row r="8">
      <c r="A8" s="10" t="s">
        <v>9</v>
      </c>
      <c r="B8" s="7">
        <f>ABS(Annual_return_and_ratios!B8 - Annual_return_and_ratios!B41)</f>
        <v>0.2643258759</v>
      </c>
      <c r="C8" s="7">
        <f>ABS(Annual_return_and_ratios!C8 - Annual_return_and_ratios!C41)</f>
        <v>0.01167280048</v>
      </c>
      <c r="D8" s="7">
        <f>ABS(Annual_return_and_ratios!D8 - Annual_return_and_ratios!D41)</f>
        <v>0.06792640694</v>
      </c>
      <c r="E8" s="7">
        <f>ABS(Annual_return_and_ratios!E8 - Annual_return_and_ratios!E41)</f>
        <v>0.0027036238</v>
      </c>
      <c r="F8" s="7">
        <f>ABS(Annual_return_and_ratios!F8 - Annual_return_and_ratios!F41)</f>
        <v>0.01275131807</v>
      </c>
      <c r="G8" s="7">
        <f>ABS(Annual_return_and_ratios!G8 - Annual_return_and_ratios!G41)</f>
        <v>0.02898796598</v>
      </c>
      <c r="H8" s="7">
        <f>ABS(Annual_return_and_ratios!H8 - Annual_return_and_ratios!H41)</f>
        <v>0.01506366077</v>
      </c>
      <c r="I8" s="7">
        <f>ABS(Annual_return_and_ratios!I8 - Annual_return_and_ratios!I41)</f>
        <v>0.008825331766</v>
      </c>
      <c r="J8" s="7">
        <f>ABS(Annual_return_and_ratios!J8 - Annual_return_and_ratios!J41)</f>
        <v>0.03708469178</v>
      </c>
      <c r="K8" s="7">
        <f>ABS(Annual_return_and_ratios!K8 - Annual_return_and_ratios!K41)</f>
        <v>0.07356142525</v>
      </c>
      <c r="L8" s="7">
        <f>ABS(Annual_return_and_ratios!L8 - Annual_return_and_ratios!L41)</f>
        <v>0.0310416507</v>
      </c>
      <c r="M8" s="7">
        <f>ABS(Annual_return_and_ratios!M8 - Annual_return_and_ratios!M41)</f>
        <v>0.01298265377</v>
      </c>
    </row>
    <row r="9">
      <c r="A9" s="10" t="s">
        <v>10</v>
      </c>
      <c r="B9" s="7">
        <f>ABS(Annual_return_and_ratios!B9 - Annual_return_and_ratios!B42)</f>
        <v>0.3285225725</v>
      </c>
      <c r="C9" s="7">
        <f>ABS(Annual_return_and_ratios!C9 - Annual_return_and_ratios!C42)</f>
        <v>0.2678127397</v>
      </c>
      <c r="D9" s="7">
        <f>ABS(Annual_return_and_ratios!D9 - Annual_return_and_ratios!D42)</f>
        <v>0.2837781931</v>
      </c>
      <c r="E9" s="7">
        <f>ABS(Annual_return_and_ratios!E9 - Annual_return_and_ratios!E42)</f>
        <v>0.2394683296</v>
      </c>
      <c r="F9" s="7">
        <f>ABS(Annual_return_and_ratios!F9 - Annual_return_and_ratios!F42)</f>
        <v>0.1344978569</v>
      </c>
      <c r="G9" s="7">
        <f>ABS(Annual_return_and_ratios!G9 - Annual_return_and_ratios!G42)</f>
        <v>0.2246071664</v>
      </c>
      <c r="H9" s="7">
        <f>ABS(Annual_return_and_ratios!H9 - Annual_return_and_ratios!H42)</f>
        <v>0.3745861603</v>
      </c>
      <c r="I9" s="7">
        <f>ABS(Annual_return_and_ratios!I9 - Annual_return_and_ratios!I42)</f>
        <v>0.3135892428</v>
      </c>
      <c r="J9" s="7">
        <f>ABS(Annual_return_and_ratios!J9 - Annual_return_and_ratios!J42)</f>
        <v>0.307635288</v>
      </c>
      <c r="K9" s="7">
        <f>ABS(Annual_return_and_ratios!K9 - Annual_return_and_ratios!K42)</f>
        <v>0.1979087784</v>
      </c>
      <c r="L9" s="7">
        <f>ABS(Annual_return_and_ratios!L9 - Annual_return_and_ratios!L42)</f>
        <v>0.2398267951</v>
      </c>
      <c r="M9" s="7">
        <f>ABS(Annual_return_and_ratios!M9 - Annual_return_and_ratios!M42)</f>
        <v>0.4328776069</v>
      </c>
    </row>
    <row r="10">
      <c r="A10" s="10" t="s">
        <v>11</v>
      </c>
      <c r="B10" s="7">
        <f>ABS(Annual_return_and_ratios!B10 - Annual_return_and_ratios!B43)</f>
        <v>0.4710560809</v>
      </c>
      <c r="C10" s="7">
        <f>ABS(Annual_return_and_ratios!C10 - Annual_return_and_ratios!C43)</f>
        <v>0.4801433797</v>
      </c>
      <c r="D10" s="7">
        <f>ABS(Annual_return_and_ratios!D10 - Annual_return_and_ratios!D43)</f>
        <v>0.4225018102</v>
      </c>
      <c r="E10" s="7">
        <f>ABS(Annual_return_and_ratios!E10 - Annual_return_and_ratios!E43)</f>
        <v>0.355380811</v>
      </c>
      <c r="F10" s="7">
        <f>ABS(Annual_return_and_ratios!F10 - Annual_return_and_ratios!F43)</f>
        <v>0.2530645236</v>
      </c>
      <c r="G10" s="7">
        <f>ABS(Annual_return_and_ratios!G10 - Annual_return_and_ratios!G43)</f>
        <v>0.2750840626</v>
      </c>
      <c r="H10" s="7">
        <f>ABS(Annual_return_and_ratios!H10 - Annual_return_and_ratios!H43)</f>
        <v>0.4159233526</v>
      </c>
      <c r="I10" s="7">
        <f>ABS(Annual_return_and_ratios!I10 - Annual_return_and_ratios!I43)</f>
        <v>0.3473419335</v>
      </c>
      <c r="J10" s="7">
        <f>ABS(Annual_return_and_ratios!J10 - Annual_return_and_ratios!J43)</f>
        <v>0.2822712546</v>
      </c>
      <c r="K10" s="7">
        <f>ABS(Annual_return_and_ratios!K10 - Annual_return_and_ratios!K43)</f>
        <v>0.2545877607</v>
      </c>
      <c r="L10" s="7">
        <f>ABS(Annual_return_and_ratios!L10 - Annual_return_and_ratios!L43)</f>
        <v>0.1969470959</v>
      </c>
      <c r="M10" s="7">
        <f>ABS(Annual_return_and_ratios!M10 - Annual_return_and_ratios!M43)</f>
        <v>0.168224235</v>
      </c>
    </row>
    <row r="11">
      <c r="A11" s="10" t="s">
        <v>12</v>
      </c>
      <c r="B11" s="7">
        <f>ABS(Annual_return_and_ratios!B11 - Annual_return_and_ratios!B44)</f>
        <v>0.2310442083</v>
      </c>
      <c r="C11" s="7">
        <f>ABS(Annual_return_and_ratios!C11 - Annual_return_and_ratios!C44)</f>
        <v>0.23483213</v>
      </c>
      <c r="D11" s="7">
        <f>ABS(Annual_return_and_ratios!D11 - Annual_return_and_ratios!D44)</f>
        <v>0.2015296501</v>
      </c>
      <c r="E11" s="7">
        <f>ABS(Annual_return_and_ratios!E11 - Annual_return_and_ratios!E44)</f>
        <v>0.2061911143</v>
      </c>
      <c r="F11" s="7">
        <f>ABS(Annual_return_and_ratios!F11 - Annual_return_and_ratios!F44)</f>
        <v>0.1658616222</v>
      </c>
      <c r="G11" s="7">
        <f>ABS(Annual_return_and_ratios!G11 - Annual_return_and_ratios!G44)</f>
        <v>0.1317074111</v>
      </c>
      <c r="H11" s="7">
        <f>ABS(Annual_return_and_ratios!H11 - Annual_return_and_ratios!H44)</f>
        <v>0.1177371512</v>
      </c>
      <c r="I11" s="7">
        <f>ABS(Annual_return_and_ratios!I11 - Annual_return_and_ratios!I44)</f>
        <v>0.08558070412</v>
      </c>
      <c r="J11" s="7">
        <f>ABS(Annual_return_and_ratios!J11 - Annual_return_and_ratios!J44)</f>
        <v>0.096825079</v>
      </c>
      <c r="K11" s="7">
        <f>ABS(Annual_return_and_ratios!K11 - Annual_return_and_ratios!K44)</f>
        <v>0.08958434047</v>
      </c>
      <c r="L11" s="7">
        <f>ABS(Annual_return_and_ratios!L11 - Annual_return_and_ratios!L44)</f>
        <v>0.06395618695</v>
      </c>
      <c r="M11" s="7">
        <f>ABS(Annual_return_and_ratios!M11 - Annual_return_and_ratios!M44)</f>
        <v>0.05939705017</v>
      </c>
    </row>
    <row r="12">
      <c r="A12" s="10" t="s">
        <v>13</v>
      </c>
      <c r="B12" s="7">
        <f>ABS(Annual_return_and_ratios!B12 - Annual_return_and_ratios!B45)</f>
        <v>0.3571972765</v>
      </c>
      <c r="C12" s="7">
        <f>ABS(Annual_return_and_ratios!C12 - Annual_return_and_ratios!C45)</f>
        <v>0.3050421376</v>
      </c>
      <c r="D12" s="7">
        <f>ABS(Annual_return_and_ratios!D12 - Annual_return_and_ratios!D45)</f>
        <v>0.2274328889</v>
      </c>
      <c r="E12" s="7">
        <f>ABS(Annual_return_and_ratios!E12 - Annual_return_and_ratios!E45)</f>
        <v>0.1577906656</v>
      </c>
      <c r="F12" s="7">
        <f>ABS(Annual_return_and_ratios!F12 - Annual_return_and_ratios!F45)</f>
        <v>0.08686137852</v>
      </c>
      <c r="G12" s="7">
        <f>ABS(Annual_return_and_ratios!G12 - Annual_return_and_ratios!G45)</f>
        <v>0.07527530419</v>
      </c>
      <c r="H12" s="7">
        <f>ABS(Annual_return_and_ratios!H12 - Annual_return_and_ratios!H45)</f>
        <v>0.008016169263</v>
      </c>
      <c r="I12" s="7">
        <f>ABS(Annual_return_and_ratios!I12 - Annual_return_and_ratios!I45)</f>
        <v>0.04343220927</v>
      </c>
      <c r="J12" s="7">
        <f>ABS(Annual_return_and_ratios!J12 - Annual_return_and_ratios!J45)</f>
        <v>0.05282682653</v>
      </c>
      <c r="K12" s="7">
        <f>ABS(Annual_return_and_ratios!K12 - Annual_return_and_ratios!K45)</f>
        <v>0.1034938613</v>
      </c>
      <c r="L12" s="7">
        <f>ABS(Annual_return_and_ratios!L12 - Annual_return_and_ratios!L45)</f>
        <v>0.08260603146</v>
      </c>
      <c r="M12" s="7">
        <f>ABS(Annual_return_and_ratios!M12 - Annual_return_and_ratios!M45)</f>
        <v>0.483611256</v>
      </c>
    </row>
    <row r="13">
      <c r="A13" s="10" t="s">
        <v>14</v>
      </c>
      <c r="B13" s="7">
        <f>ABS(Annual_return_and_ratios!B13 - Annual_return_and_ratios!B46)</f>
        <v>0.328620107</v>
      </c>
      <c r="C13" s="7">
        <f>ABS(Annual_return_and_ratios!C13 - Annual_return_and_ratios!C46)</f>
        <v>0.3231132229</v>
      </c>
      <c r="D13" s="7">
        <f>ABS(Annual_return_and_ratios!D13 - Annual_return_and_ratios!D46)</f>
        <v>0.3187943965</v>
      </c>
      <c r="E13" s="7">
        <f>ABS(Annual_return_and_ratios!E13 - Annual_return_and_ratios!E46)</f>
        <v>0.2423197289</v>
      </c>
      <c r="F13" s="7">
        <f>ABS(Annual_return_and_ratios!F13 - Annual_return_and_ratios!F46)</f>
        <v>0.1632334541</v>
      </c>
      <c r="G13" s="7">
        <f>ABS(Annual_return_and_ratios!G13 - Annual_return_and_ratios!G46)</f>
        <v>0.2075132871</v>
      </c>
      <c r="H13" s="7">
        <f>ABS(Annual_return_and_ratios!H13 - Annual_return_and_ratios!H46)</f>
        <v>0.1563385977</v>
      </c>
      <c r="I13" s="7">
        <f>ABS(Annual_return_and_ratios!I13 - Annual_return_and_ratios!I46)</f>
        <v>0.3614209709</v>
      </c>
      <c r="J13" s="7">
        <f>ABS(Annual_return_and_ratios!J13 - Annual_return_and_ratios!J46)</f>
        <v>0.3392915962</v>
      </c>
      <c r="K13" s="7">
        <f>ABS(Annual_return_and_ratios!K13 - Annual_return_and_ratios!K46)</f>
        <v>0.2966299314</v>
      </c>
      <c r="L13" s="7">
        <f>ABS(Annual_return_and_ratios!L13 - Annual_return_and_ratios!L46)</f>
        <v>0.5453742445</v>
      </c>
      <c r="M13" s="7">
        <f>ABS(Annual_return_and_ratios!M13 - Annual_return_and_ratios!M46)</f>
        <v>0.9797516159</v>
      </c>
    </row>
    <row r="14">
      <c r="A14" s="10" t="s">
        <v>15</v>
      </c>
      <c r="B14" s="7">
        <f>ABS(Annual_return_and_ratios!B14 - Annual_return_and_ratios!B47)</f>
        <v>0.1375879074</v>
      </c>
      <c r="C14" s="7">
        <f>ABS(Annual_return_and_ratios!C14 - Annual_return_and_ratios!C47)</f>
        <v>0.06485785384</v>
      </c>
      <c r="D14" s="7">
        <f>ABS(Annual_return_and_ratios!D14 - Annual_return_and_ratios!D47)</f>
        <v>0.03117271362</v>
      </c>
      <c r="E14" s="7">
        <f>ABS(Annual_return_and_ratios!E14 - Annual_return_and_ratios!E47)</f>
        <v>0.0384179879</v>
      </c>
      <c r="F14" s="7">
        <f>ABS(Annual_return_and_ratios!F14 - Annual_return_and_ratios!F47)</f>
        <v>0.02269947532</v>
      </c>
      <c r="G14" s="7">
        <f>ABS(Annual_return_and_ratios!G14 - Annual_return_and_ratios!G47)</f>
        <v>0.0922445454</v>
      </c>
      <c r="H14" s="7">
        <f>ABS(Annual_return_and_ratios!H14 - Annual_return_and_ratios!H47)</f>
        <v>0.03078638591</v>
      </c>
      <c r="I14" s="7">
        <f>ABS(Annual_return_and_ratios!I14 - Annual_return_and_ratios!I47)</f>
        <v>0.05117942079</v>
      </c>
      <c r="J14" s="7">
        <f>ABS(Annual_return_and_ratios!J14 - Annual_return_and_ratios!J47)</f>
        <v>0.01075245292</v>
      </c>
      <c r="K14" s="7">
        <f>ABS(Annual_return_and_ratios!K14 - Annual_return_and_ratios!K47)</f>
        <v>0.0274406645</v>
      </c>
      <c r="L14" s="7">
        <f>ABS(Annual_return_and_ratios!L14 - Annual_return_and_ratios!L47)</f>
        <v>0.05055080139</v>
      </c>
      <c r="M14" s="7">
        <f>ABS(Annual_return_and_ratios!M14 - Annual_return_and_ratios!M47)</f>
        <v>0.03450902614</v>
      </c>
    </row>
    <row r="15">
      <c r="A15" s="10" t="s">
        <v>16</v>
      </c>
      <c r="B15" s="7">
        <f>ABS(Annual_return_and_ratios!B15 - Annual_return_and_ratios!B48)</f>
        <v>0.5714193146</v>
      </c>
      <c r="C15" s="7">
        <f>ABS(Annual_return_and_ratios!C15 - Annual_return_and_ratios!C48)</f>
        <v>0.475578826</v>
      </c>
      <c r="D15" s="7">
        <f>ABS(Annual_return_and_ratios!D15 - Annual_return_and_ratios!D48)</f>
        <v>0.3891353076</v>
      </c>
      <c r="E15" s="7">
        <f>ABS(Annual_return_and_ratios!E15 - Annual_return_and_ratios!E48)</f>
        <v>0.3167526677</v>
      </c>
      <c r="F15" s="7">
        <f>ABS(Annual_return_and_ratios!F15 - Annual_return_and_ratios!F48)</f>
        <v>0.2303492967</v>
      </c>
      <c r="G15" s="7">
        <f>ABS(Annual_return_and_ratios!G15 - Annual_return_and_ratios!G48)</f>
        <v>0.2262227269</v>
      </c>
      <c r="H15" s="7">
        <f>ABS(Annual_return_and_ratios!H15 - Annual_return_and_ratios!H48)</f>
        <v>0.1673765532</v>
      </c>
      <c r="I15" s="7">
        <f>ABS(Annual_return_and_ratios!I15 - Annual_return_and_ratios!I48)</f>
        <v>0.149710814</v>
      </c>
      <c r="J15" s="7">
        <f>ABS(Annual_return_and_ratios!J15 - Annual_return_and_ratios!J48)</f>
        <v>0.1142949908</v>
      </c>
      <c r="K15" s="7">
        <f>ABS(Annual_return_and_ratios!K15 - Annual_return_and_ratios!K48)</f>
        <v>0.0824520173</v>
      </c>
      <c r="L15" s="7">
        <f>ABS(Annual_return_and_ratios!L15 - Annual_return_and_ratios!L48)</f>
        <v>0.1596313159</v>
      </c>
      <c r="M15" s="7">
        <f>ABS(Annual_return_and_ratios!M15 - Annual_return_and_ratios!M48)</f>
        <v>0.1427058208</v>
      </c>
    </row>
    <row r="16">
      <c r="A16" s="10" t="s">
        <v>17</v>
      </c>
      <c r="B16" s="7">
        <f>ABS(Annual_return_and_ratios!B16 - Annual_return_and_ratios!B49)</f>
        <v>0.5857462562</v>
      </c>
      <c r="C16" s="7">
        <f>ABS(Annual_return_and_ratios!C16 - Annual_return_and_ratios!C49)</f>
        <v>0.4493467434</v>
      </c>
      <c r="D16" s="7">
        <f>ABS(Annual_return_and_ratios!D16 - Annual_return_and_ratios!D49)</f>
        <v>0.369383596</v>
      </c>
      <c r="E16" s="7">
        <f>ABS(Annual_return_and_ratios!E16 - Annual_return_and_ratios!E49)</f>
        <v>0.3005625143</v>
      </c>
      <c r="F16" s="7">
        <f>ABS(Annual_return_and_ratios!F16 - Annual_return_and_ratios!F49)</f>
        <v>0.3843306976</v>
      </c>
      <c r="G16" s="7">
        <f>ABS(Annual_return_and_ratios!G16 - Annual_return_and_ratios!G49)</f>
        <v>0.3878414049</v>
      </c>
      <c r="H16" s="7">
        <f>ABS(Annual_return_and_ratios!H16 - Annual_return_and_ratios!H49)</f>
        <v>0.329469837</v>
      </c>
      <c r="I16" s="7">
        <f>ABS(Annual_return_and_ratios!I16 - Annual_return_and_ratios!I49)</f>
        <v>0.253836715</v>
      </c>
      <c r="J16" s="7">
        <f>ABS(Annual_return_and_ratios!J16 - Annual_return_and_ratios!J49)</f>
        <v>0.1968749694</v>
      </c>
      <c r="K16" s="7">
        <f>ABS(Annual_return_and_ratios!K16 - Annual_return_and_ratios!K49)</f>
        <v>0.2588594542</v>
      </c>
      <c r="L16" s="7">
        <f>ABS(Annual_return_and_ratios!L16 - Annual_return_and_ratios!L49)</f>
        <v>0.2386471112</v>
      </c>
      <c r="M16" s="7">
        <f>ABS(Annual_return_and_ratios!M16 - Annual_return_and_ratios!M49)</f>
        <v>0.2360638764</v>
      </c>
    </row>
    <row r="17">
      <c r="A17" s="10" t="s">
        <v>18</v>
      </c>
      <c r="B17" s="7">
        <f>ABS(Annual_return_and_ratios!B17 - Annual_return_and_ratios!B50)</f>
        <v>0.5851802515</v>
      </c>
      <c r="C17" s="7">
        <f>ABS(Annual_return_and_ratios!C17 - Annual_return_and_ratios!C50)</f>
        <v>0.4908207236</v>
      </c>
      <c r="D17" s="7">
        <f>ABS(Annual_return_and_ratios!D17 - Annual_return_and_ratios!D50)</f>
        <v>0.4524515398</v>
      </c>
      <c r="E17" s="7">
        <f>ABS(Annual_return_and_ratios!E17 - Annual_return_and_ratios!E50)</f>
        <v>0.3025936561</v>
      </c>
      <c r="F17" s="7">
        <f>ABS(Annual_return_and_ratios!F17 - Annual_return_and_ratios!F50)</f>
        <v>0.01770767404</v>
      </c>
      <c r="G17" s="7">
        <f>ABS(Annual_return_and_ratios!G17 - Annual_return_and_ratios!G50)</f>
        <v>0.05388820998</v>
      </c>
      <c r="H17" s="7">
        <f>ABS(Annual_return_and_ratios!H17 - Annual_return_and_ratios!H50)</f>
        <v>0.2637334925</v>
      </c>
      <c r="I17" s="7">
        <f>ABS(Annual_return_and_ratios!I17 - Annual_return_and_ratios!I50)</f>
        <v>0.350968025</v>
      </c>
      <c r="J17" s="7">
        <f>ABS(Annual_return_and_ratios!J17 - Annual_return_and_ratios!J50)</f>
        <v>0.1663279269</v>
      </c>
      <c r="K17" s="7">
        <f>ABS(Annual_return_and_ratios!K17 - Annual_return_and_ratios!K50)</f>
        <v>0.2885279787</v>
      </c>
      <c r="L17" s="7">
        <f>ABS(Annual_return_and_ratios!L17 - Annual_return_and_ratios!L50)</f>
        <v>0.2412612789</v>
      </c>
      <c r="M17" s="7">
        <f>ABS(Annual_return_and_ratios!M17 - Annual_return_and_ratios!M50)</f>
        <v>0.3798886195</v>
      </c>
    </row>
    <row r="18">
      <c r="A18" s="10" t="s">
        <v>19</v>
      </c>
      <c r="B18" s="7">
        <f>ABS(Annual_return_and_ratios!B18 - Annual_return_and_ratios!B51)</f>
        <v>1.008573918</v>
      </c>
      <c r="C18" s="7">
        <f>ABS(Annual_return_and_ratios!C18 - Annual_return_and_ratios!C51)</f>
        <v>0.9643237523</v>
      </c>
      <c r="D18" s="7">
        <f>ABS(Annual_return_and_ratios!D18 - Annual_return_and_ratios!D51)</f>
        <v>0.9921596664</v>
      </c>
      <c r="E18" s="7">
        <f>ABS(Annual_return_and_ratios!E18 - Annual_return_and_ratios!E51)</f>
        <v>0.6707974547</v>
      </c>
      <c r="F18" s="7">
        <f>ABS(Annual_return_and_ratios!F18 - Annual_return_and_ratios!F51)</f>
        <v>0.7333261748</v>
      </c>
      <c r="G18" s="7">
        <f>ABS(Annual_return_and_ratios!G18 - Annual_return_and_ratios!G51)</f>
        <v>1.024544869</v>
      </c>
      <c r="H18" s="7">
        <f>ABS(Annual_return_and_ratios!H18 - Annual_return_and_ratios!H51)</f>
        <v>1.024855082</v>
      </c>
      <c r="I18" s="7">
        <f>ABS(Annual_return_and_ratios!I18 - Annual_return_and_ratios!I51)</f>
        <v>0.97197823</v>
      </c>
      <c r="J18" s="7">
        <f>ABS(Annual_return_and_ratios!J18 - Annual_return_and_ratios!J51)</f>
        <v>0.961727638</v>
      </c>
      <c r="K18" s="7">
        <f>ABS(Annual_return_and_ratios!K18 - Annual_return_and_ratios!K51)</f>
        <v>0.9687123293</v>
      </c>
      <c r="L18" s="7">
        <f>ABS(Annual_return_and_ratios!L18 - Annual_return_and_ratios!L51)</f>
        <v>0.6121843733</v>
      </c>
      <c r="M18" s="7">
        <f>ABS(Annual_return_and_ratios!M18 - Annual_return_and_ratios!M51)</f>
        <v>0.4505978995</v>
      </c>
    </row>
    <row r="19">
      <c r="A19" s="10" t="s">
        <v>20</v>
      </c>
      <c r="B19" s="7">
        <f>ABS(Annual_return_and_ratios!B19 - Annual_return_and_ratios!B52)</f>
        <v>0.09868331238</v>
      </c>
      <c r="C19" s="7">
        <f>ABS(Annual_return_and_ratios!C19 - Annual_return_and_ratios!C52)</f>
        <v>0.0450749579</v>
      </c>
      <c r="D19" s="7">
        <f>ABS(Annual_return_and_ratios!D19 - Annual_return_and_ratios!D52)</f>
        <v>0.0592803462</v>
      </c>
      <c r="E19" s="7">
        <f>ABS(Annual_return_and_ratios!E19 - Annual_return_and_ratios!E52)</f>
        <v>0.04854029542</v>
      </c>
      <c r="F19" s="7">
        <f>ABS(Annual_return_and_ratios!F19 - Annual_return_and_ratios!F52)</f>
        <v>0.03968465349</v>
      </c>
      <c r="G19" s="7">
        <f>ABS(Annual_return_and_ratios!G19 - Annual_return_and_ratios!G52)</f>
        <v>0.08707854447</v>
      </c>
      <c r="H19" s="7">
        <f>ABS(Annual_return_and_ratios!H19 - Annual_return_and_ratios!H52)</f>
        <v>0.06222367327</v>
      </c>
      <c r="I19" s="7">
        <f>ABS(Annual_return_and_ratios!I19 - Annual_return_and_ratios!I52)</f>
        <v>0.04172036244</v>
      </c>
      <c r="J19" s="7">
        <f>ABS(Annual_return_and_ratios!J19 - Annual_return_and_ratios!J52)</f>
        <v>0.0345102984</v>
      </c>
      <c r="K19" s="7">
        <f>ABS(Annual_return_and_ratios!K19 - Annual_return_and_ratios!K52)</f>
        <v>0.06541473095</v>
      </c>
      <c r="L19" s="7">
        <f>ABS(Annual_return_and_ratios!L19 - Annual_return_and_ratios!L52)</f>
        <v>0.03079745408</v>
      </c>
      <c r="M19" s="7">
        <f>ABS(Annual_return_and_ratios!M19 - Annual_return_and_ratios!M52)</f>
        <v>0.07098258989</v>
      </c>
    </row>
    <row r="20">
      <c r="A20" s="10" t="s">
        <v>21</v>
      </c>
      <c r="B20" s="7">
        <f>ABS(Annual_return_and_ratios!B20 - Annual_return_and_ratios!B53)</f>
        <v>0.07788169437</v>
      </c>
      <c r="C20" s="7">
        <f>ABS(Annual_return_and_ratios!C20 - Annual_return_and_ratios!C53)</f>
        <v>0.03593210965</v>
      </c>
      <c r="D20" s="7">
        <f>ABS(Annual_return_and_ratios!D20 - Annual_return_and_ratios!D53)</f>
        <v>0.1002692249</v>
      </c>
      <c r="E20" s="7">
        <f>ABS(Annual_return_and_ratios!E20 - Annual_return_and_ratios!E53)</f>
        <v>0.08834057997</v>
      </c>
      <c r="F20" s="7">
        <f>ABS(Annual_return_and_ratios!F20 - Annual_return_and_ratios!F53)</f>
        <v>0.08379603334</v>
      </c>
      <c r="G20" s="7">
        <f>ABS(Annual_return_and_ratios!G20 - Annual_return_and_ratios!G53)</f>
        <v>0.1170297857</v>
      </c>
      <c r="H20" s="7">
        <f>ABS(Annual_return_and_ratios!H20 - Annual_return_and_ratios!H53)</f>
        <v>0.08448107395</v>
      </c>
      <c r="I20" s="7">
        <f>ABS(Annual_return_and_ratios!I20 - Annual_return_and_ratios!I53)</f>
        <v>0.07372731163</v>
      </c>
      <c r="J20" s="7">
        <f>ABS(Annual_return_and_ratios!J20 - Annual_return_and_ratios!J53)</f>
        <v>0.03546023129</v>
      </c>
      <c r="K20" s="7">
        <f>ABS(Annual_return_and_ratios!K20 - Annual_return_and_ratios!K53)</f>
        <v>0.05270536646</v>
      </c>
      <c r="L20" s="7">
        <f>ABS(Annual_return_and_ratios!L20 - Annual_return_and_ratios!L53)</f>
        <v>0.01004753478</v>
      </c>
      <c r="M20" s="7">
        <f>ABS(Annual_return_and_ratios!M20 - Annual_return_and_ratios!M53)</f>
        <v>0.03139607016</v>
      </c>
    </row>
    <row r="21">
      <c r="A21" s="10" t="s">
        <v>22</v>
      </c>
      <c r="B21" s="7">
        <f>ABS(Annual_return_and_ratios!B21 - Annual_return_and_ratios!B54)</f>
        <v>0.2818283666</v>
      </c>
      <c r="C21" s="7">
        <f>ABS(Annual_return_and_ratios!C21 - Annual_return_and_ratios!C54)</f>
        <v>0.5171733343</v>
      </c>
      <c r="D21" s="7">
        <f>ABS(Annual_return_and_ratios!D21 - Annual_return_and_ratios!D54)</f>
        <v>0.5304495933</v>
      </c>
      <c r="E21" s="7">
        <f>ABS(Annual_return_and_ratios!E21 - Annual_return_and_ratios!E54)</f>
        <v>0.4549594143</v>
      </c>
      <c r="F21" s="7">
        <f>ABS(Annual_return_and_ratios!F21 - Annual_return_and_ratios!F54)</f>
        <v>0.3403275112</v>
      </c>
      <c r="G21" s="7">
        <f>ABS(Annual_return_and_ratios!G21 - Annual_return_and_ratios!G54)</f>
        <v>0.3439627169</v>
      </c>
      <c r="H21" s="7">
        <f>ABS(Annual_return_and_ratios!H21 - Annual_return_and_ratios!H54)</f>
        <v>0.311766007</v>
      </c>
      <c r="I21" s="7">
        <f>ABS(Annual_return_and_ratios!I21 - Annual_return_and_ratios!I54)</f>
        <v>0.2940861255</v>
      </c>
      <c r="J21" s="7">
        <f>ABS(Annual_return_and_ratios!J21 - Annual_return_and_ratios!J54)</f>
        <v>0.5129466389</v>
      </c>
      <c r="K21" s="7">
        <f>ABS(Annual_return_and_ratios!K21 - Annual_return_and_ratios!K54)</f>
        <v>0.5089896822</v>
      </c>
      <c r="L21" s="7">
        <f>ABS(Annual_return_and_ratios!L21 - Annual_return_and_ratios!L54)</f>
        <v>0.4301199645</v>
      </c>
      <c r="M21" s="7">
        <f>ABS(Annual_return_and_ratios!M21 - Annual_return_and_ratios!M54)</f>
        <v>0.3832198266</v>
      </c>
    </row>
    <row r="22">
      <c r="A22" s="10" t="s">
        <v>23</v>
      </c>
      <c r="B22" s="7">
        <f>ABS(Annual_return_and_ratios!B22 - Annual_return_and_ratios!B55)</f>
        <v>0.4575986865</v>
      </c>
      <c r="C22" s="7">
        <f>ABS(Annual_return_and_ratios!C22 - Annual_return_and_ratios!C55)</f>
        <v>0.3614459333</v>
      </c>
      <c r="D22" s="7">
        <f>ABS(Annual_return_and_ratios!D22 - Annual_return_and_ratios!D55)</f>
        <v>0.3162011731</v>
      </c>
      <c r="E22" s="7">
        <f>ABS(Annual_return_and_ratios!E22 - Annual_return_and_ratios!E55)</f>
        <v>0.1743817826</v>
      </c>
      <c r="F22" s="7">
        <f>ABS(Annual_return_and_ratios!F22 - Annual_return_and_ratios!F55)</f>
        <v>0.06439458684</v>
      </c>
      <c r="G22" s="7">
        <f>ABS(Annual_return_and_ratios!G22 - Annual_return_and_ratios!G55)</f>
        <v>0.1359771136</v>
      </c>
      <c r="H22" s="7">
        <f>ABS(Annual_return_and_ratios!H22 - Annual_return_and_ratios!H55)</f>
        <v>0.01761835009</v>
      </c>
      <c r="I22" s="7">
        <f>ABS(Annual_return_and_ratios!I22 - Annual_return_and_ratios!I55)</f>
        <v>0.01174835945</v>
      </c>
      <c r="J22" s="7">
        <f>ABS(Annual_return_and_ratios!J22 - Annual_return_and_ratios!J55)</f>
        <v>0.03405140098</v>
      </c>
      <c r="K22" s="7">
        <f>ABS(Annual_return_and_ratios!K22 - Annual_return_and_ratios!K55)</f>
        <v>0.09986765798</v>
      </c>
      <c r="L22" s="7">
        <f>ABS(Annual_return_and_ratios!L22 - Annual_return_and_ratios!L55)</f>
        <v>0.08208681684</v>
      </c>
      <c r="M22" s="7">
        <f>ABS(Annual_return_and_ratios!M22 - Annual_return_and_ratios!M55)</f>
        <v>1.000562987</v>
      </c>
    </row>
    <row r="23">
      <c r="A23" s="10" t="s">
        <v>24</v>
      </c>
      <c r="B23" s="7">
        <f>ABS(Annual_return_and_ratios!B23 - Annual_return_and_ratios!B56)</f>
        <v>0.2301123798</v>
      </c>
      <c r="C23" s="7">
        <f>ABS(Annual_return_and_ratios!C23 - Annual_return_and_ratios!C56)</f>
        <v>0.1608739918</v>
      </c>
      <c r="D23" s="7">
        <f>ABS(Annual_return_and_ratios!D23 - Annual_return_and_ratios!D56)</f>
        <v>0.1718846264</v>
      </c>
      <c r="E23" s="7">
        <f>ABS(Annual_return_and_ratios!E23 - Annual_return_and_ratios!E56)</f>
        <v>0.02661021695</v>
      </c>
      <c r="F23" s="7">
        <f>ABS(Annual_return_and_ratios!F23 - Annual_return_and_ratios!F56)</f>
        <v>0.01017816684</v>
      </c>
      <c r="G23" s="7">
        <f>ABS(Annual_return_and_ratios!G23 - Annual_return_and_ratios!G56)</f>
        <v>0.09391529964</v>
      </c>
      <c r="H23" s="7">
        <f>ABS(Annual_return_and_ratios!H23 - Annual_return_and_ratios!H56)</f>
        <v>0.04407531343</v>
      </c>
      <c r="I23" s="7">
        <f>ABS(Annual_return_and_ratios!I23 - Annual_return_and_ratios!I56)</f>
        <v>0.06183278171</v>
      </c>
      <c r="J23" s="7">
        <f>ABS(Annual_return_and_ratios!J23 - Annual_return_and_ratios!J56)</f>
        <v>0.1622468279</v>
      </c>
      <c r="K23" s="7">
        <f>ABS(Annual_return_and_ratios!K23 - Annual_return_and_ratios!K56)</f>
        <v>0.1012740224</v>
      </c>
      <c r="L23" s="7">
        <f>ABS(Annual_return_and_ratios!L23 - Annual_return_and_ratios!L56)</f>
        <v>0.04437736141</v>
      </c>
      <c r="M23" s="7">
        <f>ABS(Annual_return_and_ratios!M23 - Annual_return_and_ratios!M56)</f>
        <v>0.0381751435</v>
      </c>
    </row>
    <row r="24">
      <c r="A24" s="10" t="s">
        <v>25</v>
      </c>
      <c r="B24" s="7">
        <f>ABS(Annual_return_and_ratios!B24 - Annual_return_and_ratios!B57)</f>
        <v>0.3339735672</v>
      </c>
      <c r="C24" s="7">
        <f>ABS(Annual_return_and_ratios!C24 - Annual_return_and_ratios!C57)</f>
        <v>0.1294109466</v>
      </c>
      <c r="D24" s="7">
        <f>ABS(Annual_return_and_ratios!D24 - Annual_return_and_ratios!D57)</f>
        <v>0.09535686283</v>
      </c>
      <c r="E24" s="7">
        <f>ABS(Annual_return_and_ratios!E24 - Annual_return_and_ratios!E57)</f>
        <v>0.1792926486</v>
      </c>
      <c r="F24" s="7">
        <f>ABS(Annual_return_and_ratios!F24 - Annual_return_and_ratios!F57)</f>
        <v>0.5495296692</v>
      </c>
      <c r="G24" s="7">
        <f>ABS(Annual_return_and_ratios!G24 - Annual_return_and_ratios!G57)</f>
        <v>0.04388831226</v>
      </c>
      <c r="H24" s="7">
        <f>ABS(Annual_return_and_ratios!H24 - Annual_return_and_ratios!H57)</f>
        <v>0.06030117451</v>
      </c>
      <c r="I24" s="7">
        <f>ABS(Annual_return_and_ratios!I24 - Annual_return_and_ratios!I57)</f>
        <v>0.0486315339</v>
      </c>
      <c r="J24" s="7">
        <f>ABS(Annual_return_and_ratios!J24 - Annual_return_and_ratios!J57)</f>
        <v>0.0420328007</v>
      </c>
      <c r="K24" s="7">
        <f>ABS(Annual_return_and_ratios!K24 - Annual_return_and_ratios!K57)</f>
        <v>0.09070640775</v>
      </c>
      <c r="L24" s="7">
        <f>ABS(Annual_return_and_ratios!L24 - Annual_return_and_ratios!L57)</f>
        <v>0.0510141841</v>
      </c>
      <c r="M24" s="7">
        <f>ABS(Annual_return_and_ratios!M24 - Annual_return_and_ratios!M57)</f>
        <v>0.0384064848</v>
      </c>
    </row>
    <row r="25">
      <c r="A25" s="10" t="s">
        <v>26</v>
      </c>
      <c r="B25" s="7">
        <f>ABS(Annual_return_and_ratios!B25 - Annual_return_and_ratios!B58)</f>
        <v>0.006921388758</v>
      </c>
      <c r="C25" s="7">
        <f>ABS(Annual_return_and_ratios!C25 - Annual_return_and_ratios!C58)</f>
        <v>0.0338611428</v>
      </c>
      <c r="D25" s="7">
        <f>ABS(Annual_return_and_ratios!D25 - Annual_return_and_ratios!D58)</f>
        <v>0.03774680502</v>
      </c>
      <c r="E25" s="7">
        <f>ABS(Annual_return_and_ratios!E25 - Annual_return_and_ratios!E58)</f>
        <v>0.955939708</v>
      </c>
      <c r="F25" s="7">
        <f>ABS(Annual_return_and_ratios!F25 - Annual_return_and_ratios!F58)</f>
        <v>0.2293785412</v>
      </c>
      <c r="G25" s="7">
        <f>ABS(Annual_return_and_ratios!G25 - Annual_return_and_ratios!G58)</f>
        <v>0.0934714638</v>
      </c>
      <c r="H25" s="7">
        <f>ABS(Annual_return_and_ratios!H25 - Annual_return_and_ratios!H58)</f>
        <v>0.4738245291</v>
      </c>
      <c r="I25" s="7">
        <f>ABS(Annual_return_and_ratios!I25 - Annual_return_and_ratios!I58)</f>
        <v>0.6605944333</v>
      </c>
      <c r="J25" s="7">
        <f>ABS(Annual_return_and_ratios!J25 - Annual_return_and_ratios!J58)</f>
        <v>0.03596726386</v>
      </c>
      <c r="K25" s="7">
        <f>ABS(Annual_return_and_ratios!K25 - Annual_return_and_ratios!K58)</f>
        <v>0.009808201644</v>
      </c>
      <c r="L25" s="7">
        <f>ABS(Annual_return_and_ratios!L25 - Annual_return_and_ratios!L58)</f>
        <v>0.01344355111</v>
      </c>
      <c r="M25" s="7">
        <f>ABS(Annual_return_and_ratios!M25 - Annual_return_and_ratios!M58)</f>
        <v>0.1494095302</v>
      </c>
    </row>
    <row r="26">
      <c r="A26" s="10" t="s">
        <v>27</v>
      </c>
      <c r="B26" s="7">
        <f>ABS(Annual_return_and_ratios!B26 - Annual_return_and_ratios!B59)</f>
        <v>0.7149269975</v>
      </c>
      <c r="C26" s="7">
        <f>ABS(Annual_return_and_ratios!C26 - Annual_return_and_ratios!C59)</f>
        <v>0.6516974224</v>
      </c>
      <c r="D26" s="7">
        <f>ABS(Annual_return_and_ratios!D26 - Annual_return_and_ratios!D59)</f>
        <v>0.6207368558</v>
      </c>
      <c r="E26" s="7">
        <f>ABS(Annual_return_and_ratios!E26 - Annual_return_and_ratios!E59)</f>
        <v>0.5339858351</v>
      </c>
      <c r="F26" s="7">
        <f>ABS(Annual_return_and_ratios!F26 - Annual_return_and_ratios!F59)</f>
        <v>0.407882068</v>
      </c>
      <c r="G26" s="7">
        <f>ABS(Annual_return_and_ratios!G26 - Annual_return_and_ratios!G59)</f>
        <v>0.4605543287</v>
      </c>
      <c r="H26" s="7">
        <f>ABS(Annual_return_and_ratios!H26 - Annual_return_and_ratios!H59)</f>
        <v>0.4065760046</v>
      </c>
      <c r="I26" s="7">
        <f>ABS(Annual_return_and_ratios!I26 - Annual_return_and_ratios!I59)</f>
        <v>0.6955197338</v>
      </c>
      <c r="J26" s="7">
        <f>ABS(Annual_return_and_ratios!J26 - Annual_return_and_ratios!J59)</f>
        <v>0.7102531899</v>
      </c>
      <c r="K26" s="7">
        <f>ABS(Annual_return_and_ratios!K26 - Annual_return_and_ratios!K59)</f>
        <v>0.6531911432</v>
      </c>
      <c r="L26" s="7">
        <f>ABS(Annual_return_and_ratios!L26 - Annual_return_and_ratios!L59)</f>
        <v>0.5188336959</v>
      </c>
      <c r="M26" s="7">
        <f>ABS(Annual_return_and_ratios!M26 - Annual_return_and_ratios!M59)</f>
        <v>0.4824586859</v>
      </c>
    </row>
    <row r="27">
      <c r="A27" s="10" t="s">
        <v>28</v>
      </c>
      <c r="B27" s="7">
        <f>ABS(Annual_return_and_ratios!B27 - Annual_return_and_ratios!B60)</f>
        <v>0.2349876582</v>
      </c>
      <c r="C27" s="7">
        <f>ABS(Annual_return_and_ratios!C27 - Annual_return_and_ratios!C60)</f>
        <v>0.119102372</v>
      </c>
      <c r="D27" s="7">
        <f>ABS(Annual_return_and_ratios!D27 - Annual_return_and_ratios!D60)</f>
        <v>0.3026676486</v>
      </c>
      <c r="E27" s="7">
        <f>ABS(Annual_return_and_ratios!E27 - Annual_return_and_ratios!E60)</f>
        <v>0.2873318176</v>
      </c>
      <c r="F27" s="7">
        <f>ABS(Annual_return_and_ratios!F27 - Annual_return_and_ratios!F60)</f>
        <v>0.2063961593</v>
      </c>
      <c r="G27" s="7">
        <f>ABS(Annual_return_and_ratios!G27 - Annual_return_and_ratios!G60)</f>
        <v>0.258468801</v>
      </c>
      <c r="H27" s="7">
        <f>ABS(Annual_return_and_ratios!H27 - Annual_return_and_ratios!H60)</f>
        <v>0.2276843563</v>
      </c>
      <c r="I27" s="7">
        <f>ABS(Annual_return_and_ratios!I27 - Annual_return_and_ratios!I60)</f>
        <v>0.190850667</v>
      </c>
      <c r="J27" s="7">
        <f>ABS(Annual_return_and_ratios!J27 - Annual_return_and_ratios!J60)</f>
        <v>0.156072067</v>
      </c>
      <c r="K27" s="7">
        <f>ABS(Annual_return_and_ratios!K27 - Annual_return_and_ratios!K60)</f>
        <v>0.1896963128</v>
      </c>
      <c r="L27" s="7">
        <f>ABS(Annual_return_and_ratios!L27 - Annual_return_and_ratios!L60)</f>
        <v>0.1000620351</v>
      </c>
      <c r="M27" s="7">
        <f>ABS(Annual_return_and_ratios!M27 - Annual_return_and_ratios!M60)</f>
        <v>0.6249868303</v>
      </c>
    </row>
    <row r="28">
      <c r="A28" s="10" t="s">
        <v>29</v>
      </c>
      <c r="B28" s="7">
        <f>ABS(Annual_return_and_ratios!B28 - Annual_return_and_ratios!B61)</f>
        <v>0.2104453437</v>
      </c>
      <c r="C28" s="7">
        <f>ABS(Annual_return_and_ratios!C28 - Annual_return_and_ratios!C61)</f>
        <v>0.1686570254</v>
      </c>
      <c r="D28" s="7">
        <f>ABS(Annual_return_and_ratios!D28 - Annual_return_and_ratios!D61)</f>
        <v>0.1832347378</v>
      </c>
      <c r="E28" s="7">
        <f>ABS(Annual_return_and_ratios!E28 - Annual_return_and_ratios!E61)</f>
        <v>0.08133863122</v>
      </c>
      <c r="F28" s="7">
        <f>ABS(Annual_return_and_ratios!F28 - Annual_return_and_ratios!F61)</f>
        <v>0.002217614312</v>
      </c>
      <c r="G28" s="7">
        <f>ABS(Annual_return_and_ratios!G28 - Annual_return_and_ratios!G61)</f>
        <v>0.08827489116</v>
      </c>
      <c r="H28" s="7">
        <f>ABS(Annual_return_and_ratios!H28 - Annual_return_and_ratios!H61)</f>
        <v>0.05916844419</v>
      </c>
      <c r="I28" s="7">
        <f>ABS(Annual_return_and_ratios!I28 - Annual_return_and_ratios!I61)</f>
        <v>0.003639900833</v>
      </c>
      <c r="J28" s="7">
        <f>ABS(Annual_return_and_ratios!J28 - Annual_return_and_ratios!J61)</f>
        <v>0.007631868374</v>
      </c>
      <c r="K28" s="7">
        <f>ABS(Annual_return_and_ratios!K28 - Annual_return_and_ratios!K61)</f>
        <v>0.03021654612</v>
      </c>
      <c r="L28" s="7">
        <f>ABS(Annual_return_and_ratios!L28 - Annual_return_and_ratios!L61)</f>
        <v>0.005667423055</v>
      </c>
      <c r="M28" s="7">
        <f>ABS(Annual_return_and_ratios!M28 - Annual_return_and_ratios!M61)</f>
        <v>0.021322084</v>
      </c>
    </row>
    <row r="29">
      <c r="A29" s="10" t="s">
        <v>30</v>
      </c>
      <c r="B29" s="7">
        <f>ABS(Annual_return_and_ratios!B29 - Annual_return_and_ratios!B62)</f>
        <v>0.1981797965</v>
      </c>
      <c r="C29" s="7">
        <f>ABS(Annual_return_and_ratios!C29 - Annual_return_and_ratios!C62)</f>
        <v>0.1219934911</v>
      </c>
      <c r="D29" s="7">
        <f>ABS(Annual_return_and_ratios!D29 - Annual_return_and_ratios!D62)</f>
        <v>0.04806348473</v>
      </c>
      <c r="E29" s="7">
        <f>ABS(Annual_return_and_ratios!E29 - Annual_return_and_ratios!E62)</f>
        <v>0.04087362639</v>
      </c>
      <c r="F29" s="7">
        <f>ABS(Annual_return_and_ratios!F29 - Annual_return_and_ratios!F62)</f>
        <v>0.04265957489</v>
      </c>
      <c r="G29" s="7">
        <f>ABS(Annual_return_and_ratios!G29 - Annual_return_and_ratios!G62)</f>
        <v>0.02621100679</v>
      </c>
      <c r="H29" s="7">
        <f>ABS(Annual_return_and_ratios!H29 - Annual_return_and_ratios!H62)</f>
        <v>0.0007947993429</v>
      </c>
      <c r="I29" s="7">
        <f>ABS(Annual_return_and_ratios!I29 - Annual_return_and_ratios!I62)</f>
        <v>0.01175238211</v>
      </c>
      <c r="J29" s="7">
        <f>ABS(Annual_return_and_ratios!J29 - Annual_return_and_ratios!J62)</f>
        <v>0.03784342097</v>
      </c>
      <c r="K29" s="7">
        <f>ABS(Annual_return_and_ratios!K29 - Annual_return_and_ratios!K62)</f>
        <v>0.008924156398</v>
      </c>
      <c r="L29" s="7">
        <f>ABS(Annual_return_and_ratios!L29 - Annual_return_and_ratios!L62)</f>
        <v>0.1636140668</v>
      </c>
      <c r="M29" s="7">
        <f>ABS(Annual_return_and_ratios!M29 - Annual_return_and_ratios!M62)</f>
        <v>0.005748469362</v>
      </c>
    </row>
    <row r="30">
      <c r="A30" s="10" t="s">
        <v>31</v>
      </c>
      <c r="B30" s="7">
        <f>ABS(Annual_return_and_ratios!B30 - Annual_return_and_ratios!B63)</f>
        <v>0.9887322236</v>
      </c>
      <c r="C30" s="7">
        <f>ABS(Annual_return_and_ratios!C30 - Annual_return_and_ratios!C63)</f>
        <v>0.9808844032</v>
      </c>
      <c r="D30" s="7">
        <f>ABS(Annual_return_and_ratios!D30 - Annual_return_and_ratios!D63)</f>
        <v>0.9215396849</v>
      </c>
      <c r="E30" s="7">
        <f>ABS(Annual_return_and_ratios!E30 - Annual_return_and_ratios!E63)</f>
        <v>1.002718961</v>
      </c>
      <c r="F30" s="7">
        <f>ABS(Annual_return_and_ratios!F30 - Annual_return_and_ratios!F63)</f>
        <v>0.9370767708</v>
      </c>
      <c r="G30" s="7">
        <f>ABS(Annual_return_and_ratios!G30 - Annual_return_and_ratios!G63)</f>
        <v>1.010341532</v>
      </c>
      <c r="H30" s="7">
        <f>ABS(Annual_return_and_ratios!H30 - Annual_return_and_ratios!H63)</f>
        <v>0.4440184897</v>
      </c>
      <c r="I30" s="7">
        <f>ABS(Annual_return_and_ratios!I30 - Annual_return_and_ratios!I63)</f>
        <v>0.4284987194</v>
      </c>
      <c r="J30" s="7">
        <f>ABS(Annual_return_and_ratios!J30 - Annual_return_and_ratios!J63)</f>
        <v>0.5042591439</v>
      </c>
      <c r="K30" s="7">
        <f>ABS(Annual_return_and_ratios!K30 - Annual_return_and_ratios!K63)</f>
        <v>0.4639359681</v>
      </c>
      <c r="L30" s="7">
        <f>ABS(Annual_return_and_ratios!L30 - Annual_return_and_ratios!L63)</f>
        <v>0.3791488856</v>
      </c>
      <c r="M30" s="7">
        <f>ABS(Annual_return_and_ratios!M30 - Annual_return_and_ratios!M63)</f>
        <v>0.4047578733</v>
      </c>
    </row>
    <row r="34">
      <c r="A34" s="9" t="s">
        <v>32</v>
      </c>
      <c r="B34" s="10" t="s">
        <v>33</v>
      </c>
      <c r="C34" s="10" t="s">
        <v>34</v>
      </c>
      <c r="D34" s="10" t="s">
        <v>35</v>
      </c>
      <c r="E34" s="10" t="s">
        <v>36</v>
      </c>
      <c r="F34" s="10" t="s">
        <v>37</v>
      </c>
      <c r="G34" s="10" t="s">
        <v>38</v>
      </c>
      <c r="H34" s="10" t="s">
        <v>39</v>
      </c>
      <c r="I34" s="10" t="s">
        <v>40</v>
      </c>
      <c r="J34" s="10" t="s">
        <v>41</v>
      </c>
      <c r="K34" s="10" t="s">
        <v>42</v>
      </c>
      <c r="L34" s="10" t="s">
        <v>43</v>
      </c>
      <c r="M34" s="10" t="s">
        <v>44</v>
      </c>
    </row>
    <row r="35">
      <c r="A35" s="10" t="s">
        <v>3</v>
      </c>
      <c r="B35" s="7">
        <f>ABS(Annual_return_and_ratios!B2 - Annual_return_and_ratios!B68)</f>
        <v>0.1511447885</v>
      </c>
      <c r="C35" s="7">
        <f>ABS(Annual_return_and_ratios!C2 - Annual_return_and_ratios!C68)</f>
        <v>0.08641655954</v>
      </c>
      <c r="D35" s="7">
        <f>ABS(Annual_return_and_ratios!D2 - Annual_return_and_ratios!D68)</f>
        <v>0.2393688919</v>
      </c>
      <c r="E35" s="7">
        <f>ABS(Annual_return_and_ratios!E2 - Annual_return_and_ratios!E68)</f>
        <v>0.2405997229</v>
      </c>
      <c r="F35" s="7">
        <f>ABS(Annual_return_and_ratios!F2 - Annual_return_and_ratios!F68)</f>
        <v>0.09711201497</v>
      </c>
      <c r="G35" s="7">
        <f>ABS(Annual_return_and_ratios!G2 - Annual_return_and_ratios!G68)</f>
        <v>0.2368345208</v>
      </c>
      <c r="H35" s="7">
        <f>ABS(Annual_return_and_ratios!H2 - Annual_return_and_ratios!H68)</f>
        <v>0.1098394933</v>
      </c>
      <c r="I35" s="7">
        <f>ABS(Annual_return_and_ratios!I2 - Annual_return_and_ratios!I68)</f>
        <v>0.07971070933</v>
      </c>
      <c r="J35" s="7">
        <f>ABS(Annual_return_and_ratios!J2 - Annual_return_and_ratios!J68)</f>
        <v>0.02874892929</v>
      </c>
      <c r="K35" s="7">
        <f>ABS(Annual_return_and_ratios!K2 - Annual_return_and_ratios!K68)</f>
        <v>0.1922994723</v>
      </c>
      <c r="L35" s="7">
        <f>ABS(Annual_return_and_ratios!L2 - Annual_return_and_ratios!L68)</f>
        <v>0.06621179445</v>
      </c>
      <c r="M35" s="7">
        <f>ABS(Annual_return_and_ratios!M2 - Annual_return_and_ratios!M68)</f>
        <v>0.111896895</v>
      </c>
    </row>
    <row r="36">
      <c r="A36" s="10" t="s">
        <v>4</v>
      </c>
      <c r="B36" s="7">
        <f>ABS(Annual_return_and_ratios!B3 - Annual_return_and_ratios!B69)</f>
        <v>0.9786705601</v>
      </c>
      <c r="C36" s="7">
        <f>ABS(Annual_return_and_ratios!C3 - Annual_return_and_ratios!C69)</f>
        <v>0.5236224746</v>
      </c>
      <c r="D36" s="7">
        <f>ABS(Annual_return_and_ratios!D3 - Annual_return_and_ratios!D69)</f>
        <v>0.5327856298</v>
      </c>
      <c r="E36" s="7">
        <f>ABS(Annual_return_and_ratios!E3 - Annual_return_and_ratios!E69)</f>
        <v>0.6351841636</v>
      </c>
      <c r="F36" s="7">
        <f>ABS(Annual_return_and_ratios!F3 - Annual_return_and_ratios!F69)</f>
        <v>0.08155415526</v>
      </c>
      <c r="G36" s="7">
        <f>ABS(Annual_return_and_ratios!G3 - Annual_return_and_ratios!G69)</f>
        <v>0.7215575296</v>
      </c>
      <c r="H36" s="7">
        <f>ABS(Annual_return_and_ratios!H3 - Annual_return_and_ratios!H69)</f>
        <v>0.4248737094</v>
      </c>
      <c r="I36" s="7">
        <f>ABS(Annual_return_and_ratios!I3 - Annual_return_and_ratios!I69)</f>
        <v>0.5482120745</v>
      </c>
      <c r="J36" s="7">
        <f>ABS(Annual_return_and_ratios!J3 - Annual_return_and_ratios!J69)</f>
        <v>0.428388066</v>
      </c>
      <c r="K36" s="7">
        <f>ABS(Annual_return_and_ratios!K3 - Annual_return_and_ratios!K69)</f>
        <v>0.4002137014</v>
      </c>
      <c r="L36" s="7">
        <f>ABS(Annual_return_and_ratios!L3 - Annual_return_and_ratios!L69)</f>
        <v>0.4406632456</v>
      </c>
      <c r="M36" s="7">
        <f>ABS(Annual_return_and_ratios!M3 - Annual_return_and_ratios!M69)</f>
        <v>0.4599603523</v>
      </c>
    </row>
    <row r="37">
      <c r="A37" s="10" t="s">
        <v>5</v>
      </c>
      <c r="B37" s="7">
        <f>ABS(Annual_return_and_ratios!B4 - Annual_return_and_ratios!B70)</f>
        <v>0.0103806664</v>
      </c>
      <c r="C37" s="7">
        <f>ABS(Annual_return_and_ratios!C4 - Annual_return_and_ratios!C70)</f>
        <v>0.001434950712</v>
      </c>
      <c r="D37" s="7">
        <f>ABS(Annual_return_and_ratios!D4 - Annual_return_and_ratios!D70)</f>
        <v>0.0204892805</v>
      </c>
      <c r="E37" s="7">
        <f>ABS(Annual_return_and_ratios!E4 - Annual_return_and_ratios!E70)</f>
        <v>0.008246396115</v>
      </c>
      <c r="F37" s="7">
        <f>ABS(Annual_return_and_ratios!F4 - Annual_return_and_ratios!F70)</f>
        <v>0.0375635502</v>
      </c>
      <c r="G37" s="7">
        <f>ABS(Annual_return_and_ratios!G4 - Annual_return_and_ratios!G70)</f>
        <v>0.05795617634</v>
      </c>
      <c r="H37" s="7">
        <f>ABS(Annual_return_and_ratios!H4 - Annual_return_and_ratios!H70)</f>
        <v>0.01105815086</v>
      </c>
      <c r="I37" s="7">
        <f>ABS(Annual_return_and_ratios!I4 - Annual_return_and_ratios!I70)</f>
        <v>0.01220008515</v>
      </c>
      <c r="J37" s="7">
        <f>ABS(Annual_return_and_ratios!J4 - Annual_return_and_ratios!J70)</f>
        <v>0.01014449199</v>
      </c>
      <c r="K37" s="7">
        <f>ABS(Annual_return_and_ratios!K4 - Annual_return_and_ratios!K70)</f>
        <v>0.03067718028</v>
      </c>
      <c r="L37" s="7">
        <f>ABS(Annual_return_and_ratios!L4 - Annual_return_and_ratios!L70)</f>
        <v>0.03883093826</v>
      </c>
      <c r="M37" s="7">
        <f>ABS(Annual_return_and_ratios!M4 - Annual_return_and_ratios!M70)</f>
        <v>0.005821015165</v>
      </c>
    </row>
    <row r="38">
      <c r="A38" s="10" t="s">
        <v>6</v>
      </c>
      <c r="B38" s="7">
        <f>ABS(Annual_return_and_ratios!B5 - Annual_return_and_ratios!B71)</f>
        <v>0.007076400718</v>
      </c>
      <c r="C38" s="7">
        <f>ABS(Annual_return_and_ratios!C5 - Annual_return_and_ratios!C71)</f>
        <v>0.003296211557</v>
      </c>
      <c r="D38" s="7">
        <f>ABS(Annual_return_and_ratios!D5 - Annual_return_and_ratios!D71)</f>
        <v>0.02704691995</v>
      </c>
      <c r="E38" s="7">
        <f>ABS(Annual_return_and_ratios!E5 - Annual_return_and_ratios!E71)</f>
        <v>0.03811687836</v>
      </c>
      <c r="F38" s="7">
        <f>ABS(Annual_return_and_ratios!F5 - Annual_return_and_ratios!F71)</f>
        <v>0.07471070483</v>
      </c>
      <c r="G38" s="7">
        <f>ABS(Annual_return_and_ratios!G5 - Annual_return_and_ratios!G71)</f>
        <v>0.05386329832</v>
      </c>
      <c r="H38" s="7">
        <f>ABS(Annual_return_and_ratios!H5 - Annual_return_and_ratios!H71)</f>
        <v>0.01669232354</v>
      </c>
      <c r="I38" s="7">
        <f>ABS(Annual_return_and_ratios!I5 - Annual_return_and_ratios!I71)</f>
        <v>0.009658817921</v>
      </c>
      <c r="J38" s="7">
        <f>ABS(Annual_return_and_ratios!J5 - Annual_return_and_ratios!J71)</f>
        <v>0.07419742882</v>
      </c>
      <c r="K38" s="7">
        <f>ABS(Annual_return_and_ratios!K5 - Annual_return_and_ratios!K71)</f>
        <v>0.0006312775245</v>
      </c>
      <c r="L38" s="7">
        <f>ABS(Annual_return_and_ratios!L5 - Annual_return_and_ratios!L71)</f>
        <v>0.03562469415</v>
      </c>
      <c r="M38" s="7">
        <f>ABS(Annual_return_and_ratios!M5 - Annual_return_and_ratios!M71)</f>
        <v>0.01468934611</v>
      </c>
    </row>
    <row r="39">
      <c r="A39" s="10" t="s">
        <v>7</v>
      </c>
      <c r="B39" s="7">
        <f>ABS(Annual_return_and_ratios!B6 - Annual_return_and_ratios!B72)</f>
        <v>0.1360661732</v>
      </c>
      <c r="C39" s="7">
        <f>ABS(Annual_return_and_ratios!C6 - Annual_return_and_ratios!C72)</f>
        <v>0.1213942413</v>
      </c>
      <c r="D39" s="7">
        <f>ABS(Annual_return_and_ratios!D6 - Annual_return_and_ratios!D72)</f>
        <v>0.1326560494</v>
      </c>
      <c r="E39" s="7">
        <f>ABS(Annual_return_and_ratios!E6 - Annual_return_and_ratios!E72)</f>
        <v>0.06652467921</v>
      </c>
      <c r="F39" s="7">
        <f>ABS(Annual_return_and_ratios!F6 - Annual_return_and_ratios!F72)</f>
        <v>0.08572230757</v>
      </c>
      <c r="G39" s="7">
        <f>ABS(Annual_return_and_ratios!G6 - Annual_return_and_ratios!G72)</f>
        <v>0.2094852154</v>
      </c>
      <c r="H39" s="7">
        <f>ABS(Annual_return_and_ratios!H6 - Annual_return_and_ratios!H72)</f>
        <v>0.01802079495</v>
      </c>
      <c r="I39" s="7">
        <f>ABS(Annual_return_and_ratios!I6 - Annual_return_and_ratios!I72)</f>
        <v>0.05034316574</v>
      </c>
      <c r="J39" s="7">
        <f>ABS(Annual_return_and_ratios!J6 - Annual_return_and_ratios!J72)</f>
        <v>0.0448486653</v>
      </c>
      <c r="K39" s="7">
        <f>ABS(Annual_return_and_ratios!K6 - Annual_return_and_ratios!K72)</f>
        <v>0.08136270431</v>
      </c>
      <c r="L39" s="7">
        <f>ABS(Annual_return_and_ratios!L6 - Annual_return_and_ratios!L72)</f>
        <v>0.05235634227</v>
      </c>
      <c r="M39" s="7">
        <f>ABS(Annual_return_and_ratios!M6 - Annual_return_and_ratios!M72)</f>
        <v>0.0836249128</v>
      </c>
    </row>
    <row r="40">
      <c r="A40" s="10" t="s">
        <v>8</v>
      </c>
      <c r="B40" s="7">
        <f>ABS(Annual_return_and_ratios!B7 - Annual_return_and_ratios!B73)</f>
        <v>0.3312007288</v>
      </c>
      <c r="C40" s="7">
        <f>ABS(Annual_return_and_ratios!C7 - Annual_return_and_ratios!C73)</f>
        <v>0.3569893385</v>
      </c>
      <c r="D40" s="7">
        <f>ABS(Annual_return_and_ratios!D7 - Annual_return_and_ratios!D73)</f>
        <v>0.4444094245</v>
      </c>
      <c r="E40" s="7">
        <f>ABS(Annual_return_and_ratios!E7 - Annual_return_and_ratios!E73)</f>
        <v>0.4409070912</v>
      </c>
      <c r="F40" s="7">
        <f>ABS(Annual_return_and_ratios!F7 - Annual_return_and_ratios!F73)</f>
        <v>0.5026316436</v>
      </c>
      <c r="G40" s="7">
        <f>ABS(Annual_return_and_ratios!G7 - Annual_return_and_ratios!G73)</f>
        <v>0.4772027862</v>
      </c>
      <c r="H40" s="7">
        <f>ABS(Annual_return_and_ratios!H7 - Annual_return_and_ratios!H73)</f>
        <v>0.3403745515</v>
      </c>
      <c r="I40" s="7">
        <f>ABS(Annual_return_and_ratios!I7 - Annual_return_and_ratios!I73)</f>
        <v>0.5015351307</v>
      </c>
      <c r="J40" s="7">
        <f>ABS(Annual_return_and_ratios!J7 - Annual_return_and_ratios!J73)</f>
        <v>0.4378424393</v>
      </c>
      <c r="K40" s="7">
        <f>ABS(Annual_return_and_ratios!K7 - Annual_return_and_ratios!K73)</f>
        <v>0.1949970234</v>
      </c>
      <c r="L40" s="7">
        <f>ABS(Annual_return_and_ratios!L7 - Annual_return_and_ratios!L73)</f>
        <v>0.1175467933</v>
      </c>
      <c r="M40" s="7">
        <f>ABS(Annual_return_and_ratios!M7 - Annual_return_and_ratios!M73)</f>
        <v>0.2165509719</v>
      </c>
    </row>
    <row r="41">
      <c r="A41" s="10" t="s">
        <v>9</v>
      </c>
      <c r="B41" s="7">
        <f>ABS(Annual_return_and_ratios!B8 - Annual_return_and_ratios!B74)</f>
        <v>0.1300357336</v>
      </c>
      <c r="C41" s="7">
        <f>ABS(Annual_return_and_ratios!C8 - Annual_return_and_ratios!C74)</f>
        <v>0.3002731535</v>
      </c>
      <c r="D41" s="7">
        <f>ABS(Annual_return_and_ratios!D8 - Annual_return_and_ratios!D74)</f>
        <v>0.2318381192</v>
      </c>
      <c r="E41" s="7">
        <f>ABS(Annual_return_and_ratios!E8 - Annual_return_and_ratios!E74)</f>
        <v>0.03253298915</v>
      </c>
      <c r="F41" s="7">
        <f>ABS(Annual_return_and_ratios!F8 - Annual_return_and_ratios!F74)</f>
        <v>0.01275131807</v>
      </c>
      <c r="G41" s="7">
        <f>ABS(Annual_return_and_ratios!G8 - Annual_return_and_ratios!G74)</f>
        <v>0.02898796598</v>
      </c>
      <c r="H41" s="7">
        <f>ABS(Annual_return_and_ratios!H8 - Annual_return_and_ratios!H74)</f>
        <v>1.015063661</v>
      </c>
      <c r="I41" s="7">
        <f>ABS(Annual_return_and_ratios!I8 - Annual_return_and_ratios!I74)</f>
        <v>0.9876756462</v>
      </c>
      <c r="J41" s="7">
        <f>ABS(Annual_return_and_ratios!J8 - Annual_return_and_ratios!J74)</f>
        <v>0.1927220855</v>
      </c>
      <c r="K41" s="7">
        <f>ABS(Annual_return_and_ratios!K8 - Annual_return_and_ratios!K74)</f>
        <v>0.2025898628</v>
      </c>
      <c r="L41" s="7">
        <f>ABS(Annual_return_and_ratios!L8 - Annual_return_and_ratios!L74)</f>
        <v>0.3584985366</v>
      </c>
      <c r="M41" s="7">
        <f>ABS(Annual_return_and_ratios!M8 - Annual_return_and_ratios!M74)</f>
        <v>0.01350146304</v>
      </c>
    </row>
    <row r="42">
      <c r="A42" s="10" t="s">
        <v>10</v>
      </c>
      <c r="B42" s="7">
        <f>ABS(Annual_return_and_ratios!B9 - Annual_return_and_ratios!B75)</f>
        <v>0.9940597682</v>
      </c>
      <c r="C42" s="7">
        <f>ABS(Annual_return_and_ratios!C9 - Annual_return_and_ratios!C75)</f>
        <v>0.9669642876</v>
      </c>
      <c r="D42" s="7">
        <f>ABS(Annual_return_and_ratios!D9 - Annual_return_and_ratios!D75)</f>
        <v>0.9940270273</v>
      </c>
      <c r="E42" s="7">
        <f>ABS(Annual_return_and_ratios!E9 - Annual_return_and_ratios!E75)</f>
        <v>0.9413406836</v>
      </c>
      <c r="F42" s="7">
        <f>ABS(Annual_return_and_ratios!F9 - Annual_return_and_ratios!F75)</f>
        <v>0.256358055</v>
      </c>
      <c r="G42" s="7">
        <f>ABS(Annual_return_and_ratios!G9 - Annual_return_and_ratios!G75)</f>
        <v>0.1555387119</v>
      </c>
      <c r="H42" s="7">
        <f>ABS(Annual_return_and_ratios!H9 - Annual_return_and_ratios!H75)</f>
        <v>0.1124034189</v>
      </c>
      <c r="I42" s="7">
        <f>ABS(Annual_return_and_ratios!I9 - Annual_return_and_ratios!I75)</f>
        <v>0.2098801604</v>
      </c>
      <c r="J42" s="7">
        <f>ABS(Annual_return_and_ratios!J9 - Annual_return_and_ratios!J75)</f>
        <v>0.4409255277</v>
      </c>
      <c r="K42" s="7">
        <f>ABS(Annual_return_and_ratios!K9 - Annual_return_and_ratios!K75)</f>
        <v>0.5423749435</v>
      </c>
      <c r="L42" s="7">
        <f>ABS(Annual_return_and_ratios!L9 - Annual_return_and_ratios!L75)</f>
        <v>0.3422639524</v>
      </c>
      <c r="M42" s="7">
        <f>ABS(Annual_return_and_ratios!M9 - Annual_return_and_ratios!M75)</f>
        <v>0.07038782418</v>
      </c>
    </row>
    <row r="43">
      <c r="A43" s="10" t="s">
        <v>11</v>
      </c>
      <c r="B43" s="7">
        <f>ABS(Annual_return_and_ratios!B10 - Annual_return_and_ratios!B76)</f>
        <v>0.2686194324</v>
      </c>
      <c r="C43" s="7">
        <f>ABS(Annual_return_and_ratios!C10 - Annual_return_and_ratios!C76)</f>
        <v>0.2829328885</v>
      </c>
      <c r="D43" s="7">
        <f>ABS(Annual_return_and_ratios!D10 - Annual_return_and_ratios!D76)</f>
        <v>0.2635294821</v>
      </c>
      <c r="E43" s="7">
        <f>ABS(Annual_return_and_ratios!E10 - Annual_return_and_ratios!E76)</f>
        <v>0.262751319</v>
      </c>
      <c r="F43" s="7">
        <f>ABS(Annual_return_and_ratios!F10 - Annual_return_and_ratios!F76)</f>
        <v>0.0847296453</v>
      </c>
      <c r="G43" s="7">
        <f>ABS(Annual_return_and_ratios!G10 - Annual_return_and_ratios!G76)</f>
        <v>0.01955833249</v>
      </c>
      <c r="H43" s="7">
        <f>ABS(Annual_return_and_ratios!H10 - Annual_return_and_ratios!H76)</f>
        <v>0.1938245578</v>
      </c>
      <c r="I43" s="7">
        <f>ABS(Annual_return_and_ratios!I10 - Annual_return_and_ratios!I76)</f>
        <v>0.1964835962</v>
      </c>
      <c r="J43" s="7">
        <f>ABS(Annual_return_and_ratios!J10 - Annual_return_and_ratios!J76)</f>
        <v>0.2112778958</v>
      </c>
      <c r="K43" s="7">
        <f>ABS(Annual_return_and_ratios!K10 - Annual_return_and_ratios!K76)</f>
        <v>0.2297905808</v>
      </c>
      <c r="L43" s="7">
        <f>ABS(Annual_return_and_ratios!L10 - Annual_return_and_ratios!L76)</f>
        <v>0.02696063998</v>
      </c>
      <c r="M43" s="7">
        <f>ABS(Annual_return_and_ratios!M10 - Annual_return_and_ratios!M76)</f>
        <v>0.01634985282</v>
      </c>
    </row>
    <row r="44">
      <c r="A44" s="10" t="s">
        <v>12</v>
      </c>
      <c r="B44" s="7">
        <f>ABS(Annual_return_and_ratios!B11 - Annual_return_and_ratios!B77)</f>
        <v>0.9978561055</v>
      </c>
      <c r="C44" s="7">
        <f>ABS(Annual_return_and_ratios!C11 - Annual_return_and_ratios!C77)</f>
        <v>1.010169015</v>
      </c>
      <c r="D44" s="7">
        <f>ABS(Annual_return_and_ratios!D11 - Annual_return_and_ratios!D77)</f>
        <v>0.9304593983</v>
      </c>
      <c r="E44" s="7">
        <f>ABS(Annual_return_and_ratios!E11 - Annual_return_and_ratios!E77)</f>
        <v>0.9761121301</v>
      </c>
      <c r="F44" s="7">
        <f>ABS(Annual_return_and_ratios!F11 - Annual_return_and_ratios!F77)</f>
        <v>0.9935894161</v>
      </c>
      <c r="G44" s="7">
        <f>ABS(Annual_return_and_ratios!G11 - Annual_return_and_ratios!G77)</f>
        <v>0.850055474</v>
      </c>
      <c r="H44" s="7">
        <f>ABS(Annual_return_and_ratios!H11 - Annual_return_and_ratios!H77)</f>
        <v>0.8316957359</v>
      </c>
      <c r="I44" s="7">
        <f>ABS(Annual_return_and_ratios!I11 - Annual_return_and_ratios!I77)</f>
        <v>0.8162686165</v>
      </c>
      <c r="J44" s="7">
        <f>ABS(Annual_return_and_ratios!J11 - Annual_return_and_ratios!J77)</f>
        <v>0.9034242758</v>
      </c>
      <c r="K44" s="7">
        <f>ABS(Annual_return_and_ratios!K11 - Annual_return_and_ratios!K77)</f>
        <v>0.9189161385</v>
      </c>
      <c r="L44" s="7">
        <f>ABS(Annual_return_and_ratios!L11 - Annual_return_and_ratios!L77)</f>
        <v>0.8119302323</v>
      </c>
      <c r="M44" s="7">
        <f>ABS(Annual_return_and_ratios!M11 - Annual_return_and_ratios!M77)</f>
        <v>0.7822086674</v>
      </c>
    </row>
    <row r="45">
      <c r="A45" s="10" t="s">
        <v>13</v>
      </c>
      <c r="B45" s="7">
        <f>ABS(Annual_return_and_ratios!B12 - Annual_return_and_ratios!B78)</f>
        <v>0.1597335513</v>
      </c>
      <c r="C45" s="7">
        <f>ABS(Annual_return_and_ratios!C12 - Annual_return_and_ratios!C78)</f>
        <v>0.1627927181</v>
      </c>
      <c r="D45" s="7">
        <f>ABS(Annual_return_and_ratios!D12 - Annual_return_and_ratios!D78)</f>
        <v>0.1670518522</v>
      </c>
      <c r="E45" s="7">
        <f>ABS(Annual_return_and_ratios!E12 - Annual_return_and_ratios!E78)</f>
        <v>0.1347627645</v>
      </c>
      <c r="F45" s="7">
        <f>ABS(Annual_return_and_ratios!F12 - Annual_return_and_ratios!F78)</f>
        <v>0.03868289796</v>
      </c>
      <c r="G45" s="7">
        <f>ABS(Annual_return_and_ratios!G12 - Annual_return_and_ratios!G78)</f>
        <v>0.00810864876</v>
      </c>
      <c r="H45" s="7">
        <f>ABS(Annual_return_and_ratios!H12 - Annual_return_and_ratios!H78)</f>
        <v>0.1385809399</v>
      </c>
      <c r="I45" s="7">
        <f>ABS(Annual_return_and_ratios!I12 - Annual_return_and_ratios!I78)</f>
        <v>0.1270108341</v>
      </c>
      <c r="J45" s="7">
        <f>ABS(Annual_return_and_ratios!J12 - Annual_return_and_ratios!J78)</f>
        <v>0.1378251616</v>
      </c>
      <c r="K45" s="7">
        <f>ABS(Annual_return_and_ratios!K12 - Annual_return_and_ratios!K78)</f>
        <v>0.3505125199</v>
      </c>
      <c r="L45" s="7">
        <f>ABS(Annual_return_and_ratios!L12 - Annual_return_and_ratios!L78)</f>
        <v>0.2525069243</v>
      </c>
      <c r="M45" s="7">
        <f>ABS(Annual_return_and_ratios!M12 - Annual_return_and_ratios!M78)</f>
        <v>0.2516506799</v>
      </c>
    </row>
    <row r="46">
      <c r="A46" s="10" t="s">
        <v>14</v>
      </c>
      <c r="B46" s="7">
        <f>ABS(Annual_return_and_ratios!B13 - Annual_return_and_ratios!B79)</f>
        <v>0.8562903002</v>
      </c>
      <c r="C46" s="7">
        <f>ABS(Annual_return_and_ratios!C13 - Annual_return_and_ratios!C79)</f>
        <v>0.6289283748</v>
      </c>
      <c r="D46" s="7">
        <f>ABS(Annual_return_and_ratios!D13 - Annual_return_and_ratios!D79)</f>
        <v>0.6626522585</v>
      </c>
      <c r="E46" s="7">
        <f>ABS(Annual_return_and_ratios!E13 - Annual_return_and_ratios!E79)</f>
        <v>0.6213584444</v>
      </c>
      <c r="F46" s="7">
        <f>ABS(Annual_return_and_ratios!F13 - Annual_return_and_ratios!F79)</f>
        <v>0.4645364188</v>
      </c>
      <c r="G46" s="7">
        <f>ABS(Annual_return_and_ratios!G13 - Annual_return_and_ratios!G79)</f>
        <v>0.6607560225</v>
      </c>
      <c r="H46" s="7">
        <f>ABS(Annual_return_and_ratios!H13 - Annual_return_and_ratios!H79)</f>
        <v>0.9767823827</v>
      </c>
      <c r="I46" s="7">
        <f>ABS(Annual_return_and_ratios!I13 - Annual_return_and_ratios!I79)</f>
        <v>0.5192209841</v>
      </c>
      <c r="J46" s="7">
        <f>ABS(Annual_return_and_ratios!J13 - Annual_return_and_ratios!J79)</f>
        <v>0.5624106923</v>
      </c>
      <c r="K46" s="7">
        <f>ABS(Annual_return_and_ratios!K13 - Annual_return_and_ratios!K79)</f>
        <v>0.5636238536</v>
      </c>
      <c r="L46" s="7">
        <f>ABS(Annual_return_and_ratios!L13 - Annual_return_and_ratios!L79)</f>
        <v>0.4401904193</v>
      </c>
      <c r="M46" s="7">
        <f>ABS(Annual_return_and_ratios!M13 - Annual_return_and_ratios!M79)</f>
        <v>0.3693868428</v>
      </c>
    </row>
    <row r="47">
      <c r="A47" s="10" t="s">
        <v>15</v>
      </c>
      <c r="B47" s="7">
        <f>ABS(Annual_return_and_ratios!B14 - Annual_return_and_ratios!B80)</f>
        <v>0.2651663471</v>
      </c>
      <c r="C47" s="7">
        <f>ABS(Annual_return_and_ratios!C14 - Annual_return_and_ratios!C80)</f>
        <v>0.4538270263</v>
      </c>
      <c r="D47" s="7">
        <f>ABS(Annual_return_and_ratios!D14 - Annual_return_and_ratios!D80)</f>
        <v>0.4002140653</v>
      </c>
      <c r="E47" s="7">
        <f>ABS(Annual_return_and_ratios!E14 - Annual_return_and_ratios!E80)</f>
        <v>0.4653905348</v>
      </c>
      <c r="F47" s="7">
        <f>ABS(Annual_return_and_ratios!F14 - Annual_return_and_ratios!F80)</f>
        <v>0.5075567998</v>
      </c>
      <c r="G47" s="7">
        <f>ABS(Annual_return_and_ratios!G14 - Annual_return_and_ratios!G80)</f>
        <v>0.5598170337</v>
      </c>
      <c r="H47" s="7">
        <f>ABS(Annual_return_and_ratios!H14 - Annual_return_and_ratios!H80)</f>
        <v>0.5541561755</v>
      </c>
      <c r="I47" s="7">
        <f>ABS(Annual_return_and_ratios!I14 - Annual_return_and_ratios!I80)</f>
        <v>0.5947091908</v>
      </c>
      <c r="J47" s="7">
        <f>ABS(Annual_return_and_ratios!J14 - Annual_return_and_ratios!J80)</f>
        <v>0.7320027559</v>
      </c>
      <c r="K47" s="7">
        <f>ABS(Annual_return_and_ratios!K14 - Annual_return_and_ratios!K80)</f>
        <v>0.6065157609</v>
      </c>
      <c r="L47" s="7">
        <f>ABS(Annual_return_and_ratios!L14 - Annual_return_and_ratios!L80)</f>
        <v>0.5863609561</v>
      </c>
      <c r="M47" s="7">
        <f>ABS(Annual_return_and_ratios!M14 - Annual_return_and_ratios!M80)</f>
        <v>0.595915427</v>
      </c>
    </row>
    <row r="48">
      <c r="A48" s="10" t="s">
        <v>16</v>
      </c>
      <c r="B48" s="7">
        <f>ABS(Annual_return_and_ratios!B15 - Annual_return_and_ratios!B81)</f>
        <v>0.1600516307</v>
      </c>
      <c r="C48" s="7">
        <f>ABS(Annual_return_and_ratios!C15 - Annual_return_and_ratios!C81)</f>
        <v>0.1852393863</v>
      </c>
      <c r="D48" s="7">
        <f>ABS(Annual_return_and_ratios!D15 - Annual_return_and_ratios!D81)</f>
        <v>0.1588930685</v>
      </c>
      <c r="E48" s="7">
        <f>ABS(Annual_return_and_ratios!E15 - Annual_return_and_ratios!E81)</f>
        <v>0.1786392498</v>
      </c>
      <c r="F48" s="7">
        <f>ABS(Annual_return_and_ratios!F15 - Annual_return_and_ratios!F81)</f>
        <v>0.1433946426</v>
      </c>
      <c r="G48" s="7">
        <f>ABS(Annual_return_and_ratios!G15 - Annual_return_and_ratios!G81)</f>
        <v>0.1581135895</v>
      </c>
      <c r="H48" s="7">
        <f>ABS(Annual_return_and_ratios!H15 - Annual_return_and_ratios!H81)</f>
        <v>0.1664917739</v>
      </c>
      <c r="I48" s="7">
        <f>ABS(Annual_return_and_ratios!I15 - Annual_return_and_ratios!I81)</f>
        <v>0.1463426727</v>
      </c>
      <c r="J48" s="7">
        <f>ABS(Annual_return_and_ratios!J15 - Annual_return_and_ratios!J81)</f>
        <v>0.1477904943</v>
      </c>
      <c r="K48" s="7">
        <f>ABS(Annual_return_and_ratios!K15 - Annual_return_and_ratios!K81)</f>
        <v>0.1574668097</v>
      </c>
      <c r="L48" s="7">
        <f>ABS(Annual_return_and_ratios!L15 - Annual_return_and_ratios!L81)</f>
        <v>0.1328544287</v>
      </c>
      <c r="M48" s="7">
        <f>ABS(Annual_return_and_ratios!M15 - Annual_return_and_ratios!M81)</f>
        <v>0.1508952615</v>
      </c>
    </row>
    <row r="49">
      <c r="A49" s="10" t="s">
        <v>17</v>
      </c>
      <c r="B49" s="7">
        <f>ABS(Annual_return_and_ratios!B16 - Annual_return_and_ratios!B82)</f>
        <v>0.2984299127</v>
      </c>
      <c r="C49" s="7">
        <f>ABS(Annual_return_and_ratios!C16 - Annual_return_and_ratios!C82)</f>
        <v>0.3211612018</v>
      </c>
      <c r="D49" s="7">
        <f>ABS(Annual_return_and_ratios!D16 - Annual_return_and_ratios!D82)</f>
        <v>0.3145497566</v>
      </c>
      <c r="E49" s="7">
        <f>ABS(Annual_return_and_ratios!E16 - Annual_return_and_ratios!E82)</f>
        <v>0.3107000778</v>
      </c>
      <c r="F49" s="7">
        <f>ABS(Annual_return_and_ratios!F16 - Annual_return_and_ratios!F82)</f>
        <v>0.3091667034</v>
      </c>
      <c r="G49" s="7">
        <f>ABS(Annual_return_and_ratios!G16 - Annual_return_and_ratios!G82)</f>
        <v>0.5002663509</v>
      </c>
      <c r="H49" s="7">
        <f>ABS(Annual_return_and_ratios!H16 - Annual_return_and_ratios!H82)</f>
        <v>0.001270029501</v>
      </c>
      <c r="I49" s="7">
        <f>ABS(Annual_return_and_ratios!I16 - Annual_return_and_ratios!I82)</f>
        <v>0.01803756836</v>
      </c>
      <c r="J49" s="7">
        <f>ABS(Annual_return_and_ratios!J16 - Annual_return_and_ratios!J82)</f>
        <v>0.02406520732</v>
      </c>
      <c r="K49" s="7">
        <f>ABS(Annual_return_and_ratios!K16 - Annual_return_and_ratios!K82)</f>
        <v>0.02594112947</v>
      </c>
      <c r="L49" s="7">
        <f>ABS(Annual_return_and_ratios!L16 - Annual_return_and_ratios!L82)</f>
        <v>0.3352251925</v>
      </c>
      <c r="M49" s="7">
        <f>ABS(Annual_return_and_ratios!M16 - Annual_return_and_ratios!M82)</f>
        <v>0.2695287786</v>
      </c>
    </row>
    <row r="50">
      <c r="A50" s="10" t="s">
        <v>18</v>
      </c>
      <c r="B50" s="7">
        <f>ABS(Annual_return_and_ratios!B17 - Annual_return_and_ratios!B83)</f>
        <v>0.1824548289</v>
      </c>
      <c r="C50" s="7">
        <f>ABS(Annual_return_and_ratios!C17 - Annual_return_and_ratios!C83)</f>
        <v>0.1413658008</v>
      </c>
      <c r="D50" s="7">
        <f>ABS(Annual_return_and_ratios!D17 - Annual_return_and_ratios!D83)</f>
        <v>0.1095768875</v>
      </c>
      <c r="E50" s="7">
        <f>ABS(Annual_return_and_ratios!E17 - Annual_return_and_ratios!E83)</f>
        <v>0.1656389339</v>
      </c>
      <c r="F50" s="7">
        <f>ABS(Annual_return_and_ratios!F17 - Annual_return_and_ratios!F83)</f>
        <v>0.07084643839</v>
      </c>
      <c r="G50" s="7">
        <f>ABS(Annual_return_and_ratios!G17 - Annual_return_and_ratios!G83)</f>
        <v>1.05388821</v>
      </c>
      <c r="H50" s="7">
        <f>ABS(Annual_return_and_ratios!H17 - Annual_return_and_ratios!H83)</f>
        <v>0.2126925635</v>
      </c>
      <c r="I50" s="7">
        <f>ABS(Annual_return_and_ratios!I17 - Annual_return_and_ratios!I83)</f>
        <v>0.1190915499</v>
      </c>
      <c r="J50" s="7">
        <f>ABS(Annual_return_and_ratios!J17 - Annual_return_and_ratios!J83)</f>
        <v>0.2321041102</v>
      </c>
      <c r="K50" s="7">
        <f>ABS(Annual_return_and_ratios!K17 - Annual_return_and_ratios!K83)</f>
        <v>0.2746772707</v>
      </c>
      <c r="L50" s="7">
        <f>ABS(Annual_return_and_ratios!L17 - Annual_return_and_ratios!L83)</f>
        <v>0.2490436545</v>
      </c>
      <c r="M50" s="7">
        <f>ABS(Annual_return_and_ratios!M17 - Annual_return_and_ratios!M83)</f>
        <v>0.1920136053</v>
      </c>
    </row>
    <row r="51">
      <c r="A51" s="10" t="s">
        <v>19</v>
      </c>
      <c r="B51" s="7">
        <f>ABS(Annual_return_and_ratios!B18 - Annual_return_and_ratios!B84)</f>
        <v>0.3165949682</v>
      </c>
      <c r="C51" s="7">
        <f>ABS(Annual_return_and_ratios!C18 - Annual_return_and_ratios!C84)</f>
        <v>0.193350474</v>
      </c>
      <c r="D51" s="7">
        <f>ABS(Annual_return_and_ratios!D18 - Annual_return_and_ratios!D84)</f>
        <v>0.2430092817</v>
      </c>
      <c r="E51" s="7">
        <f>ABS(Annual_return_and_ratios!E18 - Annual_return_and_ratios!E84)</f>
        <v>0.3874519894</v>
      </c>
      <c r="F51" s="7">
        <f>ABS(Annual_return_and_ratios!F18 - Annual_return_and_ratios!F84)</f>
        <v>0.4299956411</v>
      </c>
      <c r="G51" s="7">
        <f>ABS(Annual_return_and_ratios!G18 - Annual_return_and_ratios!G84)</f>
        <v>0.5083993377</v>
      </c>
      <c r="H51" s="7">
        <f>ABS(Annual_return_and_ratios!H18 - Annual_return_and_ratios!H84)</f>
        <v>0.3839098775</v>
      </c>
      <c r="I51" s="7">
        <f>ABS(Annual_return_and_ratios!I18 - Annual_return_and_ratios!I84)</f>
        <v>0.2987533292</v>
      </c>
      <c r="J51" s="7">
        <f>ABS(Annual_return_and_ratios!J18 - Annual_return_and_ratios!J84)</f>
        <v>0.12164853</v>
      </c>
      <c r="K51" s="7">
        <f>ABS(Annual_return_and_ratios!K18 - Annual_return_and_ratios!K84)</f>
        <v>0.1543367853</v>
      </c>
      <c r="L51" s="7">
        <f>ABS(Annual_return_and_ratios!L18 - Annual_return_and_ratios!L84)</f>
        <v>0.1688560665</v>
      </c>
      <c r="M51" s="7">
        <f>ABS(Annual_return_and_ratios!M18 - Annual_return_and_ratios!M84)</f>
        <v>0.09672913205</v>
      </c>
    </row>
    <row r="52">
      <c r="A52" s="10" t="s">
        <v>20</v>
      </c>
      <c r="B52" s="7">
        <f>ABS(Annual_return_and_ratios!B19 - Annual_return_and_ratios!B85)</f>
        <v>0.3884283395</v>
      </c>
      <c r="C52" s="7">
        <f>ABS(Annual_return_and_ratios!C19 - Annual_return_and_ratios!C85)</f>
        <v>0.3377561668</v>
      </c>
      <c r="D52" s="7">
        <f>ABS(Annual_return_and_ratios!D19 - Annual_return_and_ratios!D85)</f>
        <v>0.2510783867</v>
      </c>
      <c r="E52" s="7">
        <f>ABS(Annual_return_and_ratios!E19 - Annual_return_and_ratios!E85)</f>
        <v>0.2396461679</v>
      </c>
      <c r="F52" s="7">
        <f>ABS(Annual_return_and_ratios!F19 - Annual_return_and_ratios!F85)</f>
        <v>0.4003159746</v>
      </c>
      <c r="G52" s="7">
        <f>ABS(Annual_return_and_ratios!G19 - Annual_return_and_ratios!G85)</f>
        <v>0.08360087506</v>
      </c>
      <c r="H52" s="7">
        <f>ABS(Annual_return_and_ratios!H19 - Annual_return_and_ratios!H85)</f>
        <v>0.2484987116</v>
      </c>
      <c r="I52" s="7">
        <f>ABS(Annual_return_and_ratios!I19 - Annual_return_and_ratios!I85)</f>
        <v>0.4309773672</v>
      </c>
      <c r="J52" s="7">
        <f>ABS(Annual_return_and_ratios!J19 - Annual_return_and_ratios!J85)</f>
        <v>0.3568117756</v>
      </c>
      <c r="K52" s="7">
        <f>ABS(Annual_return_and_ratios!K19 - Annual_return_and_ratios!K85)</f>
        <v>0.2967025723</v>
      </c>
      <c r="L52" s="7">
        <f>ABS(Annual_return_and_ratios!L19 - Annual_return_and_ratios!L85)</f>
        <v>0.2113920763</v>
      </c>
      <c r="M52" s="7">
        <f>ABS(Annual_return_and_ratios!M19 - Annual_return_and_ratios!M85)</f>
        <v>0.4851901972</v>
      </c>
    </row>
    <row r="53">
      <c r="A53" s="10" t="s">
        <v>21</v>
      </c>
      <c r="B53" s="7">
        <f>ABS(Annual_return_and_ratios!B20 - Annual_return_and_ratios!B86)</f>
        <v>0.5268961134</v>
      </c>
      <c r="C53" s="7">
        <f>ABS(Annual_return_and_ratios!C20 - Annual_return_and_ratios!C86)</f>
        <v>0.5305466736</v>
      </c>
      <c r="D53" s="7">
        <f>ABS(Annual_return_and_ratios!D20 - Annual_return_and_ratios!D86)</f>
        <v>0.5065680052</v>
      </c>
      <c r="E53" s="7">
        <f>ABS(Annual_return_and_ratios!E20 - Annual_return_and_ratios!E86)</f>
        <v>0.5585291996</v>
      </c>
      <c r="F53" s="7">
        <f>ABS(Annual_return_and_ratios!F20 - Annual_return_and_ratios!F86)</f>
        <v>0.6150992654</v>
      </c>
      <c r="G53" s="7">
        <f>ABS(Annual_return_and_ratios!G20 - Annual_return_and_ratios!G86)</f>
        <v>0.3347164642</v>
      </c>
      <c r="H53" s="7">
        <f>ABS(Annual_return_and_ratios!H20 - Annual_return_and_ratios!H86)</f>
        <v>0.5036933732</v>
      </c>
      <c r="I53" s="7">
        <f>ABS(Annual_return_and_ratios!I20 - Annual_return_and_ratios!I86)</f>
        <v>0.4207816942</v>
      </c>
      <c r="J53" s="7">
        <f>ABS(Annual_return_and_ratios!J20 - Annual_return_and_ratios!J86)</f>
        <v>0.04975615478</v>
      </c>
      <c r="K53" s="7">
        <f>ABS(Annual_return_and_ratios!K20 - Annual_return_and_ratios!K86)</f>
        <v>0.2130886817</v>
      </c>
      <c r="L53" s="7">
        <f>ABS(Annual_return_and_ratios!L20 - Annual_return_and_ratios!L86)</f>
        <v>0.2211916973</v>
      </c>
      <c r="M53" s="7">
        <f>ABS(Annual_return_and_ratios!M20 - Annual_return_and_ratios!M86)</f>
        <v>0.342851064</v>
      </c>
    </row>
    <row r="54">
      <c r="A54" s="10" t="s">
        <v>22</v>
      </c>
      <c r="B54" s="7">
        <f>ABS(Annual_return_and_ratios!B21 - Annual_return_and_ratios!B87)</f>
        <v>0.1258222944</v>
      </c>
      <c r="C54" s="7">
        <f>ABS(Annual_return_and_ratios!C21 - Annual_return_and_ratios!C87)</f>
        <v>0.07264839306</v>
      </c>
      <c r="D54" s="7">
        <f>ABS(Annual_return_and_ratios!D21 - Annual_return_and_ratios!D87)</f>
        <v>0.09644950373</v>
      </c>
      <c r="E54" s="7">
        <f>ABS(Annual_return_and_ratios!E21 - Annual_return_and_ratios!E87)</f>
        <v>0.05646962596</v>
      </c>
      <c r="F54" s="7">
        <f>ABS(Annual_return_and_ratios!F21 - Annual_return_and_ratios!F87)</f>
        <v>0.03656745715</v>
      </c>
      <c r="G54" s="7">
        <f>ABS(Annual_return_and_ratios!G21 - Annual_return_and_ratios!G87)</f>
        <v>0.1262177058</v>
      </c>
      <c r="H54" s="7">
        <f>ABS(Annual_return_and_ratios!H21 - Annual_return_and_ratios!H87)</f>
        <v>0.06463506008</v>
      </c>
      <c r="I54" s="7">
        <f>ABS(Annual_return_and_ratios!I21 - Annual_return_and_ratios!I87)</f>
        <v>0.07941125545</v>
      </c>
      <c r="J54" s="7">
        <f>ABS(Annual_return_and_ratios!J21 - Annual_return_and_ratios!J87)</f>
        <v>0.02142174307</v>
      </c>
      <c r="K54" s="7">
        <f>ABS(Annual_return_and_ratios!K21 - Annual_return_and_ratios!K87)</f>
        <v>0.2074572046</v>
      </c>
      <c r="L54" s="7">
        <f>ABS(Annual_return_and_ratios!L21 - Annual_return_and_ratios!L87)</f>
        <v>0.1511827237</v>
      </c>
      <c r="M54" s="7">
        <f>ABS(Annual_return_and_ratios!M21 - Annual_return_and_ratios!M87)</f>
        <v>0.1225814998</v>
      </c>
    </row>
    <row r="55">
      <c r="A55" s="10" t="s">
        <v>23</v>
      </c>
      <c r="B55" s="7">
        <f>ABS(Annual_return_and_ratios!B22 - Annual_return_and_ratios!B88)</f>
        <v>0.2274446229</v>
      </c>
      <c r="C55" s="7">
        <f>ABS(Annual_return_and_ratios!C22 - Annual_return_and_ratios!C88)</f>
        <v>0.1947494302</v>
      </c>
      <c r="D55" s="7">
        <f>ABS(Annual_return_and_ratios!D22 - Annual_return_and_ratios!D88)</f>
        <v>0.2193577423</v>
      </c>
      <c r="E55" s="7">
        <f>ABS(Annual_return_and_ratios!E22 - Annual_return_and_ratios!E88)</f>
        <v>0.1991622809</v>
      </c>
      <c r="F55" s="7">
        <f>ABS(Annual_return_and_ratios!F22 - Annual_return_and_ratios!F88)</f>
        <v>0.1390437163</v>
      </c>
      <c r="G55" s="7">
        <f>ABS(Annual_return_and_ratios!G22 - Annual_return_and_ratios!G88)</f>
        <v>0.02780418585</v>
      </c>
      <c r="H55" s="7">
        <f>ABS(Annual_return_and_ratios!H22 - Annual_return_and_ratios!H88)</f>
        <v>0.02020012658</v>
      </c>
      <c r="I55" s="7">
        <f>ABS(Annual_return_and_ratios!I22 - Annual_return_and_ratios!I88)</f>
        <v>0.01174835945</v>
      </c>
      <c r="J55" s="7">
        <f>ABS(Annual_return_and_ratios!J22 - Annual_return_and_ratios!J88)</f>
        <v>0.1945206771</v>
      </c>
      <c r="K55" s="7">
        <f>ABS(Annual_return_and_ratios!K22 - Annual_return_and_ratios!K88)</f>
        <v>0.2556515289</v>
      </c>
      <c r="L55" s="7">
        <f>ABS(Annual_return_and_ratios!L22 - Annual_return_and_ratios!L88)</f>
        <v>0.2003312832</v>
      </c>
      <c r="M55" s="7">
        <f>ABS(Annual_return_and_ratios!M22 - Annual_return_and_ratios!M88)</f>
        <v>0.2342498058</v>
      </c>
    </row>
    <row r="56">
      <c r="A56" s="10" t="s">
        <v>24</v>
      </c>
      <c r="B56" s="7">
        <f>ABS(Annual_return_and_ratios!B23 - Annual_return_and_ratios!B89)</f>
        <v>0.3711764684</v>
      </c>
      <c r="C56" s="7">
        <f>ABS(Annual_return_and_ratios!C23 - Annual_return_and_ratios!C89)</f>
        <v>0.3008677316</v>
      </c>
      <c r="D56" s="7">
        <f>ABS(Annual_return_and_ratios!D23 - Annual_return_and_ratios!D89)</f>
        <v>0.3306739242</v>
      </c>
      <c r="E56" s="7">
        <f>ABS(Annual_return_and_ratios!E23 - Annual_return_and_ratios!E89)</f>
        <v>0.7142766688</v>
      </c>
      <c r="F56" s="7">
        <f>ABS(Annual_return_and_ratios!F23 - Annual_return_and_ratios!F89)</f>
        <v>0.5663623717</v>
      </c>
      <c r="G56" s="7">
        <f>ABS(Annual_return_and_ratios!G23 - Annual_return_and_ratios!G89)</f>
        <v>0.4367699784</v>
      </c>
      <c r="H56" s="7">
        <f>ABS(Annual_return_and_ratios!H23 - Annual_return_and_ratios!H89)</f>
        <v>0.199771992</v>
      </c>
      <c r="I56" s="7">
        <f>ABS(Annual_return_and_ratios!I23 - Annual_return_and_ratios!I89)</f>
        <v>0.4440202322</v>
      </c>
      <c r="J56" s="7">
        <f>ABS(Annual_return_and_ratios!J23 - Annual_return_and_ratios!J89)</f>
        <v>0.05632731128</v>
      </c>
      <c r="K56" s="7">
        <f>ABS(Annual_return_and_ratios!K23 - Annual_return_and_ratios!K89)</f>
        <v>0.1911301872</v>
      </c>
      <c r="L56" s="7">
        <f>ABS(Annual_return_and_ratios!L23 - Annual_return_and_ratios!L89)</f>
        <v>0.1344608481</v>
      </c>
      <c r="M56" s="7">
        <f>ABS(Annual_return_and_ratios!M23 - Annual_return_and_ratios!M89)</f>
        <v>0.07979834588</v>
      </c>
    </row>
    <row r="57">
      <c r="A57" s="10" t="s">
        <v>25</v>
      </c>
      <c r="B57" s="7">
        <f>ABS(Annual_return_and_ratios!B24 - Annual_return_and_ratios!B90)</f>
        <v>0.01475037208</v>
      </c>
      <c r="C57" s="7">
        <f>ABS(Annual_return_and_ratios!C24 - Annual_return_and_ratios!C90)</f>
        <v>0.2731919869</v>
      </c>
      <c r="D57" s="7">
        <f>ABS(Annual_return_and_ratios!D24 - Annual_return_and_ratios!D90)</f>
        <v>0.1179561749</v>
      </c>
      <c r="E57" s="7">
        <f>ABS(Annual_return_and_ratios!E24 - Annual_return_and_ratios!E90)</f>
        <v>0.1792926486</v>
      </c>
      <c r="F57" s="7">
        <f>ABS(Annual_return_and_ratios!F24 - Annual_return_and_ratios!F90)</f>
        <v>0.5495296692</v>
      </c>
      <c r="G57" s="7">
        <f>ABS(Annual_return_and_ratios!G24 - Annual_return_and_ratios!G90)</f>
        <v>0.04388831226</v>
      </c>
      <c r="H57" s="7">
        <f>ABS(Annual_return_and_ratios!H24 - Annual_return_and_ratios!H90)</f>
        <v>0.06030117451</v>
      </c>
      <c r="I57" s="7">
        <f>ABS(Annual_return_and_ratios!I24 - Annual_return_and_ratios!I90)</f>
        <v>0.0827423111</v>
      </c>
      <c r="J57" s="7">
        <f>ABS(Annual_return_and_ratios!J24 - Annual_return_and_ratios!J90)</f>
        <v>0.1490187048</v>
      </c>
      <c r="K57" s="7">
        <f>ABS(Annual_return_and_ratios!K24 - Annual_return_and_ratios!K90)</f>
        <v>0.08269886645</v>
      </c>
      <c r="L57" s="7">
        <f>ABS(Annual_return_and_ratios!L24 - Annual_return_and_ratios!L90)</f>
        <v>0.1719763062</v>
      </c>
      <c r="M57" s="7">
        <f>ABS(Annual_return_and_ratios!M24 - Annual_return_and_ratios!M90)</f>
        <v>0.1323366963</v>
      </c>
    </row>
    <row r="58">
      <c r="A58" s="10" t="s">
        <v>26</v>
      </c>
      <c r="B58" s="7">
        <f>ABS(Annual_return_and_ratios!B25 - Annual_return_and_ratios!B91)</f>
        <v>1.003476322</v>
      </c>
      <c r="C58" s="7">
        <f>ABS(Annual_return_and_ratios!C25 - Annual_return_and_ratios!C91)</f>
        <v>0.0338611428</v>
      </c>
      <c r="D58" s="7">
        <f>ABS(Annual_return_and_ratios!D25 - Annual_return_and_ratios!D91)</f>
        <v>0.8183011044</v>
      </c>
      <c r="E58" s="7">
        <f>ABS(Annual_return_and_ratios!E25 - Annual_return_and_ratios!E91)</f>
        <v>0.04095806425</v>
      </c>
      <c r="F58" s="7">
        <f>ABS(Annual_return_and_ratios!F25 - Annual_return_and_ratios!F91)</f>
        <v>0.07026222253</v>
      </c>
      <c r="G58" s="7">
        <f>ABS(Annual_return_and_ratios!G25 - Annual_return_and_ratios!G91)</f>
        <v>1.040818871</v>
      </c>
      <c r="H58" s="7">
        <f>ABS(Annual_return_and_ratios!H25 - Annual_return_and_ratios!H91)</f>
        <v>0.1390568924</v>
      </c>
      <c r="I58" s="7">
        <f>ABS(Annual_return_and_ratios!I25 - Annual_return_and_ratios!I91)</f>
        <v>0.08532972735</v>
      </c>
      <c r="J58" s="7">
        <f>ABS(Annual_return_and_ratios!J25 - Annual_return_and_ratios!J91)</f>
        <v>0.03596726386</v>
      </c>
      <c r="K58" s="7">
        <f>ABS(Annual_return_and_ratios!K25 - Annual_return_and_ratios!K91)</f>
        <v>0.009808201644</v>
      </c>
      <c r="L58" s="7">
        <f>ABS(Annual_return_and_ratios!L25 - Annual_return_and_ratios!L91)</f>
        <v>0.01344355111</v>
      </c>
      <c r="M58" s="7">
        <f>ABS(Annual_return_and_ratios!M25 - Annual_return_and_ratios!M91)</f>
        <v>0.2778765739</v>
      </c>
    </row>
    <row r="59">
      <c r="A59" s="10" t="s">
        <v>27</v>
      </c>
      <c r="B59" s="7">
        <f>ABS(Annual_return_and_ratios!B26 - Annual_return_and_ratios!B92)</f>
        <v>1.002235286</v>
      </c>
      <c r="C59" s="7">
        <f>ABS(Annual_return_and_ratios!C26 - Annual_return_and_ratios!C92)</f>
        <v>0.6061362825</v>
      </c>
      <c r="D59" s="7">
        <f>ABS(Annual_return_and_ratios!D26 - Annual_return_and_ratios!D92)</f>
        <v>1.010560826</v>
      </c>
      <c r="E59" s="7">
        <f>ABS(Annual_return_and_ratios!E26 - Annual_return_and_ratios!E92)</f>
        <v>0.3810944397</v>
      </c>
      <c r="F59" s="7">
        <f>ABS(Annual_return_and_ratios!F26 - Annual_return_and_ratios!F92)</f>
        <v>0.3315673719</v>
      </c>
      <c r="G59" s="7">
        <f>ABS(Annual_return_and_ratios!G26 - Annual_return_and_ratios!G92)</f>
        <v>1.006849601</v>
      </c>
      <c r="H59" s="7">
        <f>ABS(Annual_return_and_ratios!H26 - Annual_return_and_ratios!H92)</f>
        <v>0.3338692176</v>
      </c>
      <c r="I59" s="7">
        <f>ABS(Annual_return_and_ratios!I26 - Annual_return_and_ratios!I92)</f>
        <v>0.3913253119</v>
      </c>
      <c r="J59" s="7">
        <f>ABS(Annual_return_and_ratios!J26 - Annual_return_and_ratios!J92)</f>
        <v>0.3978782679</v>
      </c>
      <c r="K59" s="7">
        <f>ABS(Annual_return_and_ratios!K26 - Annual_return_and_ratios!K92)</f>
        <v>0.3741899285</v>
      </c>
      <c r="L59" s="7">
        <f>ABS(Annual_return_and_ratios!L26 - Annual_return_and_ratios!L92)</f>
        <v>0.869205332</v>
      </c>
      <c r="M59" s="7">
        <f>ABS(Annual_return_and_ratios!M26 - Annual_return_and_ratios!M92)</f>
        <v>0.3384840609</v>
      </c>
    </row>
    <row r="60">
      <c r="A60" s="10" t="s">
        <v>28</v>
      </c>
      <c r="B60" s="7">
        <f>ABS(Annual_return_and_ratios!B27 - Annual_return_and_ratios!B93)</f>
        <v>0.9878250494</v>
      </c>
      <c r="C60" s="7">
        <f>ABS(Annual_return_and_ratios!C27 - Annual_return_and_ratios!C93)</f>
        <v>0.9870271039</v>
      </c>
      <c r="D60" s="7">
        <f>ABS(Annual_return_and_ratios!D27 - Annual_return_and_ratios!D93)</f>
        <v>1.018545439</v>
      </c>
      <c r="E60" s="7">
        <f>ABS(Annual_return_and_ratios!E27 - Annual_return_and_ratios!E93)</f>
        <v>0.7726781186</v>
      </c>
      <c r="F60" s="7">
        <f>ABS(Annual_return_and_ratios!F27 - Annual_return_and_ratios!F93)</f>
        <v>0.3983927797</v>
      </c>
      <c r="G60" s="7">
        <f>ABS(Annual_return_and_ratios!G27 - Annual_return_and_ratios!G93)</f>
        <v>0.7246181156</v>
      </c>
      <c r="H60" s="7">
        <f>ABS(Annual_return_and_ratios!H27 - Annual_return_and_ratios!H93)</f>
        <v>0.3757229197</v>
      </c>
      <c r="I60" s="7">
        <f>ABS(Annual_return_and_ratios!I27 - Annual_return_and_ratios!I93)</f>
        <v>0.2542347843</v>
      </c>
      <c r="J60" s="7">
        <f>ABS(Annual_return_and_ratios!J27 - Annual_return_and_ratios!J93)</f>
        <v>0.4973715368</v>
      </c>
      <c r="K60" s="7">
        <f>ABS(Annual_return_and_ratios!K27 - Annual_return_and_ratios!K93)</f>
        <v>0.2297643418</v>
      </c>
      <c r="L60" s="7">
        <f>ABS(Annual_return_and_ratios!L27 - Annual_return_and_ratios!L93)</f>
        <v>0.2176321096</v>
      </c>
      <c r="M60" s="7">
        <f>ABS(Annual_return_and_ratios!M27 - Annual_return_and_ratios!M93)</f>
        <v>0.127427688</v>
      </c>
    </row>
    <row r="61">
      <c r="A61" s="10" t="s">
        <v>29</v>
      </c>
      <c r="B61" s="7">
        <f>ABS(Annual_return_and_ratios!B28 - Annual_return_and_ratios!B94)</f>
        <v>0.3512015086</v>
      </c>
      <c r="C61" s="7">
        <f>ABS(Annual_return_and_ratios!C28 - Annual_return_and_ratios!C94)</f>
        <v>0.2562172581</v>
      </c>
      <c r="D61" s="7">
        <f>ABS(Annual_return_and_ratios!D28 - Annual_return_and_ratios!D94)</f>
        <v>0.2299331737</v>
      </c>
      <c r="E61" s="7">
        <f>ABS(Annual_return_and_ratios!E28 - Annual_return_and_ratios!E94)</f>
        <v>0.1461483443</v>
      </c>
      <c r="F61" s="7">
        <f>ABS(Annual_return_and_ratios!F28 - Annual_return_and_ratios!F94)</f>
        <v>0.369056005</v>
      </c>
      <c r="G61" s="7">
        <f>ABS(Annual_return_and_ratios!G28 - Annual_return_and_ratios!G94)</f>
        <v>0.3443563415</v>
      </c>
      <c r="H61" s="7">
        <f>ABS(Annual_return_and_ratios!H28 - Annual_return_and_ratios!H94)</f>
        <v>0.2545257674</v>
      </c>
      <c r="I61" s="7">
        <f>ABS(Annual_return_and_ratios!I28 - Annual_return_and_ratios!I94)</f>
        <v>0.1710010217</v>
      </c>
      <c r="J61" s="7">
        <f>ABS(Annual_return_and_ratios!J28 - Annual_return_and_ratios!J94)</f>
        <v>0.02511110054</v>
      </c>
      <c r="K61" s="7">
        <f>ABS(Annual_return_and_ratios!K28 - Annual_return_and_ratios!K94)</f>
        <v>0.6736489214</v>
      </c>
      <c r="L61" s="7">
        <f>ABS(Annual_return_and_ratios!L28 - Annual_return_and_ratios!L94)</f>
        <v>0.2516869019</v>
      </c>
      <c r="M61" s="7">
        <f>ABS(Annual_return_and_ratios!M28 - Annual_return_and_ratios!M94)</f>
        <v>0.276229656</v>
      </c>
    </row>
    <row r="62">
      <c r="A62" s="10" t="s">
        <v>30</v>
      </c>
      <c r="B62" s="7">
        <f>ABS(Annual_return_and_ratios!B29 - Annual_return_and_ratios!B95)</f>
        <v>0.05829842566</v>
      </c>
      <c r="C62" s="7">
        <f>ABS(Annual_return_and_ratios!C29 - Annual_return_and_ratios!C95)</f>
        <v>0.03252450867</v>
      </c>
      <c r="D62" s="7">
        <f>ABS(Annual_return_and_ratios!D29 - Annual_return_and_ratios!D95)</f>
        <v>0.09181171076</v>
      </c>
      <c r="E62" s="7">
        <f>ABS(Annual_return_and_ratios!E29 - Annual_return_and_ratios!E95)</f>
        <v>0.4124398157</v>
      </c>
      <c r="F62" s="7">
        <f>ABS(Annual_return_and_ratios!F29 - Annual_return_and_ratios!F95)</f>
        <v>0.04265957489</v>
      </c>
      <c r="G62" s="7">
        <f>ABS(Annual_return_and_ratios!G29 - Annual_return_and_ratios!G95)</f>
        <v>0.4481173268</v>
      </c>
      <c r="H62" s="7">
        <f>ABS(Annual_return_and_ratios!H29 - Annual_return_and_ratios!H95)</f>
        <v>0.5347918882</v>
      </c>
      <c r="I62" s="7">
        <f>ABS(Annual_return_and_ratios!I29 - Annual_return_and_ratios!I95)</f>
        <v>0.5081765167</v>
      </c>
      <c r="J62" s="7">
        <f>ABS(Annual_return_and_ratios!J29 - Annual_return_and_ratios!J95)</f>
        <v>0.0402633306</v>
      </c>
      <c r="K62" s="7">
        <f>ABS(Annual_return_and_ratios!K29 - Annual_return_and_ratios!K95)</f>
        <v>0.9910758436</v>
      </c>
      <c r="L62" s="7">
        <f>ABS(Annual_return_and_ratios!L29 - Annual_return_and_ratios!L95)</f>
        <v>0.2569524243</v>
      </c>
      <c r="M62" s="7">
        <f>ABS(Annual_return_and_ratios!M29 - Annual_return_and_ratios!M95)</f>
        <v>0.005748469362</v>
      </c>
    </row>
    <row r="63">
      <c r="A63" s="10" t="s">
        <v>31</v>
      </c>
      <c r="B63" s="7">
        <f>ABS(Annual_return_and_ratios!B30 - Annual_return_and_ratios!B96)</f>
        <v>0.3683596432</v>
      </c>
      <c r="C63" s="7">
        <f>ABS(Annual_return_and_ratios!C30 - Annual_return_and_ratios!C96)</f>
        <v>0.1585363962</v>
      </c>
      <c r="D63" s="7">
        <f>ABS(Annual_return_and_ratios!D30 - Annual_return_and_ratios!D96)</f>
        <v>0.230908049</v>
      </c>
      <c r="E63" s="7">
        <f>ABS(Annual_return_and_ratios!E30 - Annual_return_and_ratios!E96)</f>
        <v>0.1677545941</v>
      </c>
      <c r="F63" s="7">
        <f>ABS(Annual_return_and_ratios!F30 - Annual_return_and_ratios!F96)</f>
        <v>0.01504815094</v>
      </c>
      <c r="G63" s="7">
        <f>ABS(Annual_return_and_ratios!G30 - Annual_return_and_ratios!G96)</f>
        <v>0.08547139001</v>
      </c>
      <c r="H63" s="7">
        <f>ABS(Annual_return_and_ratios!H30 - Annual_return_and_ratios!H96)</f>
        <v>0.1664837102</v>
      </c>
      <c r="I63" s="7">
        <f>ABS(Annual_return_and_ratios!I30 - Annual_return_and_ratios!I96)</f>
        <v>0.1721287075</v>
      </c>
      <c r="J63" s="7">
        <f>ABS(Annual_return_and_ratios!J30 - Annual_return_and_ratios!J96)</f>
        <v>0.09119920032</v>
      </c>
      <c r="K63" s="7">
        <f>ABS(Annual_return_and_ratios!K30 - Annual_return_and_ratios!K96)</f>
        <v>0.1227861074</v>
      </c>
      <c r="L63" s="7">
        <f>ABS(Annual_return_and_ratios!L30 - Annual_return_and_ratios!L96)</f>
        <v>0.1118297728</v>
      </c>
      <c r="M63" s="7">
        <f>ABS(Annual_return_and_ratios!M30 - Annual_return_and_ratios!M96)</f>
        <v>0.1092584297</v>
      </c>
    </row>
    <row r="67">
      <c r="A67" s="9" t="s">
        <v>45</v>
      </c>
      <c r="B67" s="10" t="s">
        <v>46</v>
      </c>
      <c r="C67" s="10" t="s">
        <v>47</v>
      </c>
      <c r="D67" s="10" t="s">
        <v>48</v>
      </c>
      <c r="E67" s="10" t="s">
        <v>49</v>
      </c>
      <c r="F67" s="10" t="s">
        <v>50</v>
      </c>
      <c r="G67" s="10" t="s">
        <v>51</v>
      </c>
      <c r="H67" s="10" t="s">
        <v>52</v>
      </c>
      <c r="I67" s="10" t="s">
        <v>53</v>
      </c>
      <c r="J67" s="10" t="s">
        <v>54</v>
      </c>
      <c r="K67" s="10" t="s">
        <v>55</v>
      </c>
      <c r="L67" s="10" t="s">
        <v>56</v>
      </c>
      <c r="M67" s="10" t="s">
        <v>57</v>
      </c>
    </row>
    <row r="68">
      <c r="A68" s="10" t="s">
        <v>3</v>
      </c>
      <c r="B68" s="7">
        <f>ABS(Annual_return_and_ratios!B2 - Annual_return_and_ratios!B101)</f>
        <v>1.018388853</v>
      </c>
      <c r="C68" s="7">
        <f>ABS(Annual_return_and_ratios!C2 - Annual_return_and_ratios!C101)</f>
        <v>0.9030800521</v>
      </c>
      <c r="D68" s="7">
        <f>ABS(Annual_return_and_ratios!D2 - Annual_return_and_ratios!D101)</f>
        <v>0.8115757122</v>
      </c>
      <c r="E68" s="7">
        <f>ABS(Annual_return_and_ratios!E2 - Annual_return_and_ratios!E101)</f>
        <v>0.8972857338</v>
      </c>
      <c r="F68" s="7">
        <f>ABS(Annual_return_and_ratios!F2 - Annual_return_and_ratios!F101)</f>
        <v>0.902887985</v>
      </c>
      <c r="G68" s="7">
        <f>ABS(Annual_return_and_ratios!G2 - Annual_return_and_ratios!G101)</f>
        <v>1.027000288</v>
      </c>
      <c r="H68" s="7">
        <f>ABS(Annual_return_and_ratios!H2 - Annual_return_and_ratios!H101)</f>
        <v>0.9918594749</v>
      </c>
      <c r="I68" s="7">
        <f>ABS(Annual_return_and_ratios!I2 - Annual_return_and_ratios!I101)</f>
        <v>0.9965109276</v>
      </c>
      <c r="J68" s="7">
        <f>ABS(Annual_return_and_ratios!J2 - Annual_return_and_ratios!J101)</f>
        <v>0.9712510707</v>
      </c>
      <c r="K68" s="7">
        <f>ABS(Annual_return_and_ratios!K2 - Annual_return_and_ratios!K101)</f>
        <v>1.013624531</v>
      </c>
      <c r="L68" s="7">
        <f>ABS(Annual_return_and_ratios!L2 - Annual_return_and_ratios!L101)</f>
        <v>0.9544831258</v>
      </c>
      <c r="M68" s="7">
        <f>ABS(Annual_return_and_ratios!M2 - Annual_return_and_ratios!M101)</f>
        <v>0.9723213048</v>
      </c>
    </row>
    <row r="69">
      <c r="A69" s="10" t="s">
        <v>4</v>
      </c>
      <c r="B69" s="7">
        <f>ABS(Annual_return_and_ratios!B3 - Annual_return_and_ratios!B102)</f>
        <v>0.3305469873</v>
      </c>
      <c r="C69" s="7">
        <f>ABS(Annual_return_and_ratios!C3 - Annual_return_and_ratios!C102)</f>
        <v>0.463811599</v>
      </c>
      <c r="D69" s="7">
        <f>ABS(Annual_return_and_ratios!D3 - Annual_return_and_ratios!D102)</f>
        <v>0.3633329317</v>
      </c>
      <c r="E69" s="7">
        <f>ABS(Annual_return_and_ratios!E3 - Annual_return_and_ratios!E102)</f>
        <v>0.2963956417</v>
      </c>
      <c r="F69" s="7">
        <f>ABS(Annual_return_and_ratios!F3 - Annual_return_and_ratios!F102)</f>
        <v>0.4117307458</v>
      </c>
      <c r="G69" s="7">
        <f>ABS(Annual_return_and_ratios!G3 - Annual_return_and_ratios!G102)</f>
        <v>0.3995115726</v>
      </c>
      <c r="H69" s="7">
        <f>ABS(Annual_return_and_ratios!H3 - Annual_return_and_ratios!H102)</f>
        <v>0.3135898113</v>
      </c>
      <c r="I69" s="7">
        <f>ABS(Annual_return_and_ratios!I3 - Annual_return_and_ratios!I102)</f>
        <v>0.365960351</v>
      </c>
      <c r="J69" s="7">
        <f>ABS(Annual_return_and_ratios!J3 - Annual_return_and_ratios!J102)</f>
        <v>0.3775199708</v>
      </c>
      <c r="K69" s="7">
        <f>ABS(Annual_return_and_ratios!K3 - Annual_return_and_ratios!K102)</f>
        <v>0.3690470907</v>
      </c>
      <c r="L69" s="7">
        <f>ABS(Annual_return_and_ratios!L3 - Annual_return_and_ratios!L102)</f>
        <v>0.2644140049</v>
      </c>
      <c r="M69" s="7">
        <f>ABS(Annual_return_and_ratios!M3 - Annual_return_and_ratios!M102)</f>
        <v>0.2820550433</v>
      </c>
    </row>
    <row r="70">
      <c r="A70" s="10" t="s">
        <v>5</v>
      </c>
      <c r="B70" s="7">
        <f>ABS(Annual_return_and_ratios!B4 - Annual_return_and_ratios!B103)</f>
        <v>0.6811925993</v>
      </c>
      <c r="C70" s="7">
        <f>ABS(Annual_return_and_ratios!C4 - Annual_return_and_ratios!C103)</f>
        <v>0.7121795335</v>
      </c>
      <c r="D70" s="7">
        <f>ABS(Annual_return_and_ratios!D4 - Annual_return_and_ratios!D103)</f>
        <v>0.3590191035</v>
      </c>
      <c r="E70" s="7">
        <f>ABS(Annual_return_and_ratios!E4 - Annual_return_and_ratios!E103)</f>
        <v>0.6305291606</v>
      </c>
      <c r="F70" s="7">
        <f>ABS(Annual_return_and_ratios!F4 - Annual_return_and_ratios!F103)</f>
        <v>0.281941179</v>
      </c>
      <c r="G70" s="7">
        <f>ABS(Annual_return_and_ratios!G4 - Annual_return_and_ratios!G103)</f>
        <v>0.1164252592</v>
      </c>
      <c r="H70" s="7">
        <f>ABS(Annual_return_and_ratios!H4 - Annual_return_and_ratios!H103)</f>
        <v>0.2288974446</v>
      </c>
      <c r="I70" s="7">
        <f>ABS(Annual_return_and_ratios!I4 - Annual_return_and_ratios!I103)</f>
        <v>0.006728792191</v>
      </c>
      <c r="J70" s="7">
        <f>ABS(Annual_return_and_ratios!J4 - Annual_return_and_ratios!J103)</f>
        <v>0.2521586998</v>
      </c>
      <c r="K70" s="7">
        <f>ABS(Annual_return_and_ratios!K4 - Annual_return_and_ratios!K103)</f>
        <v>0.6421950337</v>
      </c>
      <c r="L70" s="7">
        <f>ABS(Annual_return_and_ratios!L4 - Annual_return_and_ratios!L103)</f>
        <v>0.594755813</v>
      </c>
      <c r="M70" s="7">
        <f>ABS(Annual_return_and_ratios!M4 - Annual_return_and_ratios!M103)</f>
        <v>0.6139537666</v>
      </c>
    </row>
    <row r="71">
      <c r="A71" s="10" t="s">
        <v>6</v>
      </c>
      <c r="B71" s="7">
        <f>ABS(Annual_return_and_ratios!B5 - Annual_return_and_ratios!B104)</f>
        <v>0.3842627131</v>
      </c>
      <c r="C71" s="7">
        <f>ABS(Annual_return_and_ratios!C5 - Annual_return_and_ratios!C104)</f>
        <v>0.4091176891</v>
      </c>
      <c r="D71" s="7">
        <f>ABS(Annual_return_and_ratios!D5 - Annual_return_and_ratios!D104)</f>
        <v>0.469919924</v>
      </c>
      <c r="E71" s="7">
        <f>ABS(Annual_return_and_ratios!E5 - Annual_return_and_ratios!E104)</f>
        <v>0.317218788</v>
      </c>
      <c r="F71" s="7">
        <f>ABS(Annual_return_and_ratios!F5 - Annual_return_and_ratios!F104)</f>
        <v>0.2924456956</v>
      </c>
      <c r="G71" s="7">
        <f>ABS(Annual_return_and_ratios!G5 - Annual_return_and_ratios!G104)</f>
        <v>0.3446532212</v>
      </c>
      <c r="H71" s="7">
        <f>ABS(Annual_return_and_ratios!H5 - Annual_return_and_ratios!H104)</f>
        <v>0.3553972374</v>
      </c>
      <c r="I71" s="7">
        <f>ABS(Annual_return_and_ratios!I5 - Annual_return_and_ratios!I104)</f>
        <v>0.3631488376</v>
      </c>
      <c r="J71" s="7">
        <f>ABS(Annual_return_and_ratios!J5 - Annual_return_and_ratios!J104)</f>
        <v>0.3543488774</v>
      </c>
      <c r="K71" s="7">
        <f>ABS(Annual_return_and_ratios!K5 - Annual_return_and_ratios!K104)</f>
        <v>0.9014429212</v>
      </c>
      <c r="L71" s="7">
        <f>ABS(Annual_return_and_ratios!L5 - Annual_return_and_ratios!L104)</f>
        <v>0.9395799401</v>
      </c>
      <c r="M71" s="7">
        <f>ABS(Annual_return_and_ratios!M5 - Annual_return_and_ratios!M104)</f>
        <v>0.9942303834</v>
      </c>
    </row>
    <row r="72">
      <c r="A72" s="10" t="s">
        <v>7</v>
      </c>
      <c r="B72" s="7">
        <f>ABS(Annual_return_and_ratios!B6 - Annual_return_and_ratios!B105)</f>
        <v>0.7316338045</v>
      </c>
      <c r="C72" s="7">
        <f>ABS(Annual_return_and_ratios!C6 - Annual_return_and_ratios!C105)</f>
        <v>0.7972641454</v>
      </c>
      <c r="D72" s="7">
        <f>ABS(Annual_return_and_ratios!D6 - Annual_return_and_ratios!D105)</f>
        <v>0.8806541027</v>
      </c>
      <c r="E72" s="7">
        <f>ABS(Annual_return_and_ratios!E6 - Annual_return_and_ratios!E105)</f>
        <v>0.6579312122</v>
      </c>
      <c r="F72" s="7">
        <f>ABS(Annual_return_and_ratios!F6 - Annual_return_and_ratios!F105)</f>
        <v>0.4227587718</v>
      </c>
      <c r="G72" s="7">
        <f>ABS(Annual_return_and_ratios!G6 - Annual_return_and_ratios!G105)</f>
        <v>0.6209938373</v>
      </c>
      <c r="H72" s="7">
        <f>ABS(Annual_return_and_ratios!H6 - Annual_return_and_ratios!H105)</f>
        <v>0.6216346356</v>
      </c>
      <c r="I72" s="7">
        <f>ABS(Annual_return_and_ratios!I6 - Annual_return_and_ratios!I105)</f>
        <v>0.580868555</v>
      </c>
      <c r="J72" s="7">
        <f>ABS(Annual_return_and_ratios!J6 - Annual_return_and_ratios!J105)</f>
        <v>0.5227841463</v>
      </c>
      <c r="K72" s="7">
        <f>ABS(Annual_return_and_ratios!K6 - Annual_return_and_ratios!K105)</f>
        <v>0.4946661858</v>
      </c>
      <c r="L72" s="7">
        <f>ABS(Annual_return_and_ratios!L6 - Annual_return_and_ratios!L105)</f>
        <v>0.4501253432</v>
      </c>
      <c r="M72" s="7">
        <f>ABS(Annual_return_and_ratios!M6 - Annual_return_and_ratios!M105)</f>
        <v>0.4999059063</v>
      </c>
    </row>
    <row r="73">
      <c r="A73" s="10" t="s">
        <v>8</v>
      </c>
      <c r="B73" s="7">
        <f>ABS(Annual_return_and_ratios!B7 - Annual_return_and_ratios!B106)</f>
        <v>0.661919078</v>
      </c>
      <c r="C73" s="7">
        <f>ABS(Annual_return_and_ratios!C7 - Annual_return_and_ratios!C106)</f>
        <v>0.5405334197</v>
      </c>
      <c r="D73" s="7">
        <f>ABS(Annual_return_and_ratios!D7 - Annual_return_and_ratios!D106)</f>
        <v>0.4797201603</v>
      </c>
      <c r="E73" s="7">
        <f>ABS(Annual_return_and_ratios!E7 - Annual_return_and_ratios!E106)</f>
        <v>0.4246570282</v>
      </c>
      <c r="F73" s="7">
        <f>ABS(Annual_return_and_ratios!F7 - Annual_return_and_ratios!F106)</f>
        <v>0.395945649</v>
      </c>
      <c r="G73" s="7">
        <f>ABS(Annual_return_and_ratios!G7 - Annual_return_and_ratios!G106)</f>
        <v>0.4270858114</v>
      </c>
      <c r="H73" s="7">
        <f>ABS(Annual_return_and_ratios!H7 - Annual_return_and_ratios!H106)</f>
        <v>0.4964832643</v>
      </c>
      <c r="I73" s="7">
        <f>ABS(Annual_return_and_ratios!I7 - Annual_return_and_ratios!I106)</f>
        <v>0.4146397834</v>
      </c>
      <c r="J73" s="7">
        <f>ABS(Annual_return_and_ratios!J7 - Annual_return_and_ratios!J106)</f>
        <v>0.5091742201</v>
      </c>
      <c r="K73" s="7">
        <f>ABS(Annual_return_and_ratios!K7 - Annual_return_and_ratios!K106)</f>
        <v>0.5315666786</v>
      </c>
      <c r="L73" s="7">
        <f>ABS(Annual_return_and_ratios!L7 - Annual_return_and_ratios!L106)</f>
        <v>0.4138676217</v>
      </c>
      <c r="M73" s="7">
        <f>ABS(Annual_return_and_ratios!M7 - Annual_return_and_ratios!M106)</f>
        <v>0.4393817389</v>
      </c>
    </row>
    <row r="74">
      <c r="A74" s="10" t="s">
        <v>9</v>
      </c>
      <c r="B74" s="7">
        <f>ABS(Annual_return_and_ratios!B8 - Annual_return_and_ratios!B107)</f>
        <v>0.5761014587</v>
      </c>
      <c r="C74" s="7">
        <f>ABS(Annual_return_and_ratios!C8 - Annual_return_and_ratios!C107)</f>
        <v>0.05700028842</v>
      </c>
      <c r="D74" s="7">
        <f>ABS(Annual_return_and_ratios!D8 - Annual_return_and_ratios!D107)</f>
        <v>0.2443889508</v>
      </c>
      <c r="E74" s="7">
        <f>ABS(Annual_return_and_ratios!E8 - Annual_return_and_ratios!E107)</f>
        <v>0.1072889162</v>
      </c>
      <c r="F74" s="7">
        <f>ABS(Annual_return_and_ratios!F8 - Annual_return_and_ratios!F107)</f>
        <v>0.01275131807</v>
      </c>
      <c r="G74" s="7">
        <f>ABS(Annual_return_and_ratios!G8 - Annual_return_and_ratios!G107)</f>
        <v>0.02898796598</v>
      </c>
      <c r="H74" s="7">
        <f>ABS(Annual_return_and_ratios!H8 - Annual_return_and_ratios!H107)</f>
        <v>0.04617427451</v>
      </c>
      <c r="I74" s="7">
        <f>ABS(Annual_return_and_ratios!I8 - Annual_return_and_ratios!I107)</f>
        <v>0.00887434804</v>
      </c>
      <c r="J74" s="7">
        <f>ABS(Annual_return_and_ratios!J8 - Annual_return_and_ratios!J107)</f>
        <v>0.08257792912</v>
      </c>
      <c r="K74" s="7">
        <f>ABS(Annual_return_and_ratios!K8 - Annual_return_and_ratios!K107)</f>
        <v>0.1743637299</v>
      </c>
      <c r="L74" s="7">
        <f>ABS(Annual_return_and_ratios!L8 - Annual_return_and_ratios!L107)</f>
        <v>0.1265441524</v>
      </c>
      <c r="M74" s="7">
        <f>ABS(Annual_return_and_ratios!M8 - Annual_return_and_ratios!M107)</f>
        <v>0.07740036107</v>
      </c>
    </row>
    <row r="75">
      <c r="A75" s="10" t="s">
        <v>10</v>
      </c>
      <c r="B75" s="7">
        <f>ABS(Annual_return_and_ratios!B9 - Annual_return_and_ratios!B108)</f>
        <v>0.4478654628</v>
      </c>
      <c r="C75" s="7">
        <f>ABS(Annual_return_and_ratios!C9 - Annual_return_and_ratios!C108)</f>
        <v>0.4025448539</v>
      </c>
      <c r="D75" s="7">
        <f>ABS(Annual_return_and_ratios!D9 - Annual_return_and_ratios!D108)</f>
        <v>0.4459458122</v>
      </c>
      <c r="E75" s="7">
        <f>ABS(Annual_return_and_ratios!E9 - Annual_return_and_ratios!E108)</f>
        <v>0.4654916663</v>
      </c>
      <c r="F75" s="7">
        <f>ABS(Annual_return_and_ratios!F9 - Annual_return_and_ratios!F108)</f>
        <v>0.3764478924</v>
      </c>
      <c r="G75" s="7">
        <f>ABS(Annual_return_and_ratios!G9 - Annual_return_and_ratios!G108)</f>
        <v>0.4948221264</v>
      </c>
      <c r="H75" s="7">
        <f>ABS(Annual_return_and_ratios!H9 - Annual_return_and_ratios!H108)</f>
        <v>0.502997982</v>
      </c>
      <c r="I75" s="7">
        <f>ABS(Annual_return_and_ratios!I9 - Annual_return_and_ratios!I108)</f>
        <v>0.518642127</v>
      </c>
      <c r="J75" s="7">
        <f>ABS(Annual_return_and_ratios!J9 - Annual_return_and_ratios!J108)</f>
        <v>0.5505452136</v>
      </c>
      <c r="K75" s="7">
        <f>ABS(Annual_return_and_ratios!K9 - Annual_return_and_ratios!K108)</f>
        <v>0.5483422429</v>
      </c>
      <c r="L75" s="7">
        <f>ABS(Annual_return_and_ratios!L9 - Annual_return_and_ratios!L108)</f>
        <v>0.5863638635</v>
      </c>
      <c r="M75" s="7">
        <f>ABS(Annual_return_and_ratios!M9 - Annual_return_and_ratios!M108)</f>
        <v>0.5740276788</v>
      </c>
    </row>
    <row r="76">
      <c r="A76" s="10" t="s">
        <v>11</v>
      </c>
      <c r="B76" s="7">
        <f>ABS(Annual_return_and_ratios!B10 - Annual_return_and_ratios!B109)</f>
        <v>0.6791075774</v>
      </c>
      <c r="C76" s="7">
        <f>ABS(Annual_return_and_ratios!C10 - Annual_return_and_ratios!C109)</f>
        <v>0.7368470925</v>
      </c>
      <c r="D76" s="7">
        <f>ABS(Annual_return_and_ratios!D10 - Annual_return_and_ratios!D109)</f>
        <v>0.841189073</v>
      </c>
      <c r="E76" s="7">
        <f>ABS(Annual_return_and_ratios!E10 - Annual_return_and_ratios!E109)</f>
        <v>0.9018273327</v>
      </c>
      <c r="F76" s="7">
        <f>ABS(Annual_return_and_ratios!F10 - Annual_return_and_ratios!F109)</f>
        <v>0.7552467896</v>
      </c>
      <c r="G76" s="7">
        <f>ABS(Annual_return_and_ratios!G10 - Annual_return_and_ratios!G109)</f>
        <v>0.7291553014</v>
      </c>
      <c r="H76" s="7">
        <f>ABS(Annual_return_and_ratios!H10 - Annual_return_and_ratios!H109)</f>
        <v>0.6414722248</v>
      </c>
      <c r="I76" s="7">
        <f>ABS(Annual_return_and_ratios!I10 - Annual_return_and_ratios!I109)</f>
        <v>0.6522756155</v>
      </c>
      <c r="J76" s="7">
        <f>ABS(Annual_return_and_ratios!J10 - Annual_return_and_ratios!J109)</f>
        <v>0.6242143302</v>
      </c>
      <c r="K76" s="7">
        <f>ABS(Annual_return_and_ratios!K10 - Annual_return_and_ratios!K109)</f>
        <v>0.6261143832</v>
      </c>
      <c r="L76" s="7">
        <f>ABS(Annual_return_and_ratios!L10 - Annual_return_and_ratios!L109)</f>
        <v>0.6254030312</v>
      </c>
      <c r="M76" s="7">
        <f>ABS(Annual_return_and_ratios!M10 - Annual_return_and_ratios!M109)</f>
        <v>0.6213058202</v>
      </c>
    </row>
    <row r="77">
      <c r="A77" s="10" t="s">
        <v>12</v>
      </c>
      <c r="B77" s="7">
        <f>ABS(Annual_return_and_ratios!B11 - Annual_return_and_ratios!B110)</f>
        <v>0.5172083141</v>
      </c>
      <c r="C77" s="7">
        <f>ABS(Annual_return_and_ratios!C11 - Annual_return_and_ratios!C110)</f>
        <v>0.5199290512</v>
      </c>
      <c r="D77" s="7">
        <f>ABS(Annual_return_and_ratios!D11 - Annual_return_and_ratios!D110)</f>
        <v>0.4943982062</v>
      </c>
      <c r="E77" s="7">
        <f>ABS(Annual_return_and_ratios!E11 - Annual_return_and_ratios!E110)</f>
        <v>0.5342627595</v>
      </c>
      <c r="F77" s="7">
        <f>ABS(Annual_return_and_ratios!F11 - Annual_return_and_ratios!F110)</f>
        <v>0.5158192765</v>
      </c>
      <c r="G77" s="7">
        <f>ABS(Annual_return_and_ratios!G11 - Annual_return_and_ratios!G110)</f>
        <v>0.4964568949</v>
      </c>
      <c r="H77" s="7">
        <f>ABS(Annual_return_and_ratios!H11 - Annual_return_and_ratios!H110)</f>
        <v>0.449607352</v>
      </c>
      <c r="I77" s="7">
        <f>ABS(Annual_return_and_ratios!I11 - Annual_return_and_ratios!I110)</f>
        <v>0.4156842105</v>
      </c>
      <c r="J77" s="7">
        <f>ABS(Annual_return_and_ratios!J11 - Annual_return_and_ratios!J110)</f>
        <v>0.4079179784</v>
      </c>
      <c r="K77" s="7">
        <f>ABS(Annual_return_and_ratios!K11 - Annual_return_and_ratios!K110)</f>
        <v>0.3896981434</v>
      </c>
      <c r="L77" s="7">
        <f>ABS(Annual_return_and_ratios!L11 - Annual_return_and_ratios!L110)</f>
        <v>0.3825969095</v>
      </c>
      <c r="M77" s="7">
        <f>ABS(Annual_return_and_ratios!M11 - Annual_return_and_ratios!M110)</f>
        <v>0.3836551212</v>
      </c>
    </row>
    <row r="78">
      <c r="A78" s="10" t="s">
        <v>13</v>
      </c>
      <c r="B78" s="7">
        <f>ABS(Annual_return_and_ratios!B12 - Annual_return_and_ratios!B111)</f>
        <v>0.8970073128</v>
      </c>
      <c r="C78" s="7">
        <f>ABS(Annual_return_and_ratios!C12 - Annual_return_and_ratios!C111)</f>
        <v>0.8627292642</v>
      </c>
      <c r="D78" s="7">
        <f>ABS(Annual_return_and_ratios!D12 - Annual_return_and_ratios!D111)</f>
        <v>0.8692988304</v>
      </c>
      <c r="E78" s="7">
        <f>ABS(Annual_return_and_ratios!E12 - Annual_return_and_ratios!E111)</f>
        <v>0.8205191484</v>
      </c>
      <c r="F78" s="7">
        <f>ABS(Annual_return_and_ratios!F12 - Annual_return_and_ratios!F111)</f>
        <v>0.656959146</v>
      </c>
      <c r="G78" s="7">
        <f>ABS(Annual_return_and_ratios!G12 - Annual_return_and_ratios!G111)</f>
        <v>0.4097968712</v>
      </c>
      <c r="H78" s="7">
        <f>ABS(Annual_return_and_ratios!H12 - Annual_return_and_ratios!H111)</f>
        <v>0.1993568697</v>
      </c>
      <c r="I78" s="7">
        <f>ABS(Annual_return_and_ratios!I12 - Annual_return_and_ratios!I111)</f>
        <v>0.4370694446</v>
      </c>
      <c r="J78" s="7">
        <f>ABS(Annual_return_and_ratios!J12 - Annual_return_and_ratios!J111)</f>
        <v>0.5520880112</v>
      </c>
      <c r="K78" s="7">
        <f>ABS(Annual_return_and_ratios!K12 - Annual_return_and_ratios!K111)</f>
        <v>0.5885287097</v>
      </c>
      <c r="L78" s="7">
        <f>ABS(Annual_return_and_ratios!L12 - Annual_return_and_ratios!L111)</f>
        <v>0.7110599818</v>
      </c>
      <c r="M78" s="7">
        <f>ABS(Annual_return_and_ratios!M12 - Annual_return_and_ratios!M111)</f>
        <v>0.7121221719</v>
      </c>
    </row>
    <row r="79">
      <c r="A79" s="10" t="s">
        <v>14</v>
      </c>
      <c r="B79" s="7">
        <f>ABS(Annual_return_and_ratios!B13 - Annual_return_and_ratios!B112)</f>
        <v>0.4961736661</v>
      </c>
      <c r="C79" s="7">
        <f>ABS(Annual_return_and_ratios!C13 - Annual_return_and_ratios!C112)</f>
        <v>0.5172150853</v>
      </c>
      <c r="D79" s="7">
        <f>ABS(Annual_return_and_ratios!D13 - Annual_return_and_ratios!D112)</f>
        <v>0.5233575172</v>
      </c>
      <c r="E79" s="7">
        <f>ABS(Annual_return_and_ratios!E13 - Annual_return_and_ratios!E112)</f>
        <v>0.5314756421</v>
      </c>
      <c r="F79" s="7">
        <f>ABS(Annual_return_and_ratios!F13 - Annual_return_and_ratios!F112)</f>
        <v>0.525695308</v>
      </c>
      <c r="G79" s="7">
        <f>ABS(Annual_return_and_ratios!G13 - Annual_return_and_ratios!G112)</f>
        <v>0.5733461584</v>
      </c>
      <c r="H79" s="7">
        <f>ABS(Annual_return_and_ratios!H13 - Annual_return_and_ratios!H112)</f>
        <v>0.5511297153</v>
      </c>
      <c r="I79" s="7">
        <f>ABS(Annual_return_and_ratios!I13 - Annual_return_and_ratios!I112)</f>
        <v>0.6979928446</v>
      </c>
      <c r="J79" s="7">
        <f>ABS(Annual_return_and_ratios!J13 - Annual_return_and_ratios!J112)</f>
        <v>0.6620764315</v>
      </c>
      <c r="K79" s="7">
        <f>ABS(Annual_return_and_ratios!K13 - Annual_return_and_ratios!K112)</f>
        <v>0.6588324704</v>
      </c>
      <c r="L79" s="7">
        <f>ABS(Annual_return_and_ratios!L13 - Annual_return_and_ratios!L112)</f>
        <v>0.693057558</v>
      </c>
      <c r="M79" s="7">
        <f>ABS(Annual_return_and_ratios!M13 - Annual_return_and_ratios!M112)</f>
        <v>0.6429909793</v>
      </c>
    </row>
    <row r="80">
      <c r="A80" s="10" t="s">
        <v>15</v>
      </c>
      <c r="B80" s="7">
        <f>ABS(Annual_return_and_ratios!B14 - Annual_return_and_ratios!B113)</f>
        <v>0.9991998316</v>
      </c>
      <c r="C80" s="7">
        <f>ABS(Annual_return_and_ratios!C14 - Annual_return_and_ratios!C113)</f>
        <v>0.9010880908</v>
      </c>
      <c r="D80" s="7">
        <f>ABS(Annual_return_and_ratios!D14 - Annual_return_and_ratios!D113)</f>
        <v>0.8132151355</v>
      </c>
      <c r="E80" s="7">
        <f>ABS(Annual_return_and_ratios!E14 - Annual_return_and_ratios!E113)</f>
        <v>0.7776612256</v>
      </c>
      <c r="F80" s="7">
        <f>ABS(Annual_return_and_ratios!F14 - Annual_return_and_ratios!F113)</f>
        <v>0.8237102521</v>
      </c>
      <c r="G80" s="7">
        <f>ABS(Annual_return_and_ratios!G14 - Annual_return_and_ratios!G113)</f>
        <v>1.023539072</v>
      </c>
      <c r="H80" s="7">
        <f>ABS(Annual_return_and_ratios!H14 - Annual_return_and_ratios!H113)</f>
        <v>0.8134960802</v>
      </c>
      <c r="I80" s="7">
        <f>ABS(Annual_return_and_ratios!I14 - Annual_return_and_ratios!I113)</f>
        <v>0.8366228479</v>
      </c>
      <c r="J80" s="7">
        <f>ABS(Annual_return_and_ratios!J14 - Annual_return_and_ratios!J113)</f>
        <v>0.7375736894</v>
      </c>
      <c r="K80" s="7">
        <f>ABS(Annual_return_and_ratios!K14 - Annual_return_and_ratios!K113)</f>
        <v>0.7502611397</v>
      </c>
      <c r="L80" s="7">
        <f>ABS(Annual_return_and_ratios!L14 - Annual_return_and_ratios!L113)</f>
        <v>0.7796403116</v>
      </c>
      <c r="M80" s="7">
        <f>ABS(Annual_return_and_ratios!M14 - Annual_return_and_ratios!M113)</f>
        <v>0.7784204097</v>
      </c>
    </row>
    <row r="81">
      <c r="A81" s="10" t="s">
        <v>16</v>
      </c>
      <c r="B81" s="7">
        <f>ABS(Annual_return_and_ratios!B15 - Annual_return_and_ratios!B114)</f>
        <v>0.9822859768</v>
      </c>
      <c r="C81" s="7">
        <f>ABS(Annual_return_and_ratios!C15 - Annual_return_and_ratios!C114)</f>
        <v>0.9934934412</v>
      </c>
      <c r="D81" s="7">
        <f>ABS(Annual_return_and_ratios!D15 - Annual_return_and_ratios!D114)</f>
        <v>0.9961306539</v>
      </c>
      <c r="E81" s="7">
        <f>ABS(Annual_return_and_ratios!E15 - Annual_return_and_ratios!E114)</f>
        <v>1.000418952</v>
      </c>
      <c r="F81" s="7">
        <f>ABS(Annual_return_and_ratios!F15 - Annual_return_and_ratios!F114)</f>
        <v>0.9125923834</v>
      </c>
      <c r="G81" s="7">
        <f>ABS(Annual_return_and_ratios!G15 - Annual_return_and_ratios!G114)</f>
        <v>0.7972103942</v>
      </c>
      <c r="H81" s="7">
        <f>ABS(Annual_return_and_ratios!H15 - Annual_return_and_ratios!H114)</f>
        <v>0.7140997769</v>
      </c>
      <c r="I81" s="7">
        <f>ABS(Annual_return_and_ratios!I15 - Annual_return_and_ratios!I114)</f>
        <v>0.7455857517</v>
      </c>
      <c r="J81" s="7">
        <f>ABS(Annual_return_and_ratios!J15 - Annual_return_and_ratios!J114)</f>
        <v>0.6682439368</v>
      </c>
      <c r="K81" s="7">
        <f>ABS(Annual_return_and_ratios!K15 - Annual_return_and_ratios!K114)</f>
        <v>0.5081313511</v>
      </c>
      <c r="L81" s="7">
        <f>ABS(Annual_return_and_ratios!L15 - Annual_return_and_ratios!L114)</f>
        <v>0.6727779963</v>
      </c>
      <c r="M81" s="7">
        <f>ABS(Annual_return_and_ratios!M15 - Annual_return_and_ratios!M114)</f>
        <v>0.6291580293</v>
      </c>
    </row>
    <row r="82">
      <c r="A82" s="10" t="s">
        <v>17</v>
      </c>
      <c r="B82" s="7">
        <f>ABS(Annual_return_and_ratios!B16 - Annual_return_and_ratios!B115)</f>
        <v>0.207071114</v>
      </c>
      <c r="C82" s="7">
        <f>ABS(Annual_return_and_ratios!C16 - Annual_return_and_ratios!C115)</f>
        <v>0.1579198665</v>
      </c>
      <c r="D82" s="7">
        <f>ABS(Annual_return_and_ratios!D16 - Annual_return_and_ratios!D115)</f>
        <v>0.1776766662</v>
      </c>
      <c r="E82" s="7">
        <f>ABS(Annual_return_and_ratios!E16 - Annual_return_and_ratios!E115)</f>
        <v>0.1680068681</v>
      </c>
      <c r="F82" s="7">
        <f>ABS(Annual_return_and_ratios!F16 - Annual_return_and_ratios!F115)</f>
        <v>0.2331269964</v>
      </c>
      <c r="G82" s="7">
        <f>ABS(Annual_return_and_ratios!G16 - Annual_return_and_ratios!G115)</f>
        <v>0.2491110183</v>
      </c>
      <c r="H82" s="7">
        <f>ABS(Annual_return_and_ratios!H16 - Annual_return_and_ratios!H115)</f>
        <v>0.2194458663</v>
      </c>
      <c r="I82" s="7">
        <f>ABS(Annual_return_and_ratios!I16 - Annual_return_and_ratios!I115)</f>
        <v>0.1860518946</v>
      </c>
      <c r="J82" s="7">
        <f>ABS(Annual_return_and_ratios!J16 - Annual_return_and_ratios!J115)</f>
        <v>0.1557240846</v>
      </c>
      <c r="K82" s="7">
        <f>ABS(Annual_return_and_ratios!K16 - Annual_return_and_ratios!K115)</f>
        <v>0.1795118158</v>
      </c>
      <c r="L82" s="7">
        <f>ABS(Annual_return_and_ratios!L16 - Annual_return_and_ratios!L115)</f>
        <v>0.1249736829</v>
      </c>
      <c r="M82" s="7">
        <f>ABS(Annual_return_and_ratios!M16 - Annual_return_and_ratios!M115)</f>
        <v>0.1242509886</v>
      </c>
    </row>
    <row r="83">
      <c r="A83" s="10" t="s">
        <v>18</v>
      </c>
      <c r="B83" s="7">
        <f>ABS(Annual_return_and_ratios!B17 - Annual_return_and_ratios!B116)</f>
        <v>0.2066531912</v>
      </c>
      <c r="C83" s="7">
        <f>ABS(Annual_return_and_ratios!C17 - Annual_return_and_ratios!C116)</f>
        <v>0.1952095003</v>
      </c>
      <c r="D83" s="7">
        <f>ABS(Annual_return_and_ratios!D17 - Annual_return_and_ratios!D116)</f>
        <v>0.2062357033</v>
      </c>
      <c r="E83" s="7">
        <f>ABS(Annual_return_and_ratios!E17 - Annual_return_and_ratios!E116)</f>
        <v>0.1663888888</v>
      </c>
      <c r="F83" s="7">
        <f>ABS(Annual_return_and_ratios!F17 - Annual_return_and_ratios!F116)</f>
        <v>0.09350722891</v>
      </c>
      <c r="G83" s="7">
        <f>ABS(Annual_return_and_ratios!G17 - Annual_return_and_ratios!G116)</f>
        <v>0.05388820998</v>
      </c>
      <c r="H83" s="7">
        <f>ABS(Annual_return_and_ratios!H17 - Annual_return_and_ratios!H116)</f>
        <v>0.1329459494</v>
      </c>
      <c r="I83" s="7">
        <f>ABS(Annual_return_and_ratios!I17 - Annual_return_and_ratios!I116)</f>
        <v>0.2070079377</v>
      </c>
      <c r="J83" s="7">
        <f>ABS(Annual_return_and_ratios!J17 - Annual_return_and_ratios!J116)</f>
        <v>0.09322080036</v>
      </c>
      <c r="K83" s="7">
        <f>ABS(Annual_return_and_ratios!K17 - Annual_return_and_ratios!K116)</f>
        <v>0.08789170532</v>
      </c>
      <c r="L83" s="7">
        <f>ABS(Annual_return_and_ratios!L17 - Annual_return_and_ratios!L116)</f>
        <v>0.07287848335</v>
      </c>
      <c r="M83" s="7">
        <f>ABS(Annual_return_and_ratios!M17 - Annual_return_and_ratios!M116)</f>
        <v>0.1474829483</v>
      </c>
    </row>
    <row r="84">
      <c r="A84" s="10" t="s">
        <v>19</v>
      </c>
      <c r="B84" s="7">
        <f>ABS(Annual_return_and_ratios!B18 - Annual_return_and_ratios!B117)</f>
        <v>0.2852441553</v>
      </c>
      <c r="C84" s="7">
        <f>ABS(Annual_return_and_ratios!C18 - Annual_return_and_ratios!C117)</f>
        <v>0.2409939894</v>
      </c>
      <c r="D84" s="7">
        <f>ABS(Annual_return_and_ratios!D18 - Annual_return_and_ratios!D117)</f>
        <v>0.1892148694</v>
      </c>
      <c r="E84" s="7">
        <f>ABS(Annual_return_and_ratios!E18 - Annual_return_and_ratios!E117)</f>
        <v>0.1021480031</v>
      </c>
      <c r="F84" s="7">
        <f>ABS(Annual_return_and_ratios!F18 - Annual_return_and_ratios!F117)</f>
        <v>0.1308868874</v>
      </c>
      <c r="G84" s="7">
        <f>ABS(Annual_return_and_ratios!G18 - Annual_return_and_ratios!G117)</f>
        <v>0.2379067658</v>
      </c>
      <c r="H84" s="7">
        <f>ABS(Annual_return_and_ratios!H18 - Annual_return_and_ratios!H117)</f>
        <v>0.2817014949</v>
      </c>
      <c r="I84" s="7">
        <f>ABS(Annual_return_and_ratios!I18 - Annual_return_and_ratios!I117)</f>
        <v>0.2595195962</v>
      </c>
      <c r="J84" s="7">
        <f>ABS(Annual_return_and_ratios!J18 - Annual_return_and_ratios!J117)</f>
        <v>0.2847600436</v>
      </c>
      <c r="K84" s="7">
        <f>ABS(Annual_return_and_ratios!K18 - Annual_return_and_ratios!K117)</f>
        <v>0.2751566793</v>
      </c>
      <c r="L84" s="7">
        <f>ABS(Annual_return_and_ratios!L18 - Annual_return_and_ratios!L117)</f>
        <v>0.1606652596</v>
      </c>
      <c r="M84" s="7">
        <f>ABS(Annual_return_and_ratios!M18 - Annual_return_and_ratios!M117)</f>
        <v>0.1347269886</v>
      </c>
    </row>
    <row r="85">
      <c r="A85" s="10" t="s">
        <v>20</v>
      </c>
      <c r="B85" s="7">
        <f>ABS(Annual_return_and_ratios!B19 - Annual_return_and_ratios!B118)</f>
        <v>0.3482484069</v>
      </c>
      <c r="C85" s="7">
        <f>ABS(Annual_return_and_ratios!C19 - Annual_return_and_ratios!C118)</f>
        <v>0.27197059</v>
      </c>
      <c r="D85" s="7">
        <f>ABS(Annual_return_and_ratios!D19 - Annual_return_and_ratios!D118)</f>
        <v>0.249271966</v>
      </c>
      <c r="E85" s="7">
        <f>ABS(Annual_return_and_ratios!E19 - Annual_return_and_ratios!E118)</f>
        <v>0.3380646191</v>
      </c>
      <c r="F85" s="7">
        <f>ABS(Annual_return_and_ratios!F19 - Annual_return_and_ratios!F118)</f>
        <v>0.3587308596</v>
      </c>
      <c r="G85" s="7">
        <f>ABS(Annual_return_and_ratios!G19 - Annual_return_and_ratios!G118)</f>
        <v>0.3495807799</v>
      </c>
      <c r="H85" s="7">
        <f>ABS(Annual_return_and_ratios!H19 - Annual_return_and_ratios!H118)</f>
        <v>0.4032379187</v>
      </c>
      <c r="I85" s="7">
        <f>ABS(Annual_return_and_ratios!I19 - Annual_return_and_ratios!I118)</f>
        <v>0.3390381513</v>
      </c>
      <c r="J85" s="7">
        <f>ABS(Annual_return_and_ratios!J19 - Annual_return_and_ratios!J118)</f>
        <v>0.347339512</v>
      </c>
      <c r="K85" s="7">
        <f>ABS(Annual_return_and_ratios!K19 - Annual_return_and_ratios!K118)</f>
        <v>0.4480469887</v>
      </c>
      <c r="L85" s="7">
        <f>ABS(Annual_return_and_ratios!L19 - Annual_return_and_ratios!L118)</f>
        <v>0.3516261089</v>
      </c>
      <c r="M85" s="7">
        <f>ABS(Annual_return_and_ratios!M19 - Annual_return_and_ratios!M118)</f>
        <v>0.4480773919</v>
      </c>
    </row>
    <row r="86">
      <c r="A86" s="10" t="s">
        <v>21</v>
      </c>
      <c r="B86" s="7">
        <f>ABS(Annual_return_and_ratios!B20 - Annual_return_and_ratios!B119)</f>
        <v>0.9991685359</v>
      </c>
      <c r="C86" s="7">
        <f>ABS(Annual_return_and_ratios!C20 - Annual_return_and_ratios!C119)</f>
        <v>0.9536039246</v>
      </c>
      <c r="D86" s="7">
        <f>ABS(Annual_return_and_ratios!D20 - Annual_return_and_ratios!D119)</f>
        <v>0.9923660752</v>
      </c>
      <c r="E86" s="7">
        <f>ABS(Annual_return_and_ratios!E20 - Annual_return_and_ratios!E119)</f>
        <v>0.9695383948</v>
      </c>
      <c r="F86" s="7">
        <f>ABS(Annual_return_and_ratios!F20 - Annual_return_and_ratios!F119)</f>
        <v>0.9031182996</v>
      </c>
      <c r="G86" s="7">
        <f>ABS(Annual_return_and_ratios!G20 - Annual_return_and_ratios!G119)</f>
        <v>0.9167060176</v>
      </c>
      <c r="H86" s="7">
        <f>ABS(Annual_return_and_ratios!H20 - Annual_return_and_ratios!H119)</f>
        <v>0.8742693057</v>
      </c>
      <c r="I86" s="7">
        <f>ABS(Annual_return_and_ratios!I20 - Annual_return_and_ratios!I119)</f>
        <v>0.8389154943</v>
      </c>
      <c r="J86" s="7">
        <f>ABS(Annual_return_and_ratios!J20 - Annual_return_and_ratios!J119)</f>
        <v>0.8579775828</v>
      </c>
      <c r="K86" s="7">
        <f>ABS(Annual_return_and_ratios!K20 - Annual_return_and_ratios!K119)</f>
        <v>0.8858039837</v>
      </c>
      <c r="L86" s="7">
        <f>ABS(Annual_return_and_ratios!L20 - Annual_return_and_ratios!L119)</f>
        <v>0.8614871248</v>
      </c>
      <c r="M86" s="7">
        <f>ABS(Annual_return_and_ratios!M20 - Annual_return_and_ratios!M119)</f>
        <v>0.8978753815</v>
      </c>
    </row>
    <row r="87">
      <c r="A87" s="10" t="s">
        <v>22</v>
      </c>
      <c r="B87" s="7">
        <f>ABS(Annual_return_and_ratios!B21 - Annual_return_and_ratios!B120)</f>
        <v>0.2617525799</v>
      </c>
      <c r="C87" s="7">
        <f>ABS(Annual_return_and_ratios!C21 - Annual_return_and_ratios!C120)</f>
        <v>0.2307946544</v>
      </c>
      <c r="D87" s="7">
        <f>ABS(Annual_return_and_ratios!D21 - Annual_return_and_ratios!D120)</f>
        <v>0.2580533526</v>
      </c>
      <c r="E87" s="7">
        <f>ABS(Annual_return_and_ratios!E21 - Annual_return_and_ratios!E120)</f>
        <v>0.263332994</v>
      </c>
      <c r="F87" s="7">
        <f>ABS(Annual_return_and_ratios!F21 - Annual_return_and_ratios!F120)</f>
        <v>0.288722285</v>
      </c>
      <c r="G87" s="7">
        <f>ABS(Annual_return_and_ratios!G21 - Annual_return_and_ratios!G120)</f>
        <v>0.2063572409</v>
      </c>
      <c r="H87" s="7">
        <f>ABS(Annual_return_and_ratios!H21 - Annual_return_and_ratios!H120)</f>
        <v>0.1645325185</v>
      </c>
      <c r="I87" s="7">
        <f>ABS(Annual_return_and_ratios!I21 - Annual_return_and_ratios!I120)</f>
        <v>0.2494027489</v>
      </c>
      <c r="J87" s="7">
        <f>ABS(Annual_return_and_ratios!J21 - Annual_return_and_ratios!J120)</f>
        <v>0.2705959704</v>
      </c>
      <c r="K87" s="7">
        <f>ABS(Annual_return_and_ratios!K21 - Annual_return_and_ratios!K120)</f>
        <v>0.3010369313</v>
      </c>
      <c r="L87" s="7">
        <f>ABS(Annual_return_and_ratios!L21 - Annual_return_and_ratios!L120)</f>
        <v>0.1890095464</v>
      </c>
      <c r="M87" s="7">
        <f>ABS(Annual_return_and_ratios!M21 - Annual_return_and_ratios!M120)</f>
        <v>0.1258265705</v>
      </c>
    </row>
    <row r="88">
      <c r="A88" s="10" t="s">
        <v>23</v>
      </c>
      <c r="B88" s="7">
        <f>ABS(Annual_return_and_ratios!B22 - Annual_return_and_ratios!B121)</f>
        <v>0.4931427569</v>
      </c>
      <c r="C88" s="7">
        <f>ABS(Annual_return_and_ratios!C22 - Annual_return_and_ratios!C121)</f>
        <v>0.4417890359</v>
      </c>
      <c r="D88" s="7">
        <f>ABS(Annual_return_and_ratios!D22 - Annual_return_and_ratios!D121)</f>
        <v>0.4852194672</v>
      </c>
      <c r="E88" s="7">
        <f>ABS(Annual_return_and_ratios!E22 - Annual_return_and_ratios!E121)</f>
        <v>0.3511469587</v>
      </c>
      <c r="F88" s="7">
        <f>ABS(Annual_return_and_ratios!F22 - Annual_return_and_ratios!F121)</f>
        <v>0.1980564257</v>
      </c>
      <c r="G88" s="7">
        <f>ABS(Annual_return_and_ratios!G22 - Annual_return_and_ratios!G121)</f>
        <v>0.2216619978</v>
      </c>
      <c r="H88" s="7">
        <f>ABS(Annual_return_and_ratios!H22 - Annual_return_and_ratios!H121)</f>
        <v>0.002838293843</v>
      </c>
      <c r="I88" s="7">
        <f>ABS(Annual_return_and_ratios!I22 - Annual_return_and_ratios!I121)</f>
        <v>0.01174835945</v>
      </c>
      <c r="J88" s="7">
        <f>ABS(Annual_return_and_ratios!J22 - Annual_return_and_ratios!J121)</f>
        <v>0.03405140098</v>
      </c>
      <c r="K88" s="7">
        <f>ABS(Annual_return_and_ratios!K22 - Annual_return_and_ratios!K121)</f>
        <v>0.1883100746</v>
      </c>
      <c r="L88" s="7">
        <f>ABS(Annual_return_and_ratios!L22 - Annual_return_and_ratios!L121)</f>
        <v>0.2185163148</v>
      </c>
      <c r="M88" s="7">
        <f>ABS(Annual_return_and_ratios!M22 - Annual_return_and_ratios!M121)</f>
        <v>0.2241565348</v>
      </c>
    </row>
    <row r="89">
      <c r="A89" s="10" t="s">
        <v>24</v>
      </c>
      <c r="B89" s="7">
        <f>ABS(Annual_return_and_ratios!B23 - Annual_return_and_ratios!B122)</f>
        <v>0.6417021481</v>
      </c>
      <c r="C89" s="7">
        <f>ABS(Annual_return_and_ratios!C23 - Annual_return_and_ratios!C122)</f>
        <v>0.5715642942</v>
      </c>
      <c r="D89" s="7">
        <f>ABS(Annual_return_and_ratios!D23 - Annual_return_and_ratios!D122)</f>
        <v>0.5949246901</v>
      </c>
      <c r="E89" s="7">
        <f>ABS(Annual_return_and_ratios!E23 - Annual_return_and_ratios!E122)</f>
        <v>0.2249328889</v>
      </c>
      <c r="F89" s="7">
        <f>ABS(Annual_return_and_ratios!F23 - Annual_return_and_ratios!F122)</f>
        <v>0.1529661026</v>
      </c>
      <c r="G89" s="7">
        <f>ABS(Annual_return_and_ratios!G23 - Annual_return_and_ratios!G122)</f>
        <v>0.4068844937</v>
      </c>
      <c r="H89" s="7">
        <f>ABS(Annual_return_and_ratios!H23 - Annual_return_and_ratios!H122)</f>
        <v>0.3271887085</v>
      </c>
      <c r="I89" s="7">
        <f>ABS(Annual_return_and_ratios!I23 - Annual_return_and_ratios!I122)</f>
        <v>0.3220647743</v>
      </c>
      <c r="J89" s="7">
        <f>ABS(Annual_return_and_ratios!J23 - Annual_return_and_ratios!J122)</f>
        <v>0.7957749123</v>
      </c>
      <c r="K89" s="7">
        <f>ABS(Annual_return_and_ratios!K23 - Annual_return_and_ratios!K122)</f>
        <v>0.6239921735</v>
      </c>
      <c r="L89" s="7">
        <f>ABS(Annual_return_and_ratios!L23 - Annual_return_and_ratios!L122)</f>
        <v>0.5718915989</v>
      </c>
      <c r="M89" s="7">
        <f>ABS(Annual_return_and_ratios!M23 - Annual_return_and_ratios!M122)</f>
        <v>0.7173854673</v>
      </c>
    </row>
    <row r="90">
      <c r="A90" s="10" t="s">
        <v>25</v>
      </c>
      <c r="B90" s="7">
        <f>ABS(Annual_return_and_ratios!B24 - Annual_return_and_ratios!B123)</f>
        <v>0.10148007</v>
      </c>
      <c r="C90" s="7">
        <f>ABS(Annual_return_and_ratios!C24 - Annual_return_and_ratios!C123)</f>
        <v>0.0953507499</v>
      </c>
      <c r="D90" s="7">
        <f>ABS(Annual_return_and_ratios!D24 - Annual_return_and_ratios!D123)</f>
        <v>0.1175405141</v>
      </c>
      <c r="E90" s="7">
        <f>ABS(Annual_return_and_ratios!E24 - Annual_return_and_ratios!E123)</f>
        <v>0.1792926486</v>
      </c>
      <c r="F90" s="7">
        <f>ABS(Annual_return_and_ratios!F24 - Annual_return_and_ratios!F123)</f>
        <v>0.5495296692</v>
      </c>
      <c r="G90" s="7">
        <f>ABS(Annual_return_and_ratios!G24 - Annual_return_and_ratios!G123)</f>
        <v>0.04388831226</v>
      </c>
      <c r="H90" s="7">
        <f>ABS(Annual_return_and_ratios!H24 - Annual_return_and_ratios!H123)</f>
        <v>0.06030117451</v>
      </c>
      <c r="I90" s="7">
        <f>ABS(Annual_return_and_ratios!I24 - Annual_return_and_ratios!I123)</f>
        <v>0.03020917814</v>
      </c>
      <c r="J90" s="7">
        <f>ABS(Annual_return_and_ratios!J24 - Annual_return_and_ratios!J123)</f>
        <v>0.09872374549</v>
      </c>
      <c r="K90" s="7">
        <f>ABS(Annual_return_and_ratios!K24 - Annual_return_and_ratios!K123)</f>
        <v>0.02578860775</v>
      </c>
      <c r="L90" s="7">
        <f>ABS(Annual_return_and_ratios!L24 - Annual_return_and_ratios!L123)</f>
        <v>0.022242489</v>
      </c>
      <c r="M90" s="7">
        <f>ABS(Annual_return_and_ratios!M24 - Annual_return_and_ratios!M123)</f>
        <v>0.0128461412</v>
      </c>
    </row>
    <row r="91">
      <c r="A91" s="10" t="s">
        <v>26</v>
      </c>
      <c r="B91" s="7">
        <f>ABS(Annual_return_and_ratios!B25 - Annual_return_and_ratios!B124)</f>
        <v>0.02563424147</v>
      </c>
      <c r="C91" s="7">
        <f>ABS(Annual_return_and_ratios!C25 - Annual_return_and_ratios!C124)</f>
        <v>0.0338611428</v>
      </c>
      <c r="D91" s="7">
        <f>ABS(Annual_return_and_ratios!D25 - Annual_return_and_ratios!D124)</f>
        <v>0.08947087593</v>
      </c>
      <c r="E91" s="7">
        <f>ABS(Annual_return_and_ratios!E25 - Annual_return_and_ratios!E124)</f>
        <v>0.4730537429</v>
      </c>
      <c r="F91" s="7">
        <f>ABS(Annual_return_and_ratios!F25 - Annual_return_and_ratios!F124)</f>
        <v>0.03577078823</v>
      </c>
      <c r="G91" s="7">
        <f>ABS(Annual_return_and_ratios!G25 - Annual_return_and_ratios!G124)</f>
        <v>0.04081887056</v>
      </c>
      <c r="H91" s="7">
        <f>ABS(Annual_return_and_ratios!H25 - Annual_return_and_ratios!H124)</f>
        <v>0.1701234526</v>
      </c>
      <c r="I91" s="7">
        <f>ABS(Annual_return_and_ratios!I25 - Annual_return_and_ratios!I124)</f>
        <v>0.3846880918</v>
      </c>
      <c r="J91" s="7">
        <f>ABS(Annual_return_and_ratios!J25 - Annual_return_and_ratios!J124)</f>
        <v>0.03596726386</v>
      </c>
      <c r="K91" s="7">
        <f>ABS(Annual_return_and_ratios!K25 - Annual_return_and_ratios!K124)</f>
        <v>0.009808201644</v>
      </c>
      <c r="L91" s="7">
        <f>ABS(Annual_return_and_ratios!L25 - Annual_return_and_ratios!L124)</f>
        <v>0.01344355111</v>
      </c>
      <c r="M91" s="7">
        <f>ABS(Annual_return_and_ratios!M25 - Annual_return_and_ratios!M124)</f>
        <v>0.02820769133</v>
      </c>
    </row>
    <row r="92">
      <c r="A92" s="10" t="s">
        <v>27</v>
      </c>
      <c r="B92" s="7">
        <f>ABS(Annual_return_and_ratios!B26 - Annual_return_and_ratios!B125)</f>
        <v>0.5919300954</v>
      </c>
      <c r="C92" s="7">
        <f>ABS(Annual_return_and_ratios!C26 - Annual_return_and_ratios!C125)</f>
        <v>0.57417712</v>
      </c>
      <c r="D92" s="7">
        <f>ABS(Annual_return_and_ratios!D26 - Annual_return_and_ratios!D125)</f>
        <v>0.5890647664</v>
      </c>
      <c r="E92" s="7">
        <f>ABS(Annual_return_and_ratios!E26 - Annual_return_and_ratios!E125)</f>
        <v>0.6059867428</v>
      </c>
      <c r="F92" s="7">
        <f>ABS(Annual_return_and_ratios!F26 - Annual_return_and_ratios!F125)</f>
        <v>0.5640876715</v>
      </c>
      <c r="G92" s="7">
        <f>ABS(Annual_return_and_ratios!G26 - Annual_return_and_ratios!G125)</f>
        <v>0.6464237083</v>
      </c>
      <c r="H92" s="7">
        <f>ABS(Annual_return_and_ratios!H26 - Annual_return_and_ratios!H125)</f>
        <v>0.6372047505</v>
      </c>
      <c r="I92" s="7">
        <f>ABS(Annual_return_and_ratios!I26 - Annual_return_and_ratios!I125)</f>
        <v>0.6335929985</v>
      </c>
      <c r="J92" s="7">
        <f>ABS(Annual_return_and_ratios!J26 - Annual_return_and_ratios!J125)</f>
        <v>0.6947405533</v>
      </c>
      <c r="K92" s="7">
        <f>ABS(Annual_return_and_ratios!K26 - Annual_return_and_ratios!K125)</f>
        <v>0.694793542</v>
      </c>
      <c r="L92" s="7">
        <f>ABS(Annual_return_and_ratios!L26 - Annual_return_and_ratios!L125)</f>
        <v>0.6395327862</v>
      </c>
      <c r="M92" s="7">
        <f>ABS(Annual_return_and_ratios!M26 - Annual_return_and_ratios!M125)</f>
        <v>0.7010297836</v>
      </c>
    </row>
    <row r="93">
      <c r="A93" s="10" t="s">
        <v>28</v>
      </c>
      <c r="B93" s="7">
        <f>ABS(Annual_return_and_ratios!B27 - Annual_return_and_ratios!B126)</f>
        <v>0.2226094653</v>
      </c>
      <c r="C93" s="7">
        <f>ABS(Annual_return_and_ratios!C27 - Annual_return_and_ratios!C126)</f>
        <v>0.112141011</v>
      </c>
      <c r="D93" s="7">
        <f>ABS(Annual_return_and_ratios!D27 - Annual_return_and_ratios!D126)</f>
        <v>0.2900998507</v>
      </c>
      <c r="E93" s="7">
        <f>ABS(Annual_return_and_ratios!E27 - Annual_return_and_ratios!E126)</f>
        <v>0.3413199924</v>
      </c>
      <c r="F93" s="7">
        <f>ABS(Annual_return_and_ratios!F27 - Annual_return_and_ratios!F126)</f>
        <v>0.292985289</v>
      </c>
      <c r="G93" s="7">
        <f>ABS(Annual_return_and_ratios!G27 - Annual_return_and_ratios!G126)</f>
        <v>0.3393784131</v>
      </c>
      <c r="H93" s="7">
        <f>ABS(Annual_return_and_ratios!H27 - Annual_return_and_ratios!H126)</f>
        <v>0.3608533903</v>
      </c>
      <c r="I93" s="7">
        <f>ABS(Annual_return_and_ratios!I27 - Annual_return_and_ratios!I126)</f>
        <v>0.3439672463</v>
      </c>
      <c r="J93" s="7">
        <f>ABS(Annual_return_and_ratios!J27 - Annual_return_and_ratios!J126)</f>
        <v>0.2883932289</v>
      </c>
      <c r="K93" s="7">
        <f>ABS(Annual_return_and_ratios!K27 - Annual_return_and_ratios!K126)</f>
        <v>0.3626463941</v>
      </c>
      <c r="L93" s="7">
        <f>ABS(Annual_return_and_ratios!L27 - Annual_return_and_ratios!L126)</f>
        <v>0.3214903138</v>
      </c>
      <c r="M93" s="7">
        <f>ABS(Annual_return_and_ratios!M27 - Annual_return_and_ratios!M126)</f>
        <v>0.4508454024</v>
      </c>
    </row>
    <row r="94">
      <c r="A94" s="10" t="s">
        <v>29</v>
      </c>
      <c r="B94" s="7">
        <f>ABS(Annual_return_and_ratios!B28 - Annual_return_and_ratios!B127)</f>
        <v>0.1737066678</v>
      </c>
      <c r="C94" s="7">
        <f>ABS(Annual_return_and_ratios!C28 - Annual_return_and_ratios!C127)</f>
        <v>0.1648935038</v>
      </c>
      <c r="D94" s="7">
        <f>ABS(Annual_return_and_ratios!D28 - Annual_return_and_ratios!D127)</f>
        <v>0.2334250927</v>
      </c>
      <c r="E94" s="7">
        <f>ABS(Annual_return_and_ratios!E28 - Annual_return_and_ratios!E127)</f>
        <v>0.1831744184</v>
      </c>
      <c r="F94" s="7">
        <f>ABS(Annual_return_and_ratios!F28 - Annual_return_and_ratios!F127)</f>
        <v>0.0776164995</v>
      </c>
      <c r="G94" s="7">
        <f>ABS(Annual_return_and_ratios!G28 - Annual_return_and_ratios!G127)</f>
        <v>0.2140628676</v>
      </c>
      <c r="H94" s="7">
        <f>ABS(Annual_return_and_ratios!H28 - Annual_return_and_ratios!H127)</f>
        <v>0.1885994096</v>
      </c>
      <c r="I94" s="7">
        <f>ABS(Annual_return_and_ratios!I28 - Annual_return_and_ratios!I127)</f>
        <v>0.1366001367</v>
      </c>
      <c r="J94" s="7">
        <f>ABS(Annual_return_and_ratios!J28 - Annual_return_and_ratios!J127)</f>
        <v>0.122064804</v>
      </c>
      <c r="K94" s="7">
        <f>ABS(Annual_return_and_ratios!K28 - Annual_return_and_ratios!K127)</f>
        <v>0.1707461668</v>
      </c>
      <c r="L94" s="7">
        <f>ABS(Annual_return_and_ratios!L28 - Annual_return_and_ratios!L127)</f>
        <v>0.1651156619</v>
      </c>
      <c r="M94" s="7">
        <f>ABS(Annual_return_and_ratios!M28 - Annual_return_and_ratios!M127)</f>
        <v>0.1815236762</v>
      </c>
    </row>
    <row r="95">
      <c r="A95" s="10" t="s">
        <v>30</v>
      </c>
      <c r="B95" s="7">
        <f>ABS(Annual_return_and_ratios!B29 - Annual_return_and_ratios!B128)</f>
        <v>0.2236105972</v>
      </c>
      <c r="C95" s="7">
        <f>ABS(Annual_return_and_ratios!C29 - Annual_return_and_ratios!C128)</f>
        <v>0.2361578259</v>
      </c>
      <c r="D95" s="7">
        <f>ABS(Annual_return_and_ratios!D29 - Annual_return_and_ratios!D128)</f>
        <v>0.09079907752</v>
      </c>
      <c r="E95" s="7">
        <f>ABS(Annual_return_and_ratios!E29 - Annual_return_and_ratios!E128)</f>
        <v>0.04561362774</v>
      </c>
      <c r="F95" s="7">
        <f>ABS(Annual_return_and_ratios!F29 - Annual_return_and_ratios!F128)</f>
        <v>0.04265957489</v>
      </c>
      <c r="G95" s="7">
        <f>ABS(Annual_return_and_ratios!G29 - Annual_return_and_ratios!G128)</f>
        <v>0.06977282047</v>
      </c>
      <c r="H95" s="7">
        <f>ABS(Annual_return_and_ratios!H29 - Annual_return_and_ratios!H128)</f>
        <v>0.102636929</v>
      </c>
      <c r="I95" s="7">
        <f>ABS(Annual_return_and_ratios!I29 - Annual_return_and_ratios!I128)</f>
        <v>0.1265508806</v>
      </c>
      <c r="J95" s="7">
        <f>ABS(Annual_return_and_ratios!J29 - Annual_return_and_ratios!J128)</f>
        <v>0.104034922</v>
      </c>
      <c r="K95" s="7">
        <f>ABS(Annual_return_and_ratios!K29 - Annual_return_and_ratios!K128)</f>
        <v>0.06407227851</v>
      </c>
      <c r="L95" s="7">
        <f>ABS(Annual_return_and_ratios!L29 - Annual_return_and_ratios!L128)</f>
        <v>0.1246032909</v>
      </c>
      <c r="M95" s="7">
        <f>ABS(Annual_return_and_ratios!M29 - Annual_return_and_ratios!M128)</f>
        <v>0.005748469362</v>
      </c>
    </row>
    <row r="96">
      <c r="A96" s="10" t="s">
        <v>31</v>
      </c>
      <c r="B96" s="7">
        <f>ABS(Annual_return_and_ratios!B30 - Annual_return_and_ratios!B129)</f>
        <v>0.2219179441</v>
      </c>
      <c r="C96" s="7">
        <f>ABS(Annual_return_and_ratios!C30 - Annual_return_and_ratios!C129)</f>
        <v>0.2741810731</v>
      </c>
      <c r="D96" s="7">
        <f>ABS(Annual_return_and_ratios!D30 - Annual_return_and_ratios!D129)</f>
        <v>0.2205258948</v>
      </c>
      <c r="E96" s="7">
        <f>ABS(Annual_return_and_ratios!E30 - Annual_return_and_ratios!E129)</f>
        <v>0.4271086594</v>
      </c>
      <c r="F96" s="7">
        <f>ABS(Annual_return_and_ratios!F30 - Annual_return_and_ratios!F129)</f>
        <v>0.3058318666</v>
      </c>
      <c r="G96" s="7">
        <f>ABS(Annual_return_and_ratios!G30 - Annual_return_and_ratios!G129)</f>
        <v>0.4222614058</v>
      </c>
      <c r="H96" s="7">
        <f>ABS(Annual_return_and_ratios!H30 - Annual_return_and_ratios!H129)</f>
        <v>0.1649731629</v>
      </c>
      <c r="I96" s="7">
        <f>ABS(Annual_return_and_ratios!I30 - Annual_return_and_ratios!I129)</f>
        <v>0.2114746753</v>
      </c>
      <c r="J96" s="7">
        <f>ABS(Annual_return_and_ratios!J30 - Annual_return_and_ratios!J129)</f>
        <v>0.3025592252</v>
      </c>
      <c r="K96" s="7">
        <f>ABS(Annual_return_and_ratios!K30 - Annual_return_and_ratios!K129)</f>
        <v>0.2819416669</v>
      </c>
      <c r="L96" s="7">
        <f>ABS(Annual_return_and_ratios!L30 - Annual_return_and_ratios!L129)</f>
        <v>0.2326591284</v>
      </c>
      <c r="M96" s="7">
        <f>ABS(Annual_return_and_ratios!M30 - Annual_return_and_ratios!M129)</f>
        <v>0.2873125554</v>
      </c>
    </row>
    <row r="100">
      <c r="A100" s="9" t="s">
        <v>58</v>
      </c>
      <c r="B100" s="10" t="s">
        <v>59</v>
      </c>
      <c r="C100" s="10" t="s">
        <v>60</v>
      </c>
      <c r="D100" s="10" t="s">
        <v>61</v>
      </c>
      <c r="E100" s="10" t="s">
        <v>62</v>
      </c>
      <c r="F100" s="10" t="s">
        <v>63</v>
      </c>
      <c r="G100" s="10" t="s">
        <v>64</v>
      </c>
      <c r="H100" s="10" t="s">
        <v>65</v>
      </c>
      <c r="I100" s="10" t="s">
        <v>66</v>
      </c>
      <c r="J100" s="10" t="s">
        <v>67</v>
      </c>
      <c r="K100" s="10" t="s">
        <v>68</v>
      </c>
      <c r="L100" s="10" t="s">
        <v>69</v>
      </c>
      <c r="M100" s="10" t="s">
        <v>70</v>
      </c>
    </row>
    <row r="101">
      <c r="A101" s="10" t="s">
        <v>3</v>
      </c>
      <c r="B101" s="7">
        <f>ABS(Annual_return_and_ratios!B2 - Annual_return_and_ratios!B134)</f>
        <v>0.8411945046</v>
      </c>
      <c r="C101" s="7">
        <f>ABS(Annual_return_and_ratios!C2 - Annual_return_and_ratios!C134)</f>
        <v>0.6747159822</v>
      </c>
      <c r="D101" s="7">
        <f>ABS(Annual_return_and_ratios!D2 - Annual_return_and_ratios!D134)</f>
        <v>0.9014783119</v>
      </c>
      <c r="E101" s="7">
        <f>ABS(Annual_return_and_ratios!E2 - Annual_return_and_ratios!E134)</f>
        <v>0.8066355999</v>
      </c>
      <c r="F101" s="7">
        <f>ABS(Annual_return_and_ratios!F2 - Annual_return_and_ratios!F134)</f>
        <v>0.6903685263</v>
      </c>
      <c r="G101" s="7">
        <f>ABS(Annual_return_and_ratios!G2 - Annual_return_and_ratios!G134)</f>
        <v>0.9759798064</v>
      </c>
      <c r="H101" s="7">
        <f>ABS(Annual_return_and_ratios!H2 - Annual_return_and_ratios!H134)</f>
        <v>0.8691496198</v>
      </c>
      <c r="I101" s="7">
        <f>ABS(Annual_return_and_ratios!I2 - Annual_return_and_ratios!I134)</f>
        <v>0.8558391518</v>
      </c>
      <c r="J101" s="7">
        <f>ABS(Annual_return_and_ratios!J2 - Annual_return_and_ratios!J134)</f>
        <v>0.7988465682</v>
      </c>
      <c r="K101" s="7">
        <f>ABS(Annual_return_and_ratios!K2 - Annual_return_and_ratios!K134)</f>
        <v>0.8543921038</v>
      </c>
      <c r="L101" s="7">
        <f>ABS(Annual_return_and_ratios!L2 - Annual_return_and_ratios!L134)</f>
        <v>0.6683197921</v>
      </c>
      <c r="M101" s="7">
        <f>ABS(Annual_return_and_ratios!M2 - Annual_return_and_ratios!M134)</f>
        <v>0.775368844</v>
      </c>
    </row>
    <row r="102">
      <c r="A102" s="10" t="s">
        <v>4</v>
      </c>
      <c r="B102" s="7">
        <f>ABS(Annual_return_and_ratios!B3 - Annual_return_and_ratios!B135)</f>
        <v>0.3916606157</v>
      </c>
      <c r="C102" s="7">
        <f>ABS(Annual_return_and_ratios!C3 - Annual_return_and_ratios!C135)</f>
        <v>0.1919127504</v>
      </c>
      <c r="D102" s="7">
        <f>ABS(Annual_return_and_ratios!D3 - Annual_return_and_ratios!D135)</f>
        <v>0.0812769588</v>
      </c>
      <c r="E102" s="7">
        <f>ABS(Annual_return_and_ratios!E3 - Annual_return_and_ratios!E135)</f>
        <v>0.01768406932</v>
      </c>
      <c r="F102" s="7">
        <f>ABS(Annual_return_and_ratios!F3 - Annual_return_and_ratios!F135)</f>
        <v>0.03472094964</v>
      </c>
      <c r="G102" s="7">
        <f>ABS(Annual_return_and_ratios!G3 - Annual_return_and_ratios!G135)</f>
        <v>0.113637817</v>
      </c>
      <c r="H102" s="7">
        <f>ABS(Annual_return_and_ratios!H3 - Annual_return_and_ratios!H135)</f>
        <v>0.1384933515</v>
      </c>
      <c r="I102" s="7">
        <f>ABS(Annual_return_and_ratios!I3 - Annual_return_and_ratios!I135)</f>
        <v>0.3006324066</v>
      </c>
      <c r="J102" s="7">
        <f>ABS(Annual_return_and_ratios!J3 - Annual_return_and_ratios!J135)</f>
        <v>0.2409871239</v>
      </c>
      <c r="K102" s="7">
        <f>ABS(Annual_return_and_ratios!K3 - Annual_return_and_ratios!K135)</f>
        <v>0.2979230951</v>
      </c>
      <c r="L102" s="7">
        <f>ABS(Annual_return_and_ratios!L3 - Annual_return_and_ratios!L135)</f>
        <v>0.05284489982</v>
      </c>
      <c r="M102" s="7">
        <f>ABS(Annual_return_and_ratios!M3 - Annual_return_and_ratios!M135)</f>
        <v>0.27701352</v>
      </c>
    </row>
    <row r="103">
      <c r="A103" s="10" t="s">
        <v>5</v>
      </c>
      <c r="B103" s="7">
        <f>ABS(Annual_return_and_ratios!B4 - Annual_return_and_ratios!B136)</f>
        <v>0.9561712684</v>
      </c>
      <c r="C103" s="7">
        <f>ABS(Annual_return_and_ratios!C4 - Annual_return_and_ratios!C136)</f>
        <v>0.9293041493</v>
      </c>
      <c r="D103" s="7">
        <f>ABS(Annual_return_and_ratios!D4 - Annual_return_and_ratios!D136)</f>
        <v>0.9296936611</v>
      </c>
      <c r="E103" s="7">
        <f>ABS(Annual_return_and_ratios!E4 - Annual_return_and_ratios!E136)</f>
        <v>0.9444877332</v>
      </c>
      <c r="F103" s="7">
        <f>ABS(Annual_return_and_ratios!F4 - Annual_return_and_ratios!F136)</f>
        <v>0.8901067054</v>
      </c>
      <c r="G103" s="7">
        <f>ABS(Annual_return_and_ratios!G4 - Annual_return_and_ratios!G136)</f>
        <v>1.037791193</v>
      </c>
      <c r="H103" s="7">
        <f>ABS(Annual_return_and_ratios!H4 - Annual_return_and_ratios!H136)</f>
        <v>0.8547172707</v>
      </c>
      <c r="I103" s="7">
        <f>ABS(Annual_return_and_ratios!I4 - Annual_return_and_ratios!I136)</f>
        <v>0.9425453939</v>
      </c>
      <c r="J103" s="7">
        <f>ABS(Annual_return_and_ratios!J4 - Annual_return_and_ratios!J136)</f>
        <v>0.9365036253</v>
      </c>
      <c r="K103" s="7">
        <f>ABS(Annual_return_and_ratios!K4 - Annual_return_and_ratios!K136)</f>
        <v>0.9680247002</v>
      </c>
      <c r="L103" s="7">
        <f>ABS(Annual_return_and_ratios!L4 - Annual_return_and_ratios!L136)</f>
        <v>0.8408070917</v>
      </c>
      <c r="M103" s="7">
        <f>ABS(Annual_return_and_ratios!M4 - Annual_return_and_ratios!M136)</f>
        <v>0.9402881871</v>
      </c>
    </row>
    <row r="104">
      <c r="A104" s="10" t="s">
        <v>6</v>
      </c>
      <c r="B104" s="7">
        <f>ABS(Annual_return_and_ratios!B5 - Annual_return_and_ratios!B137)</f>
        <v>0.7903773688</v>
      </c>
      <c r="C104" s="7">
        <f>ABS(Annual_return_and_ratios!C5 - Annual_return_and_ratios!C137)</f>
        <v>0.7874088028</v>
      </c>
      <c r="D104" s="7">
        <f>ABS(Annual_return_and_ratios!D5 - Annual_return_and_ratios!D137)</f>
        <v>0.8236318751</v>
      </c>
      <c r="E104" s="7">
        <f>ABS(Annual_return_and_ratios!E5 - Annual_return_and_ratios!E137)</f>
        <v>0.6148031372</v>
      </c>
      <c r="F104" s="7">
        <f>ABS(Annual_return_and_ratios!F5 - Annual_return_and_ratios!F137)</f>
        <v>0.7367190641</v>
      </c>
      <c r="G104" s="7">
        <f>ABS(Annual_return_and_ratios!G5 - Annual_return_and_ratios!G137)</f>
        <v>0.9424083226</v>
      </c>
      <c r="H104" s="7">
        <f>ABS(Annual_return_and_ratios!H5 - Annual_return_and_ratios!H137)</f>
        <v>0.7592171879</v>
      </c>
      <c r="I104" s="7">
        <f>ABS(Annual_return_and_ratios!I5 - Annual_return_and_ratios!I137)</f>
        <v>0.8060022846</v>
      </c>
      <c r="J104" s="7">
        <f>ABS(Annual_return_and_ratios!J5 - Annual_return_and_ratios!J137)</f>
        <v>0.7527993381</v>
      </c>
      <c r="K104" s="7">
        <f>ABS(Annual_return_and_ratios!K5 - Annual_return_and_ratios!K137)</f>
        <v>0.9328336306</v>
      </c>
      <c r="L104" s="7">
        <f>ABS(Annual_return_and_ratios!L5 - Annual_return_and_ratios!L137)</f>
        <v>0.8948727454</v>
      </c>
      <c r="M104" s="7">
        <f>ABS(Annual_return_and_ratios!M5 - Annual_return_and_ratios!M137)</f>
        <v>0.9834831675</v>
      </c>
    </row>
    <row r="105">
      <c r="A105" s="10" t="s">
        <v>7</v>
      </c>
      <c r="B105" s="7">
        <f>ABS(Annual_return_and_ratios!B6 - Annual_return_and_ratios!B138)</f>
        <v>0.7080029716</v>
      </c>
      <c r="C105" s="7">
        <f>ABS(Annual_return_and_ratios!C6 - Annual_return_and_ratios!C138)</f>
        <v>0.6978613883</v>
      </c>
      <c r="D105" s="7">
        <f>ABS(Annual_return_and_ratios!D6 - Annual_return_and_ratios!D138)</f>
        <v>0.7081030452</v>
      </c>
      <c r="E105" s="7">
        <f>ABS(Annual_return_and_ratios!E6 - Annual_return_and_ratios!E138)</f>
        <v>0.4374743674</v>
      </c>
      <c r="F105" s="7">
        <f>ABS(Annual_return_and_ratios!F6 - Annual_return_and_ratios!F138)</f>
        <v>0.480227878</v>
      </c>
      <c r="G105" s="7">
        <f>ABS(Annual_return_and_ratios!G6 - Annual_return_and_ratios!G138)</f>
        <v>0.8266478658</v>
      </c>
      <c r="H105" s="7">
        <f>ABS(Annual_return_and_ratios!H6 - Annual_return_and_ratios!H138)</f>
        <v>0.4901346355</v>
      </c>
      <c r="I105" s="7">
        <f>ABS(Annual_return_and_ratios!I6 - Annual_return_and_ratios!I138)</f>
        <v>0.6662999571</v>
      </c>
      <c r="J105" s="7">
        <f>ABS(Annual_return_and_ratios!J6 - Annual_return_and_ratios!J138)</f>
        <v>0.6228857378</v>
      </c>
      <c r="K105" s="7">
        <f>ABS(Annual_return_and_ratios!K6 - Annual_return_and_ratios!K138)</f>
        <v>0.7253692605</v>
      </c>
      <c r="L105" s="7">
        <f>ABS(Annual_return_and_ratios!L6 - Annual_return_and_ratios!L138)</f>
        <v>0.750754364</v>
      </c>
      <c r="M105" s="7">
        <f>ABS(Annual_return_and_ratios!M6 - Annual_return_and_ratios!M138)</f>
        <v>0.9006422564</v>
      </c>
    </row>
    <row r="106">
      <c r="A106" s="10" t="s">
        <v>8</v>
      </c>
      <c r="B106" s="7">
        <f>ABS(Annual_return_and_ratios!B7 - Annual_return_and_ratios!B139)</f>
        <v>0.3806299468</v>
      </c>
      <c r="C106" s="7">
        <f>ABS(Annual_return_and_ratios!C7 - Annual_return_and_ratios!C139)</f>
        <v>0.4681976336</v>
      </c>
      <c r="D106" s="7">
        <f>ABS(Annual_return_and_ratios!D7 - Annual_return_and_ratios!D139)</f>
        <v>0.7317767411</v>
      </c>
      <c r="E106" s="7">
        <f>ABS(Annual_return_and_ratios!E7 - Annual_return_and_ratios!E139)</f>
        <v>0.7741591419</v>
      </c>
      <c r="F106" s="7">
        <f>ABS(Annual_return_and_ratios!F7 - Annual_return_and_ratios!F139)</f>
        <v>0.8515703009</v>
      </c>
      <c r="G106" s="7">
        <f>ABS(Annual_return_and_ratios!G7 - Annual_return_and_ratios!G139)</f>
        <v>0.9670466934</v>
      </c>
      <c r="H106" s="7">
        <f>ABS(Annual_return_and_ratios!H7 - Annual_return_and_ratios!H139)</f>
        <v>0.9525249343</v>
      </c>
      <c r="I106" s="7">
        <f>ABS(Annual_return_and_ratios!I7 - Annual_return_and_ratios!I139)</f>
        <v>0.812992965</v>
      </c>
      <c r="J106" s="7">
        <f>ABS(Annual_return_and_ratios!J7 - Annual_return_and_ratios!J139)</f>
        <v>0.7765690979</v>
      </c>
      <c r="K106" s="7">
        <f>ABS(Annual_return_and_ratios!K7 - Annual_return_and_ratios!K139)</f>
        <v>0.8648032098</v>
      </c>
      <c r="L106" s="7">
        <f>ABS(Annual_return_and_ratios!L7 - Annual_return_and_ratios!L139)</f>
        <v>0.7664984768</v>
      </c>
      <c r="M106" s="7">
        <f>ABS(Annual_return_and_ratios!M7 - Annual_return_and_ratios!M139)</f>
        <v>0.9861356984</v>
      </c>
    </row>
    <row r="107">
      <c r="A107" s="10" t="s">
        <v>9</v>
      </c>
      <c r="B107" s="7">
        <f>ABS(Annual_return_and_ratios!B8 - Annual_return_and_ratios!B140)</f>
        <v>0.5835536036</v>
      </c>
      <c r="C107" s="7">
        <f>ABS(Annual_return_and_ratios!C8 - Annual_return_and_ratios!C140)</f>
        <v>0.6031221304</v>
      </c>
      <c r="D107" s="7">
        <f>ABS(Annual_return_and_ratios!D8 - Annual_return_and_ratios!D140)</f>
        <v>0.7887311122</v>
      </c>
      <c r="E107" s="7">
        <f>ABS(Annual_return_and_ratios!E8 - Annual_return_and_ratios!E140)</f>
        <v>0.6561569881</v>
      </c>
      <c r="F107" s="7">
        <f>ABS(Annual_return_and_ratios!F8 - Annual_return_and_ratios!F140)</f>
        <v>0.7669457242</v>
      </c>
      <c r="G107" s="7">
        <f>ABS(Annual_return_and_ratios!G8 - Annual_return_and_ratios!G140)</f>
        <v>0.8524932937</v>
      </c>
      <c r="H107" s="7">
        <f>ABS(Annual_return_and_ratios!H8 - Annual_return_and_ratios!H140)</f>
        <v>0.9719849876</v>
      </c>
      <c r="I107" s="7">
        <f>ABS(Annual_return_and_ratios!I8 - Annual_return_and_ratios!I140)</f>
        <v>0.9188515533</v>
      </c>
      <c r="J107" s="7">
        <f>ABS(Annual_return_and_ratios!J8 - Annual_return_and_ratios!J140)</f>
        <v>0.9414596519</v>
      </c>
      <c r="K107" s="7">
        <f>ABS(Annual_return_and_ratios!K8 - Annual_return_and_ratios!K140)</f>
        <v>0.9454394446</v>
      </c>
      <c r="L107" s="7">
        <f>ABS(Annual_return_and_ratios!L8 - Annual_return_and_ratios!L140)</f>
        <v>0.8111956078</v>
      </c>
      <c r="M107" s="7">
        <f>ABS(Annual_return_and_ratios!M8 - Annual_return_and_ratios!M140)</f>
        <v>0.9290503272</v>
      </c>
    </row>
    <row r="108">
      <c r="A108" s="10" t="s">
        <v>10</v>
      </c>
      <c r="B108" s="7">
        <f>ABS(Annual_return_and_ratios!B9 - Annual_return_and_ratios!B141)</f>
        <v>0.6911319751</v>
      </c>
      <c r="C108" s="7">
        <f>ABS(Annual_return_and_ratios!C9 - Annual_return_and_ratios!C141)</f>
        <v>0.6676288787</v>
      </c>
      <c r="D108" s="7">
        <f>ABS(Annual_return_and_ratios!D9 - Annual_return_and_ratios!D141)</f>
        <v>0.7977518105</v>
      </c>
      <c r="E108" s="7">
        <f>ABS(Annual_return_and_ratios!E9 - Annual_return_and_ratios!E141)</f>
        <v>0.7452025581</v>
      </c>
      <c r="F108" s="7">
        <f>ABS(Annual_return_and_ratios!F9 - Annual_return_and_ratios!F141)</f>
        <v>0.7254922404</v>
      </c>
      <c r="G108" s="7">
        <f>ABS(Annual_return_and_ratios!G9 - Annual_return_and_ratios!G141)</f>
        <v>0.9460552283</v>
      </c>
      <c r="H108" s="7">
        <f>ABS(Annual_return_and_ratios!H9 - Annual_return_and_ratios!H141)</f>
        <v>0.8442184473</v>
      </c>
      <c r="I108" s="7">
        <f>ABS(Annual_return_and_ratios!I9 - Annual_return_and_ratios!I141)</f>
        <v>0.8361328862</v>
      </c>
      <c r="J108" s="7">
        <f>ABS(Annual_return_and_ratios!J9 - Annual_return_and_ratios!J141)</f>
        <v>0.8357485652</v>
      </c>
      <c r="K108" s="7">
        <f>ABS(Annual_return_and_ratios!K9 - Annual_return_and_ratios!K141)</f>
        <v>0.8125147663</v>
      </c>
      <c r="L108" s="7">
        <f>ABS(Annual_return_and_ratios!L9 - Annual_return_and_ratios!L141)</f>
        <v>0.7196937209</v>
      </c>
      <c r="M108" s="7">
        <f>ABS(Annual_return_and_ratios!M9 - Annual_return_and_ratios!M141)</f>
        <v>0.6955679373</v>
      </c>
    </row>
    <row r="109">
      <c r="A109" s="10" t="s">
        <v>11</v>
      </c>
      <c r="B109" s="7">
        <f>ABS(Annual_return_and_ratios!B10 - Annual_return_and_ratios!B142)</f>
        <v>0.8851382402</v>
      </c>
      <c r="C109" s="7">
        <f>ABS(Annual_return_and_ratios!C10 - Annual_return_and_ratios!C142)</f>
        <v>0.924430167</v>
      </c>
      <c r="D109" s="7">
        <f>ABS(Annual_return_and_ratios!D10 - Annual_return_and_ratios!D142)</f>
        <v>0.8660403695</v>
      </c>
      <c r="E109" s="7">
        <f>ABS(Annual_return_and_ratios!E10 - Annual_return_and_ratios!E142)</f>
        <v>0.8628655348</v>
      </c>
      <c r="F109" s="7">
        <f>ABS(Annual_return_and_ratios!F10 - Annual_return_and_ratios!F142)</f>
        <v>0.7799629982</v>
      </c>
      <c r="G109" s="7">
        <f>ABS(Annual_return_and_ratios!G10 - Annual_return_and_ratios!G142)</f>
        <v>0.9225938971</v>
      </c>
      <c r="H109" s="7">
        <f>ABS(Annual_return_and_ratios!H10 - Annual_return_and_ratios!H142)</f>
        <v>0.7970964465</v>
      </c>
      <c r="I109" s="7">
        <f>ABS(Annual_return_and_ratios!I10 - Annual_return_and_ratios!I142)</f>
        <v>0.7685623857</v>
      </c>
      <c r="J109" s="7">
        <f>ABS(Annual_return_and_ratios!J10 - Annual_return_and_ratios!J142)</f>
        <v>0.7954180316</v>
      </c>
      <c r="K109" s="7">
        <f>ABS(Annual_return_and_ratios!K10 - Annual_return_and_ratios!K142)</f>
        <v>0.8398121797</v>
      </c>
      <c r="L109" s="7">
        <f>ABS(Annual_return_and_ratios!L10 - Annual_return_and_ratios!L142)</f>
        <v>0.7940488199</v>
      </c>
      <c r="M109" s="7">
        <f>ABS(Annual_return_and_ratios!M10 - Annual_return_and_ratios!M142)</f>
        <v>0.8046596071</v>
      </c>
    </row>
    <row r="110">
      <c r="A110" s="10" t="s">
        <v>12</v>
      </c>
      <c r="B110" s="7">
        <f>ABS(Annual_return_and_ratios!B11 - Annual_return_and_ratios!B143)</f>
        <v>0.422505848</v>
      </c>
      <c r="C110" s="7">
        <f>ABS(Annual_return_and_ratios!C11 - Annual_return_and_ratios!C143)</f>
        <v>0.4551756014</v>
      </c>
      <c r="D110" s="7">
        <f>ABS(Annual_return_and_ratios!D11 - Annual_return_and_ratios!D143)</f>
        <v>0.3332836218</v>
      </c>
      <c r="E110" s="7">
        <f>ABS(Annual_return_and_ratios!E11 - Annual_return_and_ratios!E143)</f>
        <v>0.494562022</v>
      </c>
      <c r="F110" s="7">
        <f>ABS(Annual_return_and_ratios!F11 - Annual_return_and_ratios!F143)</f>
        <v>0.3445952837</v>
      </c>
      <c r="G110" s="7">
        <f>ABS(Annual_return_and_ratios!G11 - Annual_return_and_ratios!G143)</f>
        <v>0.02513348726</v>
      </c>
      <c r="H110" s="7">
        <f>ABS(Annual_return_and_ratios!H11 - Annual_return_and_ratios!H143)</f>
        <v>0.02178399274</v>
      </c>
      <c r="I110" s="7">
        <f>ABS(Annual_return_and_ratios!I11 - Annual_return_and_ratios!I143)</f>
        <v>0.03300565858</v>
      </c>
      <c r="J110" s="7">
        <f>ABS(Annual_return_and_ratios!J11 - Annual_return_and_ratios!J143)</f>
        <v>0.0033624168</v>
      </c>
      <c r="K110" s="7">
        <f>ABS(Annual_return_and_ratios!K11 - Annual_return_and_ratios!K143)</f>
        <v>0.002078167121</v>
      </c>
      <c r="L110" s="7">
        <f>ABS(Annual_return_and_ratios!L11 - Annual_return_and_ratios!L143)</f>
        <v>0.03347957214</v>
      </c>
      <c r="M110" s="7">
        <f>ABS(Annual_return_and_ratios!M11 - Annual_return_and_ratios!M143)</f>
        <v>0.02762527397</v>
      </c>
    </row>
    <row r="111">
      <c r="A111" s="10" t="s">
        <v>13</v>
      </c>
      <c r="B111" s="7">
        <f>ABS(Annual_return_and_ratios!B12 - Annual_return_and_ratios!B144)</f>
        <v>0.8673744801</v>
      </c>
      <c r="C111" s="7">
        <f>ABS(Annual_return_and_ratios!C12 - Annual_return_and_ratios!C144)</f>
        <v>0.8683429859</v>
      </c>
      <c r="D111" s="7">
        <f>ABS(Annual_return_and_ratios!D12 - Annual_return_and_ratios!D144)</f>
        <v>0.8753013044</v>
      </c>
      <c r="E111" s="7">
        <f>ABS(Annual_return_and_ratios!E12 - Annual_return_and_ratios!E144)</f>
        <v>0.876156436</v>
      </c>
      <c r="F111" s="7">
        <f>ABS(Annual_return_and_ratios!F12 - Annual_return_and_ratios!F144)</f>
        <v>0.8660524756</v>
      </c>
      <c r="G111" s="7">
        <f>ABS(Annual_return_and_ratios!G12 - Annual_return_and_ratios!G144)</f>
        <v>0.9716160132</v>
      </c>
      <c r="H111" s="7">
        <f>ABS(Annual_return_and_ratios!H12 - Annual_return_and_ratios!H144)</f>
        <v>0.8980680295</v>
      </c>
      <c r="I111" s="7">
        <f>ABS(Annual_return_and_ratios!I12 - Annual_return_and_ratios!I144)</f>
        <v>0.9595136898</v>
      </c>
      <c r="J111" s="7">
        <f>ABS(Annual_return_and_ratios!J12 - Annual_return_and_ratios!J144)</f>
        <v>0.9517869513</v>
      </c>
      <c r="K111" s="7">
        <f>ABS(Annual_return_and_ratios!K12 - Annual_return_and_ratios!K144)</f>
        <v>0.9987727991</v>
      </c>
      <c r="L111" s="7">
        <f>ABS(Annual_return_and_ratios!L12 - Annual_return_and_ratios!L144)</f>
        <v>0.9186801607</v>
      </c>
      <c r="M111" s="7">
        <f>ABS(Annual_return_and_ratios!M12 - Annual_return_and_ratios!M144)</f>
        <v>0.9345883756</v>
      </c>
    </row>
    <row r="112">
      <c r="A112" s="10" t="s">
        <v>14</v>
      </c>
      <c r="B112" s="7">
        <f>ABS(Annual_return_and_ratios!B13 - Annual_return_and_ratios!B145)</f>
        <v>0.6539567776</v>
      </c>
      <c r="C112" s="7">
        <f>ABS(Annual_return_and_ratios!C13 - Annual_return_and_ratios!C145)</f>
        <v>0.6386074103</v>
      </c>
      <c r="D112" s="7">
        <f>ABS(Annual_return_and_ratios!D13 - Annual_return_and_ratios!D145)</f>
        <v>0.6191516285</v>
      </c>
      <c r="E112" s="7">
        <f>ABS(Annual_return_and_ratios!E13 - Annual_return_and_ratios!E145)</f>
        <v>0.403310332</v>
      </c>
      <c r="F112" s="7">
        <f>ABS(Annual_return_and_ratios!F13 - Annual_return_and_ratios!F145)</f>
        <v>0.5416174184</v>
      </c>
      <c r="G112" s="7">
        <f>ABS(Annual_return_and_ratios!G13 - Annual_return_and_ratios!G145)</f>
        <v>0.8287227363</v>
      </c>
      <c r="H112" s="7">
        <f>ABS(Annual_return_and_ratios!H13 - Annual_return_and_ratios!H145)</f>
        <v>0.7480971953</v>
      </c>
      <c r="I112" s="7">
        <f>ABS(Annual_return_and_ratios!I13 - Annual_return_and_ratios!I145)</f>
        <v>0.8304424048</v>
      </c>
      <c r="J112" s="7">
        <f>ABS(Annual_return_and_ratios!J13 - Annual_return_and_ratios!J145)</f>
        <v>0.877266465</v>
      </c>
      <c r="K112" s="7">
        <f>ABS(Annual_return_and_ratios!K13 - Annual_return_and_ratios!K145)</f>
        <v>0.7877803209</v>
      </c>
      <c r="L112" s="7">
        <f>ABS(Annual_return_and_ratios!L13 - Annual_return_and_ratios!L145)</f>
        <v>0.7415093498</v>
      </c>
      <c r="M112" s="7">
        <f>ABS(Annual_return_and_ratios!M13 - Annual_return_and_ratios!M145)</f>
        <v>0.8010916188</v>
      </c>
    </row>
    <row r="113">
      <c r="A113" s="10" t="s">
        <v>15</v>
      </c>
      <c r="B113" s="7">
        <f>ABS(Annual_return_and_ratios!B14 - Annual_return_and_ratios!B146)</f>
        <v>0.6292142011</v>
      </c>
      <c r="C113" s="7">
        <f>ABS(Annual_return_and_ratios!C14 - Annual_return_and_ratios!C146)</f>
        <v>0.6262139189</v>
      </c>
      <c r="D113" s="7">
        <f>ABS(Annual_return_and_ratios!D14 - Annual_return_and_ratios!D146)</f>
        <v>0.6148558858</v>
      </c>
      <c r="E113" s="7">
        <f>ABS(Annual_return_and_ratios!E14 - Annual_return_and_ratios!E146)</f>
        <v>0.7549272013</v>
      </c>
      <c r="F113" s="7">
        <f>ABS(Annual_return_and_ratios!F14 - Annual_return_and_ratios!F146)</f>
        <v>0.7775570813</v>
      </c>
      <c r="G113" s="7">
        <f>ABS(Annual_return_and_ratios!G14 - Annual_return_and_ratios!G146)</f>
        <v>0.9107050619</v>
      </c>
      <c r="H113" s="7">
        <f>ABS(Annual_return_and_ratios!H14 - Annual_return_and_ratios!H146)</f>
        <v>0.6869404637</v>
      </c>
      <c r="I113" s="7">
        <f>ABS(Annual_return_and_ratios!I14 - Annual_return_and_ratios!I146)</f>
        <v>0.7249194971</v>
      </c>
      <c r="J113" s="7">
        <f>ABS(Annual_return_and_ratios!J14 - Annual_return_and_ratios!J146)</f>
        <v>0.6053156348</v>
      </c>
      <c r="K113" s="7">
        <f>ABS(Annual_return_and_ratios!K14 - Annual_return_and_ratios!K146)</f>
        <v>0.6948505918</v>
      </c>
      <c r="L113" s="7">
        <f>ABS(Annual_return_and_ratios!L14 - Annual_return_and_ratios!L146)</f>
        <v>0.5720739755</v>
      </c>
      <c r="M113" s="7">
        <f>ABS(Annual_return_and_ratios!M14 - Annual_return_and_ratios!M146)</f>
        <v>0.4340112553</v>
      </c>
    </row>
    <row r="114">
      <c r="A114" s="10" t="s">
        <v>16</v>
      </c>
      <c r="B114" s="7">
        <f>ABS(Annual_return_and_ratios!B15 - Annual_return_and_ratios!B147)</f>
        <v>0.8865190028</v>
      </c>
      <c r="C114" s="7">
        <f>ABS(Annual_return_and_ratios!C15 - Annual_return_and_ratios!C147)</f>
        <v>0.8983251979</v>
      </c>
      <c r="D114" s="7">
        <f>ABS(Annual_return_and_ratios!D15 - Annual_return_and_ratios!D147)</f>
        <v>0.8800068364</v>
      </c>
      <c r="E114" s="7">
        <f>ABS(Annual_return_and_ratios!E15 - Annual_return_and_ratios!E147)</f>
        <v>0.8531611388</v>
      </c>
      <c r="F114" s="7">
        <f>ABS(Annual_return_and_ratios!F15 - Annual_return_and_ratios!F147)</f>
        <v>0.7908743282</v>
      </c>
      <c r="G114" s="7">
        <f>ABS(Annual_return_and_ratios!G15 - Annual_return_and_ratios!G147)</f>
        <v>0.8420452022</v>
      </c>
      <c r="H114" s="7">
        <f>ABS(Annual_return_and_ratios!H15 - Annual_return_and_ratios!H147)</f>
        <v>0.7793318121</v>
      </c>
      <c r="I114" s="7">
        <f>ABS(Annual_return_and_ratios!I15 - Annual_return_and_ratios!I147)</f>
        <v>0.8160184097</v>
      </c>
      <c r="J114" s="7">
        <f>ABS(Annual_return_and_ratios!J15 - Annual_return_and_ratios!J147)</f>
        <v>0.7993235025</v>
      </c>
      <c r="K114" s="7">
        <f>ABS(Annual_return_and_ratios!K15 - Annual_return_and_ratios!K147)</f>
        <v>0.8363364903</v>
      </c>
      <c r="L114" s="7">
        <f>ABS(Annual_return_and_ratios!L15 - Annual_return_and_ratios!L147)</f>
        <v>0.7524515199</v>
      </c>
      <c r="M114" s="7">
        <f>ABS(Annual_return_and_ratios!M15 - Annual_return_and_ratios!M147)</f>
        <v>0.8609150255</v>
      </c>
    </row>
    <row r="115">
      <c r="A115" s="10" t="s">
        <v>17</v>
      </c>
      <c r="B115" s="7">
        <f>ABS(Annual_return_and_ratios!B16 - Annual_return_and_ratios!B148)</f>
        <v>0.7811677337</v>
      </c>
      <c r="C115" s="7">
        <f>ABS(Annual_return_and_ratios!C16 - Annual_return_and_ratios!C148)</f>
        <v>0.6625982326</v>
      </c>
      <c r="D115" s="7">
        <f>ABS(Annual_return_and_ratios!D16 - Annual_return_and_ratios!D148)</f>
        <v>0.8431408375</v>
      </c>
      <c r="E115" s="7">
        <f>ABS(Annual_return_and_ratios!E16 - Annual_return_and_ratios!E148)</f>
        <v>0.8673321789</v>
      </c>
      <c r="F115" s="7">
        <f>ABS(Annual_return_and_ratios!F16 - Annual_return_and_ratios!F148)</f>
        <v>0.8618402583</v>
      </c>
      <c r="G115" s="7">
        <f>ABS(Annual_return_and_ratios!G16 - Annual_return_and_ratios!G148)</f>
        <v>0.9990527485</v>
      </c>
      <c r="H115" s="7">
        <f>ABS(Annual_return_and_ratios!H16 - Annual_return_and_ratios!H148)</f>
        <v>0.8802112302</v>
      </c>
      <c r="I115" s="7">
        <f>ABS(Annual_return_and_ratios!I16 - Annual_return_and_ratios!I148)</f>
        <v>0.8520678082</v>
      </c>
      <c r="J115" s="7">
        <f>ABS(Annual_return_and_ratios!J16 - Annual_return_and_ratios!J148)</f>
        <v>0.8681932049</v>
      </c>
      <c r="K115" s="7">
        <f>ABS(Annual_return_and_ratios!K16 - Annual_return_and_ratios!K148)</f>
        <v>0.9409513079</v>
      </c>
      <c r="L115" s="7">
        <f>ABS(Annual_return_and_ratios!L16 - Annual_return_and_ratios!L148)</f>
        <v>0.8091016617</v>
      </c>
      <c r="M115" s="7">
        <f>ABS(Annual_return_and_ratios!M16 - Annual_return_and_ratios!M148)</f>
        <v>0.8442088321</v>
      </c>
    </row>
    <row r="116">
      <c r="A116" s="10" t="s">
        <v>18</v>
      </c>
      <c r="B116" s="7">
        <f>ABS(Annual_return_and_ratios!B17 - Annual_return_and_ratios!B149)</f>
        <v>0.812880833</v>
      </c>
      <c r="C116" s="7">
        <f>ABS(Annual_return_and_ratios!C17 - Annual_return_and_ratios!C149)</f>
        <v>0.8331228803</v>
      </c>
      <c r="D116" s="7">
        <f>ABS(Annual_return_and_ratios!D17 - Annual_return_and_ratios!D149)</f>
        <v>0.8987903254</v>
      </c>
      <c r="E116" s="7">
        <f>ABS(Annual_return_and_ratios!E17 - Annual_return_and_ratios!E149)</f>
        <v>0.9510379127</v>
      </c>
      <c r="F116" s="7">
        <f>ABS(Annual_return_and_ratios!F17 - Annual_return_and_ratios!F149)</f>
        <v>0.8478470999</v>
      </c>
      <c r="G116" s="7">
        <f>ABS(Annual_return_and_ratios!G17 - Annual_return_and_ratios!G149)</f>
        <v>1.05388821</v>
      </c>
      <c r="H116" s="7">
        <f>ABS(Annual_return_and_ratios!H17 - Annual_return_and_ratios!H149)</f>
        <v>0.9710259085</v>
      </c>
      <c r="I116" s="7">
        <f>ABS(Annual_return_and_ratios!I17 - Annual_return_and_ratios!I149)</f>
        <v>0.9279316032</v>
      </c>
      <c r="J116" s="7">
        <f>ABS(Annual_return_and_ratios!J17 - Annual_return_and_ratios!J149)</f>
        <v>0.9225077525</v>
      </c>
      <c r="K116" s="7">
        <f>ABS(Annual_return_and_ratios!K17 - Annual_return_and_ratios!K149)</f>
        <v>0.9154702013</v>
      </c>
      <c r="L116" s="7">
        <f>ABS(Annual_return_and_ratios!L17 - Annual_return_and_ratios!L149)</f>
        <v>0.8845294948</v>
      </c>
      <c r="M116" s="7">
        <f>ABS(Annual_return_and_ratios!M17 - Annual_return_and_ratios!M149)</f>
        <v>0.9012832088</v>
      </c>
    </row>
    <row r="117">
      <c r="A117" s="10" t="s">
        <v>19</v>
      </c>
      <c r="B117" s="7">
        <f>ABS(Annual_return_and_ratios!B18 - Annual_return_and_ratios!B150)</f>
        <v>0.8517364137</v>
      </c>
      <c r="C117" s="7">
        <f>ABS(Annual_return_and_ratios!C18 - Annual_return_and_ratios!C150)</f>
        <v>0.7553966777</v>
      </c>
      <c r="D117" s="7">
        <f>ABS(Annual_return_and_ratios!D18 - Annual_return_and_ratios!D150)</f>
        <v>0.8179589719</v>
      </c>
      <c r="E117" s="7">
        <f>ABS(Annual_return_and_ratios!E18 - Annual_return_and_ratios!E150)</f>
        <v>0.8101936415</v>
      </c>
      <c r="F117" s="7">
        <f>ABS(Annual_return_and_ratios!F18 - Annual_return_and_ratios!F150)</f>
        <v>0.7924763806</v>
      </c>
      <c r="G117" s="7">
        <f>ABS(Annual_return_and_ratios!G18 - Annual_return_and_ratios!G150)</f>
        <v>0.9359626634</v>
      </c>
      <c r="H117" s="7">
        <f>ABS(Annual_return_and_ratios!H18 - Annual_return_and_ratios!H150)</f>
        <v>0.8368835812</v>
      </c>
      <c r="I117" s="7">
        <f>ABS(Annual_return_and_ratios!I18 - Annual_return_and_ratios!I150)</f>
        <v>0.6636618607</v>
      </c>
      <c r="J117" s="7">
        <f>ABS(Annual_return_and_ratios!J18 - Annual_return_and_ratios!J150)</f>
        <v>0.7360361041</v>
      </c>
      <c r="K117" s="7">
        <f>ABS(Annual_return_and_ratios!K18 - Annual_return_and_ratios!K150)</f>
        <v>0.8467177748</v>
      </c>
      <c r="L117" s="7">
        <f>ABS(Annual_return_and_ratios!L18 - Annual_return_and_ratios!L150)</f>
        <v>0.736934342</v>
      </c>
      <c r="M117" s="7">
        <f>ABS(Annual_return_and_ratios!M18 - Annual_return_and_ratios!M150)</f>
        <v>0.8548166178</v>
      </c>
    </row>
    <row r="118">
      <c r="A118" s="10" t="s">
        <v>20</v>
      </c>
      <c r="B118" s="7">
        <f>ABS(Annual_return_and_ratios!B19 - Annual_return_and_ratios!B151)</f>
        <v>0.9560002175</v>
      </c>
      <c r="C118" s="7">
        <f>ABS(Annual_return_and_ratios!C19 - Annual_return_and_ratios!C151)</f>
        <v>0.887367873</v>
      </c>
      <c r="D118" s="7">
        <f>ABS(Annual_return_and_ratios!D19 - Annual_return_and_ratios!D151)</f>
        <v>0.9730328996</v>
      </c>
      <c r="E118" s="7">
        <f>ABS(Annual_return_and_ratios!E19 - Annual_return_and_ratios!E151)</f>
        <v>0.975384566</v>
      </c>
      <c r="F118" s="7">
        <f>ABS(Annual_return_and_ratios!F19 - Annual_return_and_ratios!F151)</f>
        <v>0.9707914182</v>
      </c>
      <c r="G118" s="7">
        <f>ABS(Annual_return_and_ratios!G19 - Annual_return_and_ratios!G151)</f>
        <v>1.03518133</v>
      </c>
      <c r="H118" s="7">
        <f>ABS(Annual_return_and_ratios!H19 - Annual_return_and_ratios!H151)</f>
        <v>0.9951095969</v>
      </c>
      <c r="I118" s="7">
        <f>ABS(Annual_return_and_ratios!I19 - Annual_return_and_ratios!I151)</f>
        <v>0.9829990358</v>
      </c>
      <c r="J118" s="7">
        <f>ABS(Annual_return_and_ratios!J19 - Annual_return_and_ratios!J151)</f>
        <v>0.9601697029</v>
      </c>
      <c r="K118" s="7">
        <f>ABS(Annual_return_and_ratios!K19 - Annual_return_and_ratios!K151)</f>
        <v>1.004904116</v>
      </c>
      <c r="L118" s="7">
        <f>ABS(Annual_return_and_ratios!L19 - Annual_return_and_ratios!L151)</f>
        <v>0.9564690633</v>
      </c>
      <c r="M118" s="7">
        <f>ABS(Annual_return_and_ratios!M19 - Annual_return_and_ratios!M151)</f>
        <v>1.007700739</v>
      </c>
    </row>
    <row r="119">
      <c r="A119" s="10" t="s">
        <v>21</v>
      </c>
      <c r="B119" s="7">
        <f>ABS(Annual_return_and_ratios!B20 - Annual_return_and_ratios!B152)</f>
        <v>0.8926244094</v>
      </c>
      <c r="C119" s="7">
        <f>ABS(Annual_return_and_ratios!C20 - Annual_return_and_ratios!C152)</f>
        <v>0.8446648754</v>
      </c>
      <c r="D119" s="7">
        <f>ABS(Annual_return_and_ratios!D20 - Annual_return_and_ratios!D152)</f>
        <v>0.9468924792</v>
      </c>
      <c r="E119" s="7">
        <f>ABS(Annual_return_and_ratios!E20 - Annual_return_and_ratios!E152)</f>
        <v>0.9192749533</v>
      </c>
      <c r="F119" s="7">
        <f>ABS(Annual_return_and_ratios!F20 - Annual_return_and_ratios!F152)</f>
        <v>0.9428725162</v>
      </c>
      <c r="G119" s="7">
        <f>ABS(Annual_return_and_ratios!G20 - Annual_return_and_ratios!G152)</f>
        <v>1.005355352</v>
      </c>
      <c r="H119" s="7">
        <f>ABS(Annual_return_and_ratios!H20 - Annual_return_and_ratios!H152)</f>
        <v>0.9558403302</v>
      </c>
      <c r="I119" s="7">
        <f>ABS(Annual_return_and_ratios!I20 - Annual_return_and_ratios!I152)</f>
        <v>0.9573849978</v>
      </c>
      <c r="J119" s="7">
        <f>ABS(Annual_return_and_ratios!J20 - Annual_return_and_ratios!J152)</f>
        <v>0.9143141824</v>
      </c>
      <c r="K119" s="7">
        <f>ABS(Annual_return_and_ratios!K20 - Annual_return_and_ratios!K152)</f>
        <v>0.971484628</v>
      </c>
      <c r="L119" s="7">
        <f>ABS(Annual_return_and_ratios!L20 - Annual_return_and_ratios!L152)</f>
        <v>0.9190556924</v>
      </c>
      <c r="M119" s="7">
        <f>ABS(Annual_return_and_ratios!M20 - Annual_return_and_ratios!M152)</f>
        <v>0.9653246566</v>
      </c>
    </row>
    <row r="120">
      <c r="A120" s="10" t="s">
        <v>22</v>
      </c>
      <c r="B120" s="7">
        <f>ABS(Annual_return_and_ratios!B21 - Annual_return_and_ratios!B153)</f>
        <v>0.9610030003</v>
      </c>
      <c r="C120" s="7">
        <f>ABS(Annual_return_and_ratios!C21 - Annual_return_and_ratios!C153)</f>
        <v>0.8895164027</v>
      </c>
      <c r="D120" s="7">
        <f>ABS(Annual_return_and_ratios!D21 - Annual_return_and_ratios!D153)</f>
        <v>0.9464043781</v>
      </c>
      <c r="E120" s="7">
        <f>ABS(Annual_return_and_ratios!E21 - Annual_return_and_ratios!E153)</f>
        <v>0.9072872739</v>
      </c>
      <c r="F120" s="7">
        <f>ABS(Annual_return_and_ratios!F21 - Annual_return_and_ratios!F153)</f>
        <v>0.9039848439</v>
      </c>
      <c r="G120" s="7">
        <f>ABS(Annual_return_and_ratios!G21 - Annual_return_and_ratios!G153)</f>
        <v>0.9893418584</v>
      </c>
      <c r="H120" s="7">
        <f>ABS(Annual_return_and_ratios!H21 - Annual_return_and_ratios!H153)</f>
        <v>0.9058317501</v>
      </c>
      <c r="I120" s="7">
        <f>ABS(Annual_return_and_ratios!I21 - Annual_return_and_ratios!I153)</f>
        <v>0.9386002923</v>
      </c>
      <c r="J120" s="7">
        <f>ABS(Annual_return_and_ratios!J21 - Annual_return_and_ratios!J153)</f>
        <v>0.9576526193</v>
      </c>
      <c r="K120" s="7">
        <f>ABS(Annual_return_and_ratios!K21 - Annual_return_and_ratios!K153)</f>
        <v>0.9647808921</v>
      </c>
      <c r="L120" s="7">
        <f>ABS(Annual_return_and_ratios!L21 - Annual_return_and_ratios!L153)</f>
        <v>1.009220255</v>
      </c>
      <c r="M120" s="7">
        <f>ABS(Annual_return_and_ratios!M21 - Annual_return_and_ratios!M153)</f>
        <v>0.9671887179</v>
      </c>
    </row>
    <row r="121">
      <c r="A121" s="10" t="s">
        <v>23</v>
      </c>
      <c r="B121" s="7">
        <f>ABS(Annual_return_and_ratios!B22 - Annual_return_and_ratios!B154)</f>
        <v>0.9784847856</v>
      </c>
      <c r="C121" s="7">
        <f>ABS(Annual_return_and_ratios!C22 - Annual_return_and_ratios!C154)</f>
        <v>0.9319051261</v>
      </c>
      <c r="D121" s="7">
        <f>ABS(Annual_return_and_ratios!D22 - Annual_return_and_ratios!D154)</f>
        <v>0.9749908548</v>
      </c>
      <c r="E121" s="7">
        <f>ABS(Annual_return_and_ratios!E22 - Annual_return_and_ratios!E154)</f>
        <v>0.9467237203</v>
      </c>
      <c r="F121" s="7">
        <f>ABS(Annual_return_and_ratios!F22 - Annual_return_and_ratios!F154)</f>
        <v>0.9312997713</v>
      </c>
      <c r="G121" s="7">
        <f>ABS(Annual_return_and_ratios!G22 - Annual_return_and_ratios!G154)</f>
        <v>1.027804186</v>
      </c>
      <c r="H121" s="7">
        <f>ABS(Annual_return_and_ratios!H22 - Annual_return_and_ratios!H154)</f>
        <v>0.9750399644</v>
      </c>
      <c r="I121" s="7">
        <f>ABS(Annual_return_and_ratios!I22 - Annual_return_and_ratios!I154)</f>
        <v>1.011748359</v>
      </c>
      <c r="J121" s="7">
        <f>ABS(Annual_return_and_ratios!J22 - Annual_return_and_ratios!J154)</f>
        <v>0.9575963059</v>
      </c>
      <c r="K121" s="7">
        <f>ABS(Annual_return_and_ratios!K22 - Annual_return_and_ratios!K154)</f>
        <v>1.025147216</v>
      </c>
      <c r="L121" s="7">
        <f>ABS(Annual_return_and_ratios!L22 - Annual_return_and_ratios!L154)</f>
        <v>0.9646652257</v>
      </c>
      <c r="M121" s="7">
        <f>ABS(Annual_return_and_ratios!M22 - Annual_return_and_ratios!M154)</f>
        <v>1.000562987</v>
      </c>
    </row>
    <row r="122">
      <c r="A122" s="10" t="s">
        <v>24</v>
      </c>
      <c r="B122" s="7">
        <f>ABS(Annual_return_and_ratios!B23 - Annual_return_and_ratios!B155)</f>
        <v>0.7182311462</v>
      </c>
      <c r="C122" s="7">
        <f>ABS(Annual_return_and_ratios!C23 - Annual_return_and_ratios!C155)</f>
        <v>0.659390619</v>
      </c>
      <c r="D122" s="7">
        <f>ABS(Annual_return_and_ratios!D23 - Annual_return_and_ratios!D155)</f>
        <v>0.8089796708</v>
      </c>
      <c r="E122" s="7">
        <f>ABS(Annual_return_and_ratios!E23 - Annual_return_and_ratios!E155)</f>
        <v>0.7592346551</v>
      </c>
      <c r="F122" s="7">
        <f>ABS(Annual_return_and_ratios!F23 - Annual_return_and_ratios!F155)</f>
        <v>0.8395080905</v>
      </c>
      <c r="G122" s="7">
        <f>ABS(Annual_return_and_ratios!G23 - Annual_return_and_ratios!G155)</f>
        <v>0.9768663438</v>
      </c>
      <c r="H122" s="7">
        <f>ABS(Annual_return_and_ratios!H23 - Annual_return_and_ratios!H155)</f>
        <v>0.8973614506</v>
      </c>
      <c r="I122" s="7">
        <f>ABS(Annual_return_and_ratios!I23 - Annual_return_and_ratios!I155)</f>
        <v>0.9060927559</v>
      </c>
      <c r="J122" s="7">
        <f>ABS(Annual_return_and_ratios!J23 - Annual_return_and_ratios!J155)</f>
        <v>0.8159707238</v>
      </c>
      <c r="K122" s="7">
        <f>ABS(Annual_return_and_ratios!K23 - Annual_return_and_ratios!K155)</f>
        <v>0.7208809537</v>
      </c>
      <c r="L122" s="7">
        <f>ABS(Annual_return_and_ratios!L23 - Annual_return_and_ratios!L155)</f>
        <v>0.5262762338</v>
      </c>
      <c r="M122" s="7">
        <f>ABS(Annual_return_and_ratios!M23 - Annual_return_and_ratios!M155)</f>
        <v>0.6520002351</v>
      </c>
    </row>
    <row r="123">
      <c r="A123" s="10" t="s">
        <v>25</v>
      </c>
      <c r="B123" s="7">
        <f>ABS(Annual_return_and_ratios!B24 - Annual_return_and_ratios!B156)</f>
        <v>0.8605686891</v>
      </c>
      <c r="C123" s="7">
        <f>ABS(Annual_return_and_ratios!C24 - Annual_return_and_ratios!C156)</f>
        <v>0.4990149774</v>
      </c>
      <c r="D123" s="7">
        <f>ABS(Annual_return_and_ratios!D24 - Annual_return_and_ratios!D156)</f>
        <v>0.7377796651</v>
      </c>
      <c r="E123" s="7">
        <f>ABS(Annual_return_and_ratios!E24 - Annual_return_and_ratios!E156)</f>
        <v>0.665666039</v>
      </c>
      <c r="F123" s="7">
        <f>ABS(Annual_return_and_ratios!F24 - Annual_return_and_ratios!F156)</f>
        <v>0.3936208517</v>
      </c>
      <c r="G123" s="7">
        <f>ABS(Annual_return_and_ratios!G24 - Annual_return_and_ratios!G156)</f>
        <v>0.9561116877</v>
      </c>
      <c r="H123" s="7">
        <f>ABS(Annual_return_and_ratios!H24 - Annual_return_and_ratios!H156)</f>
        <v>0.9396988255</v>
      </c>
      <c r="I123" s="7">
        <f>ABS(Annual_return_and_ratios!I24 - Annual_return_and_ratios!I156)</f>
        <v>0.9154914334</v>
      </c>
      <c r="J123" s="7">
        <f>ABS(Annual_return_and_ratios!J24 - Annual_return_and_ratios!J156)</f>
        <v>0.7558130519</v>
      </c>
      <c r="K123" s="7">
        <f>ABS(Annual_return_and_ratios!K24 - Annual_return_and_ratios!K156)</f>
        <v>0.8861970742</v>
      </c>
      <c r="L123" s="7">
        <f>ABS(Annual_return_and_ratios!L24 - Annual_return_and_ratios!L156)</f>
        <v>0.7077087615</v>
      </c>
      <c r="M123" s="7">
        <f>ABS(Annual_return_and_ratios!M24 - Annual_return_and_ratios!M156)</f>
        <v>0.765972325</v>
      </c>
    </row>
    <row r="124">
      <c r="A124" s="10" t="s">
        <v>26</v>
      </c>
      <c r="B124" s="7">
        <f>ABS(Annual_return_and_ratios!B25 - Annual_return_and_ratios!B157)</f>
        <v>0.9454293818</v>
      </c>
      <c r="C124" s="7">
        <f>ABS(Annual_return_and_ratios!C25 - Annual_return_and_ratios!C157)</f>
        <v>0.9080919167</v>
      </c>
      <c r="D124" s="7">
        <f>ABS(Annual_return_and_ratios!D25 - Annual_return_and_ratios!D157)</f>
        <v>1.004442028</v>
      </c>
      <c r="E124" s="7">
        <f>ABS(Annual_return_and_ratios!E25 - Annual_return_and_ratios!E157)</f>
        <v>0.9410013773</v>
      </c>
      <c r="F124" s="7">
        <f>ABS(Annual_return_and_ratios!F25 - Annual_return_and_ratios!F157)</f>
        <v>0.8858411452</v>
      </c>
      <c r="G124" s="7">
        <f>ABS(Annual_return_and_ratios!G25 - Annual_return_and_ratios!G157)</f>
        <v>1.040818871</v>
      </c>
      <c r="H124" s="7">
        <f>ABS(Annual_return_and_ratios!H25 - Annual_return_and_ratios!H157)</f>
        <v>1.01175668</v>
      </c>
      <c r="I124" s="7">
        <f>ABS(Annual_return_and_ratios!I25 - Annual_return_and_ratios!I157)</f>
        <v>0.9807616957</v>
      </c>
      <c r="J124" s="7">
        <f>ABS(Annual_return_and_ratios!J25 - Annual_return_and_ratios!J157)</f>
        <v>0.9532855202</v>
      </c>
      <c r="K124" s="7">
        <f>ABS(Annual_return_and_ratios!K25 - Annual_return_and_ratios!K157)</f>
        <v>0.9901917984</v>
      </c>
      <c r="L124" s="7">
        <f>ABS(Annual_return_and_ratios!L25 - Annual_return_and_ratios!L157)</f>
        <v>1.013443551</v>
      </c>
      <c r="M124" s="7">
        <f>ABS(Annual_return_and_ratios!M25 - Annual_return_and_ratios!M157)</f>
        <v>0.970878472</v>
      </c>
    </row>
    <row r="125">
      <c r="A125" s="10" t="s">
        <v>27</v>
      </c>
      <c r="B125" s="7">
        <f>ABS(Annual_return_and_ratios!B26 - Annual_return_and_ratios!B158)</f>
        <v>0.2460683603</v>
      </c>
      <c r="C125" s="7">
        <f>ABS(Annual_return_and_ratios!C26 - Annual_return_and_ratios!C158)</f>
        <v>0.1217005744</v>
      </c>
      <c r="D125" s="7">
        <f>ABS(Annual_return_and_ratios!D26 - Annual_return_and_ratios!D158)</f>
        <v>0.3016936241</v>
      </c>
      <c r="E125" s="7">
        <f>ABS(Annual_return_and_ratios!E26 - Annual_return_and_ratios!E158)</f>
        <v>0.1354700837</v>
      </c>
      <c r="F125" s="7">
        <f>ABS(Annual_return_and_ratios!F26 - Annual_return_and_ratios!F158)</f>
        <v>0.2053831434</v>
      </c>
      <c r="G125" s="7">
        <f>ABS(Annual_return_and_ratios!G26 - Annual_return_and_ratios!G158)</f>
        <v>0.5883667844</v>
      </c>
      <c r="H125" s="7">
        <f>ABS(Annual_return_and_ratios!H26 - Annual_return_and_ratios!H158)</f>
        <v>0.5357635275</v>
      </c>
      <c r="I125" s="7">
        <f>ABS(Annual_return_and_ratios!I26 - Annual_return_and_ratios!I158)</f>
        <v>0.6685243465</v>
      </c>
      <c r="J125" s="7">
        <f>ABS(Annual_return_and_ratios!J26 - Annual_return_and_ratios!J158)</f>
        <v>0.7371609884</v>
      </c>
      <c r="K125" s="7">
        <f>ABS(Annual_return_and_ratios!K26 - Annual_return_and_ratios!K158)</f>
        <v>0.6508745151</v>
      </c>
      <c r="L125" s="7">
        <f>ABS(Annual_return_and_ratios!L26 - Annual_return_and_ratios!L158)</f>
        <v>0.4618677505</v>
      </c>
      <c r="M125" s="7">
        <f>ABS(Annual_return_and_ratios!M26 - Annual_return_and_ratios!M158)</f>
        <v>0.5279732447</v>
      </c>
    </row>
    <row r="126">
      <c r="A126" s="10" t="s">
        <v>28</v>
      </c>
      <c r="B126" s="7">
        <f>ABS(Annual_return_and_ratios!B27 - Annual_return_and_ratios!B159)</f>
        <v>0.7812928976</v>
      </c>
      <c r="C126" s="7">
        <f>ABS(Annual_return_and_ratios!C27 - Annual_return_and_ratios!C159)</f>
        <v>0.8074378332</v>
      </c>
      <c r="D126" s="7">
        <f>ABS(Annual_return_and_ratios!D27 - Annual_return_and_ratios!D159)</f>
        <v>0.8790711246</v>
      </c>
      <c r="E126" s="7">
        <f>ABS(Annual_return_and_ratios!E27 - Annual_return_and_ratios!E159)</f>
        <v>0.7352812602</v>
      </c>
      <c r="F126" s="7">
        <f>ABS(Annual_return_and_ratios!F27 - Annual_return_and_ratios!F159)</f>
        <v>0.8068586237</v>
      </c>
      <c r="G126" s="7">
        <f>ABS(Annual_return_and_ratios!G27 - Annual_return_and_ratios!G159)</f>
        <v>0.9553931494</v>
      </c>
      <c r="H126" s="7">
        <f>ABS(Annual_return_and_ratios!H27 - Annual_return_and_ratios!H159)</f>
        <v>0.8462637048</v>
      </c>
      <c r="I126" s="7">
        <f>ABS(Annual_return_and_ratios!I27 - Annual_return_and_ratios!I159)</f>
        <v>0.8612795182</v>
      </c>
      <c r="J126" s="7">
        <f>ABS(Annual_return_and_ratios!J27 - Annual_return_and_ratios!J159)</f>
        <v>0.9182914704</v>
      </c>
      <c r="K126" s="7">
        <f>ABS(Annual_return_and_ratios!K27 - Annual_return_and_ratios!K159)</f>
        <v>0.9173964057</v>
      </c>
      <c r="L126" s="7">
        <f>ABS(Annual_return_and_ratios!L27 - Annual_return_and_ratios!L159)</f>
        <v>0.7396357511</v>
      </c>
      <c r="M126" s="7">
        <f>ABS(Annual_return_and_ratios!M27 - Annual_return_and_ratios!M159)</f>
        <v>0.747540275</v>
      </c>
    </row>
    <row r="127">
      <c r="A127" s="10" t="s">
        <v>29</v>
      </c>
      <c r="B127" s="7">
        <f>ABS(Annual_return_and_ratios!B28 - Annual_return_and_ratios!B160)</f>
        <v>0.01885702509</v>
      </c>
      <c r="C127" s="7">
        <f>ABS(Annual_return_and_ratios!C28 - Annual_return_and_ratios!C160)</f>
        <v>0.03248143819</v>
      </c>
      <c r="D127" s="7">
        <f>ABS(Annual_return_and_ratios!D28 - Annual_return_and_ratios!D160)</f>
        <v>0.002958018707</v>
      </c>
      <c r="E127" s="7">
        <f>ABS(Annual_return_and_ratios!E28 - Annual_return_and_ratios!E160)</f>
        <v>0.03945991198</v>
      </c>
      <c r="F127" s="7">
        <f>ABS(Annual_return_and_ratios!F28 - Annual_return_and_ratios!F160)</f>
        <v>0.045578973</v>
      </c>
      <c r="G127" s="7">
        <f>ABS(Annual_return_and_ratios!G28 - Annual_return_and_ratios!G160)</f>
        <v>0.3324376956</v>
      </c>
      <c r="H127" s="7">
        <f>ABS(Annual_return_and_ratios!H28 - Annual_return_and_ratios!H160)</f>
        <v>0.05714679041</v>
      </c>
      <c r="I127" s="7">
        <f>ABS(Annual_return_and_ratios!I28 - Annual_return_and_ratios!I160)</f>
        <v>0.0240748964</v>
      </c>
      <c r="J127" s="7">
        <f>ABS(Annual_return_and_ratios!J28 - Annual_return_and_ratios!J160)</f>
        <v>0.463602826</v>
      </c>
      <c r="K127" s="7">
        <f>ABS(Annual_return_and_ratios!K28 - Annual_return_and_ratios!K160)</f>
        <v>0.5551233501</v>
      </c>
      <c r="L127" s="7">
        <f>ABS(Annual_return_and_ratios!L28 - Annual_return_and_ratios!L160)</f>
        <v>0.359739266</v>
      </c>
      <c r="M127" s="7">
        <f>ABS(Annual_return_and_ratios!M28 - Annual_return_and_ratios!M160)</f>
        <v>0.5030436802</v>
      </c>
    </row>
    <row r="128">
      <c r="A128" s="10" t="s">
        <v>30</v>
      </c>
      <c r="B128" s="7">
        <f>ABS(Annual_return_and_ratios!B29 - Annual_return_and_ratios!B161)</f>
        <v>0.02524233882</v>
      </c>
      <c r="C128" s="7">
        <f>ABS(Annual_return_and_ratios!C29 - Annual_return_and_ratios!C161)</f>
        <v>0.0923101442</v>
      </c>
      <c r="D128" s="7">
        <f>ABS(Annual_return_and_ratios!D29 - Annual_return_and_ratios!D161)</f>
        <v>0.008096223912</v>
      </c>
      <c r="E128" s="7">
        <f>ABS(Annual_return_and_ratios!E29 - Annual_return_and_ratios!E161)</f>
        <v>0.04561362774</v>
      </c>
      <c r="F128" s="7">
        <f>ABS(Annual_return_and_ratios!F29 - Annual_return_and_ratios!F161)</f>
        <v>0.3340917124</v>
      </c>
      <c r="G128" s="7">
        <f>ABS(Annual_return_and_ratios!G29 - Annual_return_and_ratios!G161)</f>
        <v>0.6074716854</v>
      </c>
      <c r="H128" s="7">
        <f>ABS(Annual_return_and_ratios!H29 - Annual_return_and_ratios!H161)</f>
        <v>0.6283956867</v>
      </c>
      <c r="I128" s="7">
        <f>ABS(Annual_return_and_ratios!I29 - Annual_return_and_ratios!I161)</f>
        <v>0.622050426</v>
      </c>
      <c r="J128" s="7">
        <f>ABS(Annual_return_and_ratios!J29 - Annual_return_and_ratios!J161)</f>
        <v>0.6867454109</v>
      </c>
      <c r="K128" s="7">
        <f>ABS(Annual_return_and_ratios!K29 - Annual_return_and_ratios!K161)</f>
        <v>0.8438180302</v>
      </c>
      <c r="L128" s="7">
        <f>ABS(Annual_return_and_ratios!L29 - Annual_return_and_ratios!L161)</f>
        <v>0.8278781701</v>
      </c>
      <c r="M128" s="7">
        <f>ABS(Annual_return_and_ratios!M29 - Annual_return_and_ratios!M161)</f>
        <v>0.8565734082</v>
      </c>
    </row>
    <row r="129">
      <c r="A129" s="10" t="s">
        <v>31</v>
      </c>
      <c r="B129" s="7">
        <f>ABS(Annual_return_and_ratios!B30 - Annual_return_and_ratios!B162)</f>
        <v>0.7702254579</v>
      </c>
      <c r="C129" s="7">
        <f>ABS(Annual_return_and_ratios!C30 - Annual_return_and_ratios!C162)</f>
        <v>0.7695624058</v>
      </c>
      <c r="D129" s="7">
        <f>ABS(Annual_return_and_ratios!D30 - Annual_return_and_ratios!D162)</f>
        <v>0.8115407844</v>
      </c>
      <c r="E129" s="7">
        <f>ABS(Annual_return_and_ratios!E30 - Annual_return_and_ratios!E162)</f>
        <v>0.8446839955</v>
      </c>
      <c r="F129" s="7">
        <f>ABS(Annual_return_and_ratios!F30 - Annual_return_and_ratios!F162)</f>
        <v>0.7419205021</v>
      </c>
      <c r="G129" s="7">
        <f>ABS(Annual_return_and_ratios!G30 - Annual_return_and_ratios!G162)</f>
        <v>0.9343326712</v>
      </c>
      <c r="H129" s="7">
        <f>ABS(Annual_return_and_ratios!H30 - Annual_return_and_ratios!H162)</f>
        <v>0.8387065008</v>
      </c>
      <c r="I129" s="7">
        <f>ABS(Annual_return_and_ratios!I30 - Annual_return_and_ratios!I162)</f>
        <v>0.8254355254</v>
      </c>
      <c r="J129" s="7">
        <f>ABS(Annual_return_and_ratios!J30 - Annual_return_and_ratios!J162)</f>
        <v>0.7815398875</v>
      </c>
      <c r="K129" s="7">
        <f>ABS(Annual_return_and_ratios!K30 - Annual_return_and_ratios!K162)</f>
        <v>0.8147232941</v>
      </c>
      <c r="L129" s="7">
        <f>ABS(Annual_return_and_ratios!L30 - Annual_return_and_ratios!L162)</f>
        <v>0.798461618</v>
      </c>
      <c r="M129" s="7">
        <f>ABS(Annual_return_and_ratios!M30 - Annual_return_and_ratios!M162)</f>
        <v>0.8415137632</v>
      </c>
    </row>
    <row r="133">
      <c r="A133" s="9" t="s">
        <v>71</v>
      </c>
      <c r="B133" s="10" t="s">
        <v>72</v>
      </c>
      <c r="C133" s="10" t="s">
        <v>73</v>
      </c>
      <c r="D133" s="10" t="s">
        <v>74</v>
      </c>
      <c r="E133" s="10" t="s">
        <v>75</v>
      </c>
      <c r="F133" s="10" t="s">
        <v>76</v>
      </c>
      <c r="G133" s="10" t="s">
        <v>77</v>
      </c>
      <c r="H133" s="10" t="s">
        <v>78</v>
      </c>
      <c r="I133" s="10" t="s">
        <v>79</v>
      </c>
      <c r="J133" s="10" t="s">
        <v>80</v>
      </c>
      <c r="K133" s="10" t="s">
        <v>81</v>
      </c>
      <c r="L133" s="10" t="s">
        <v>82</v>
      </c>
      <c r="M133" s="10" t="s">
        <v>83</v>
      </c>
    </row>
    <row r="134">
      <c r="A134" s="10" t="s">
        <v>3</v>
      </c>
      <c r="B134" s="7">
        <f>ABS(Annual_return_and_ratios!B2 - Annual_return_and_ratios!B167)</f>
        <v>0.8722836454</v>
      </c>
      <c r="C134" s="7">
        <f>ABS(Annual_return_and_ratios!C2 - Annual_return_and_ratios!C167)</f>
        <v>0.678710485</v>
      </c>
      <c r="D134" s="7">
        <f>ABS(Annual_return_and_ratios!D2 - Annual_return_and_ratios!D167)</f>
        <v>0.8440098034</v>
      </c>
      <c r="E134" s="7">
        <f>ABS(Annual_return_and_ratios!E2 - Annual_return_and_ratios!E167)</f>
        <v>0.7488279157</v>
      </c>
      <c r="F134" s="7">
        <f>ABS(Annual_return_and_ratios!F2 - Annual_return_and_ratios!F167)</f>
        <v>0.708435954</v>
      </c>
      <c r="G134" s="7">
        <f>ABS(Annual_return_and_ratios!G2 - Annual_return_and_ratios!G167)</f>
        <v>0.9628597063</v>
      </c>
      <c r="H134" s="7">
        <f>ABS(Annual_return_and_ratios!H2 - Annual_return_and_ratios!H167)</f>
        <v>0.875291931</v>
      </c>
      <c r="I134" s="7">
        <f>ABS(Annual_return_and_ratios!I2 - Annual_return_and_ratios!I167)</f>
        <v>0.8766845641</v>
      </c>
      <c r="J134" s="7">
        <f>ABS(Annual_return_and_ratios!J2 - Annual_return_and_ratios!J167)</f>
        <v>0.8688088392</v>
      </c>
      <c r="K134" s="7">
        <f>ABS(Annual_return_and_ratios!K2 - Annual_return_and_ratios!K167)</f>
        <v>0.9136374796</v>
      </c>
      <c r="L134" s="7">
        <f>ABS(Annual_return_and_ratios!L2 - Annual_return_and_ratios!L167)</f>
        <v>0.7690273462</v>
      </c>
      <c r="M134" s="7">
        <f>ABS(Annual_return_and_ratios!M2 - Annual_return_and_ratios!M167)</f>
        <v>0.8334210831</v>
      </c>
    </row>
    <row r="135">
      <c r="A135" s="10" t="s">
        <v>4</v>
      </c>
      <c r="B135" s="7">
        <f>ABS(Annual_return_and_ratios!B3 - Annual_return_and_ratios!B168)</f>
        <v>0.7656673768</v>
      </c>
      <c r="C135" s="7">
        <f>ABS(Annual_return_and_ratios!C3 - Annual_return_and_ratios!C168)</f>
        <v>0.6165465533</v>
      </c>
      <c r="D135" s="7">
        <f>ABS(Annual_return_and_ratios!D3 - Annual_return_and_ratios!D168)</f>
        <v>0.4985709328</v>
      </c>
      <c r="E135" s="7">
        <f>ABS(Annual_return_and_ratios!E3 - Annual_return_and_ratios!E168)</f>
        <v>0.1893493487</v>
      </c>
      <c r="F135" s="7">
        <f>ABS(Annual_return_and_ratios!F3 - Annual_return_and_ratios!F168)</f>
        <v>0.3463126074</v>
      </c>
      <c r="G135" s="7">
        <f>ABS(Annual_return_and_ratios!G3 - Annual_return_and_ratios!G168)</f>
        <v>0.5308913662</v>
      </c>
      <c r="H135" s="7">
        <f>ABS(Annual_return_and_ratios!H3 - Annual_return_and_ratios!H168)</f>
        <v>0.4526000376</v>
      </c>
      <c r="I135" s="7">
        <f>ABS(Annual_return_and_ratios!I3 - Annual_return_and_ratios!I168)</f>
        <v>0.5937126787</v>
      </c>
      <c r="J135" s="7">
        <f>ABS(Annual_return_and_ratios!J3 - Annual_return_and_ratios!J168)</f>
        <v>0.5754896574</v>
      </c>
      <c r="K135" s="7">
        <f>ABS(Annual_return_and_ratios!K3 - Annual_return_and_ratios!K168)</f>
        <v>0.6334245269</v>
      </c>
      <c r="L135" s="7">
        <f>ABS(Annual_return_and_ratios!L3 - Annual_return_and_ratios!L168)</f>
        <v>0.5350298779</v>
      </c>
      <c r="M135" s="7">
        <f>ABS(Annual_return_and_ratios!M3 - Annual_return_and_ratios!M168)</f>
        <v>0.6663932926</v>
      </c>
    </row>
    <row r="136">
      <c r="A136" s="10" t="s">
        <v>5</v>
      </c>
      <c r="B136" s="7">
        <f>ABS(Annual_return_and_ratios!B4 - Annual_return_and_ratios!B169)</f>
        <v>0.945114987</v>
      </c>
      <c r="C136" s="7">
        <f>ABS(Annual_return_and_ratios!C4 - Annual_return_and_ratios!C169)</f>
        <v>0.9317721075</v>
      </c>
      <c r="D136" s="7">
        <f>ABS(Annual_return_and_ratios!D4 - Annual_return_and_ratios!D169)</f>
        <v>0.8255693317</v>
      </c>
      <c r="E136" s="7">
        <f>ABS(Annual_return_and_ratios!E4 - Annual_return_and_ratios!E169)</f>
        <v>0.9044408717</v>
      </c>
      <c r="F136" s="7">
        <f>ABS(Annual_return_and_ratios!F4 - Annual_return_and_ratios!F169)</f>
        <v>0.7485912474</v>
      </c>
      <c r="G136" s="7">
        <f>ABS(Annual_return_and_ratios!G4 - Annual_return_and_ratios!G169)</f>
        <v>0.6154590843</v>
      </c>
      <c r="H136" s="7">
        <f>ABS(Annual_return_and_ratios!H4 - Annual_return_and_ratios!H169)</f>
        <v>0.6726601008</v>
      </c>
      <c r="I136" s="7">
        <f>ABS(Annual_return_and_ratios!I4 - Annual_return_and_ratios!I169)</f>
        <v>0.003598780509</v>
      </c>
      <c r="J136" s="7">
        <f>ABS(Annual_return_and_ratios!J4 - Annual_return_and_ratios!J169)</f>
        <v>0.7889016678</v>
      </c>
      <c r="K136" s="7">
        <f>ABS(Annual_return_and_ratios!K4 - Annual_return_and_ratios!K169)</f>
        <v>0.9621063952</v>
      </c>
      <c r="L136" s="7">
        <f>ABS(Annual_return_and_ratios!L4 - Annual_return_and_ratios!L169)</f>
        <v>0.8493147443</v>
      </c>
      <c r="M136" s="7">
        <f>ABS(Annual_return_and_ratios!M4 - Annual_return_and_ratios!M169)</f>
        <v>0.9386337296</v>
      </c>
    </row>
    <row r="137">
      <c r="A137" s="10" t="s">
        <v>6</v>
      </c>
      <c r="B137" s="7">
        <f>ABS(Annual_return_and_ratios!B5 - Annual_return_and_ratios!B170)</f>
        <v>0.01326890111</v>
      </c>
      <c r="C137" s="7">
        <f>ABS(Annual_return_and_ratios!C5 - Annual_return_and_ratios!C170)</f>
        <v>0.02102731259</v>
      </c>
      <c r="D137" s="7">
        <f>ABS(Annual_return_and_ratios!D5 - Annual_return_and_ratios!D170)</f>
        <v>0.01579449045</v>
      </c>
      <c r="E137" s="7">
        <f>ABS(Annual_return_and_ratios!E5 - Annual_return_and_ratios!E170)</f>
        <v>0.7836891449</v>
      </c>
      <c r="F137" s="7">
        <f>ABS(Annual_return_and_ratios!F5 - Annual_return_and_ratios!F170)</f>
        <v>0.8198824491</v>
      </c>
      <c r="G137" s="7">
        <f>ABS(Annual_return_and_ratios!G5 - Annual_return_and_ratios!G170)</f>
        <v>0.9764526247</v>
      </c>
      <c r="H137" s="7">
        <f>ABS(Annual_return_and_ratios!H5 - Annual_return_and_ratios!H170)</f>
        <v>0.8974397477</v>
      </c>
      <c r="I137" s="7">
        <f>ABS(Annual_return_and_ratios!I5 - Annual_return_and_ratios!I170)</f>
        <v>0.9398330809</v>
      </c>
      <c r="J137" s="7">
        <f>ABS(Annual_return_and_ratios!J5 - Annual_return_and_ratios!J170)</f>
        <v>0.9077676733</v>
      </c>
      <c r="K137" s="7">
        <f>ABS(Annual_return_and_ratios!K5 - Annual_return_and_ratios!K170)</f>
        <v>0.5238248468</v>
      </c>
      <c r="L137" s="7">
        <f>ABS(Annual_return_and_ratios!L5 - Annual_return_and_ratios!L170)</f>
        <v>0.6646633743</v>
      </c>
      <c r="M137" s="7">
        <f>ABS(Annual_return_and_ratios!M5 - Annual_return_and_ratios!M170)</f>
        <v>0.8877465213</v>
      </c>
    </row>
    <row r="138">
      <c r="A138" s="10" t="s">
        <v>7</v>
      </c>
      <c r="B138" s="7">
        <f>ABS(Annual_return_and_ratios!B6 - Annual_return_and_ratios!B171)</f>
        <v>0.9729288557</v>
      </c>
      <c r="C138" s="7">
        <f>ABS(Annual_return_and_ratios!C6 - Annual_return_and_ratios!C171)</f>
        <v>0.972091733</v>
      </c>
      <c r="D138" s="7">
        <f>ABS(Annual_return_and_ratios!D6 - Annual_return_and_ratios!D171)</f>
        <v>1.009415504</v>
      </c>
      <c r="E138" s="7">
        <f>ABS(Annual_return_and_ratios!E6 - Annual_return_and_ratios!E171)</f>
        <v>0.03088271557</v>
      </c>
      <c r="F138" s="7">
        <f>ABS(Annual_return_and_ratios!F6 - Annual_return_and_ratios!F171)</f>
        <v>0.08572230757</v>
      </c>
      <c r="G138" s="7">
        <f>ABS(Annual_return_and_ratios!G6 - Annual_return_and_ratios!G171)</f>
        <v>0.6143937788</v>
      </c>
      <c r="H138" s="7">
        <f>ABS(Annual_return_and_ratios!H6 - Annual_return_and_ratios!H171)</f>
        <v>0.1253111391</v>
      </c>
      <c r="I138" s="7">
        <f>ABS(Annual_return_and_ratios!I6 - Annual_return_and_ratios!I171)</f>
        <v>0.07454133564</v>
      </c>
      <c r="J138" s="7">
        <f>ABS(Annual_return_and_ratios!J6 - Annual_return_and_ratios!J171)</f>
        <v>0.03429473279</v>
      </c>
      <c r="K138" s="7">
        <f>ABS(Annual_return_and_ratios!K6 - Annual_return_and_ratios!K171)</f>
        <v>0.9491021861</v>
      </c>
      <c r="L138" s="7">
        <f>ABS(Annual_return_and_ratios!L6 - Annual_return_and_ratios!L171)</f>
        <v>0.9247856303</v>
      </c>
      <c r="M138" s="7">
        <f>ABS(Annual_return_and_ratios!M6 - Annual_return_and_ratios!M171)</f>
        <v>0.9568930048</v>
      </c>
    </row>
    <row r="139">
      <c r="A139" s="10" t="s">
        <v>8</v>
      </c>
      <c r="B139" s="7">
        <f>ABS(Annual_return_and_ratios!B7 - Annual_return_and_ratios!B172)</f>
        <v>0.6667525734</v>
      </c>
      <c r="C139" s="7">
        <f>ABS(Annual_return_and_ratios!C7 - Annual_return_and_ratios!C172)</f>
        <v>0.6728494141</v>
      </c>
      <c r="D139" s="7">
        <f>ABS(Annual_return_and_ratios!D7 - Annual_return_and_ratios!D172)</f>
        <v>0.8179184739</v>
      </c>
      <c r="E139" s="7">
        <f>ABS(Annual_return_and_ratios!E7 - Annual_return_and_ratios!E172)</f>
        <v>0.8240402043</v>
      </c>
      <c r="F139" s="7">
        <f>ABS(Annual_return_and_ratios!F7 - Annual_return_and_ratios!F172)</f>
        <v>0.8762558962</v>
      </c>
      <c r="G139" s="7">
        <f>ABS(Annual_return_and_ratios!G7 - Annual_return_and_ratios!G172)</f>
        <v>0.9740560027</v>
      </c>
      <c r="H139" s="7">
        <f>ABS(Annual_return_and_ratios!H7 - Annual_return_and_ratios!H172)</f>
        <v>0.9811837126</v>
      </c>
      <c r="I139" s="7">
        <f>ABS(Annual_return_and_ratios!I7 - Annual_return_and_ratios!I172)</f>
        <v>0.8455736342</v>
      </c>
      <c r="J139" s="7">
        <f>ABS(Annual_return_and_ratios!J7 - Annual_return_and_ratios!J172)</f>
        <v>0.803549413</v>
      </c>
      <c r="K139" s="7">
        <f>ABS(Annual_return_and_ratios!K7 - Annual_return_and_ratios!K172)</f>
        <v>0.01368439652</v>
      </c>
      <c r="L139" s="7">
        <f>ABS(Annual_return_and_ratios!L7 - Annual_return_and_ratios!L172)</f>
        <v>0.7553502223</v>
      </c>
      <c r="M139" s="7">
        <f>ABS(Annual_return_and_ratios!M7 - Annual_return_and_ratios!M172)</f>
        <v>0.9640193367</v>
      </c>
    </row>
    <row r="140">
      <c r="A140" s="10" t="s">
        <v>9</v>
      </c>
      <c r="B140" s="7">
        <f>ABS(Annual_return_and_ratios!B8 - Annual_return_and_ratios!B173)</f>
        <v>0.7679649373</v>
      </c>
      <c r="C140" s="7">
        <f>ABS(Annual_return_and_ratios!C8 - Annual_return_and_ratios!C173)</f>
        <v>0.1927654854</v>
      </c>
      <c r="D140" s="7">
        <f>ABS(Annual_return_and_ratios!D8 - Annual_return_and_ratios!D173)</f>
        <v>0.6151158183</v>
      </c>
      <c r="E140" s="7">
        <f>ABS(Annual_return_and_ratios!E8 - Annual_return_and_ratios!E173)</f>
        <v>0.1664032818</v>
      </c>
      <c r="F140" s="7">
        <f>ABS(Annual_return_and_ratios!F8 - Annual_return_and_ratios!F173)</f>
        <v>0.9872486819</v>
      </c>
      <c r="G140" s="7">
        <f>ABS(Annual_return_and_ratios!G8 - Annual_return_and_ratios!G173)</f>
        <v>0.971012034</v>
      </c>
      <c r="H140" s="7">
        <f>ABS(Annual_return_and_ratios!H8 - Annual_return_and_ratios!H173)</f>
        <v>0.01506366077</v>
      </c>
      <c r="I140" s="7">
        <f>ABS(Annual_return_and_ratios!I8 - Annual_return_and_ratios!I173)</f>
        <v>0.01232435382</v>
      </c>
      <c r="J140" s="7">
        <f>ABS(Annual_return_and_ratios!J8 - Annual_return_and_ratios!J173)</f>
        <v>0.7314273092</v>
      </c>
      <c r="K140" s="7">
        <f>ABS(Annual_return_and_ratios!K8 - Annual_return_and_ratios!K173)</f>
        <v>0.8563415736</v>
      </c>
      <c r="L140" s="7">
        <f>ABS(Annual_return_and_ratios!L8 - Annual_return_and_ratios!L173)</f>
        <v>0.7379613071</v>
      </c>
      <c r="M140" s="7">
        <f>ABS(Annual_return_and_ratios!M8 - Annual_return_and_ratios!M173)</f>
        <v>0.6459238114</v>
      </c>
    </row>
    <row r="141">
      <c r="A141" s="10" t="s">
        <v>10</v>
      </c>
      <c r="B141" s="7">
        <f>ABS(Annual_return_and_ratios!B9 - Annual_return_and_ratios!B174)</f>
        <v>0.8325317958</v>
      </c>
      <c r="C141" s="7">
        <f>ABS(Annual_return_and_ratios!C9 - Annual_return_and_ratios!C174)</f>
        <v>0.7896707447</v>
      </c>
      <c r="D141" s="7">
        <f>ABS(Annual_return_and_ratios!D9 - Annual_return_and_ratios!D174)</f>
        <v>0.8813028042</v>
      </c>
      <c r="E141" s="7">
        <f>ABS(Annual_return_and_ratios!E9 - Annual_return_and_ratios!E174)</f>
        <v>0.83308386</v>
      </c>
      <c r="F141" s="7">
        <f>ABS(Annual_return_and_ratios!F9 - Annual_return_and_ratios!F174)</f>
        <v>0.7700975537</v>
      </c>
      <c r="G141" s="7">
        <f>ABS(Annual_return_and_ratios!G9 - Annual_return_and_ratios!G174)</f>
        <v>0.9767332833</v>
      </c>
      <c r="H141" s="7">
        <f>ABS(Annual_return_and_ratios!H9 - Annual_return_and_ratios!H174)</f>
        <v>0.9144262934</v>
      </c>
      <c r="I141" s="7">
        <f>ABS(Annual_return_and_ratios!I9 - Annual_return_and_ratios!I174)</f>
        <v>0.9078434244</v>
      </c>
      <c r="J141" s="7">
        <f>ABS(Annual_return_and_ratios!J9 - Annual_return_and_ratios!J174)</f>
        <v>0.9218657214</v>
      </c>
      <c r="K141" s="7">
        <f>ABS(Annual_return_and_ratios!K9 - Annual_return_and_ratios!K174)</f>
        <v>0.8711949819</v>
      </c>
      <c r="L141" s="7">
        <f>ABS(Annual_return_and_ratios!L9 - Annual_return_and_ratios!L174)</f>
        <v>0.862183728</v>
      </c>
      <c r="M141" s="7">
        <f>ABS(Annual_return_and_ratios!M9 - Annual_return_and_ratios!M174)</f>
        <v>0.8723661483</v>
      </c>
    </row>
    <row r="142">
      <c r="A142" s="10" t="s">
        <v>11</v>
      </c>
      <c r="B142" s="7">
        <f>ABS(Annual_return_and_ratios!B10 - Annual_return_and_ratios!B175)</f>
        <v>0.8578351842</v>
      </c>
      <c r="C142" s="7">
        <f>ABS(Annual_return_and_ratios!C10 - Annual_return_and_ratios!C175)</f>
        <v>0.913066367</v>
      </c>
      <c r="D142" s="7">
        <f>ABS(Annual_return_and_ratios!D10 - Annual_return_and_ratios!D175)</f>
        <v>0.8673372231</v>
      </c>
      <c r="E142" s="7">
        <f>ABS(Annual_return_and_ratios!E10 - Annual_return_and_ratios!E175)</f>
        <v>0.8608462456</v>
      </c>
      <c r="F142" s="7">
        <f>ABS(Annual_return_and_ratios!F10 - Annual_return_and_ratios!F175)</f>
        <v>0.7781468676</v>
      </c>
      <c r="G142" s="7">
        <f>ABS(Annual_return_and_ratios!G10 - Annual_return_and_ratios!G175)</f>
        <v>0.9174094382</v>
      </c>
      <c r="H142" s="7">
        <f>ABS(Annual_return_and_ratios!H10 - Annual_return_and_ratios!H175)</f>
        <v>0.7801326185</v>
      </c>
      <c r="I142" s="7">
        <f>ABS(Annual_return_and_ratios!I10 - Annual_return_and_ratios!I175)</f>
        <v>0.7883080454</v>
      </c>
      <c r="J142" s="7">
        <f>ABS(Annual_return_and_ratios!J10 - Annual_return_and_ratios!J175)</f>
        <v>0.8091722274</v>
      </c>
      <c r="K142" s="7">
        <f>ABS(Annual_return_and_ratios!K10 - Annual_return_and_ratios!K175)</f>
        <v>0.8581793349</v>
      </c>
      <c r="L142" s="7">
        <f>ABS(Annual_return_and_ratios!L10 - Annual_return_and_ratios!L175)</f>
        <v>0.8161084495</v>
      </c>
      <c r="M142" s="7">
        <f>ABS(Annual_return_and_ratios!M10 - Annual_return_and_ratios!M175)</f>
        <v>0.8540976608</v>
      </c>
    </row>
    <row r="143">
      <c r="A143" s="10" t="s">
        <v>12</v>
      </c>
      <c r="B143" s="7">
        <f>ABS(Annual_return_and_ratios!B11 - Annual_return_and_ratios!B176)</f>
        <v>0.6188707015</v>
      </c>
      <c r="C143" s="7">
        <f>ABS(Annual_return_and_ratios!C11 - Annual_return_and_ratios!C176)</f>
        <v>0.613789065</v>
      </c>
      <c r="D143" s="7">
        <f>ABS(Annual_return_and_ratios!D11 - Annual_return_and_ratios!D176)</f>
        <v>0.5185650569</v>
      </c>
      <c r="E143" s="7">
        <f>ABS(Annual_return_and_ratios!E11 - Annual_return_and_ratios!E176)</f>
        <v>0.5967779254</v>
      </c>
      <c r="F143" s="7">
        <f>ABS(Annual_return_and_ratios!F11 - Annual_return_and_ratios!F176)</f>
        <v>0.4273386113</v>
      </c>
      <c r="G143" s="7">
        <f>ABS(Annual_return_and_ratios!G11 - Annual_return_and_ratios!G176)</f>
        <v>0.3886687811</v>
      </c>
      <c r="H143" s="7">
        <f>ABS(Annual_return_and_ratios!H11 - Annual_return_and_ratios!H176)</f>
        <v>0.5019867315</v>
      </c>
      <c r="I143" s="7">
        <f>ABS(Annual_return_and_ratios!I11 - Annual_return_and_ratios!I176)</f>
        <v>0.5393982837</v>
      </c>
      <c r="J143" s="7">
        <f>ABS(Annual_return_and_ratios!J11 - Annual_return_and_ratios!J176)</f>
        <v>0.6685218761</v>
      </c>
      <c r="K143" s="7">
        <f>ABS(Annual_return_and_ratios!K11 - Annual_return_and_ratios!K176)</f>
        <v>0.6565122246</v>
      </c>
      <c r="L143" s="7">
        <f>ABS(Annual_return_and_ratios!L11 - Annual_return_and_ratios!L176)</f>
        <v>0.6446073263</v>
      </c>
      <c r="M143" s="7">
        <f>ABS(Annual_return_and_ratios!M11 - Annual_return_and_ratios!M176)</f>
        <v>0.7388298775</v>
      </c>
    </row>
    <row r="144">
      <c r="A144" s="10" t="s">
        <v>13</v>
      </c>
      <c r="B144" s="7">
        <f>ABS(Annual_return_and_ratios!B12 - Annual_return_and_ratios!B177)</f>
        <v>0.8767573612</v>
      </c>
      <c r="C144" s="7">
        <f>ABS(Annual_return_and_ratios!C12 - Annual_return_and_ratios!C177)</f>
        <v>0.8852386375</v>
      </c>
      <c r="D144" s="7">
        <f>ABS(Annual_return_and_ratios!D12 - Annual_return_and_ratios!D177)</f>
        <v>0.8785103574</v>
      </c>
      <c r="E144" s="7">
        <f>ABS(Annual_return_and_ratios!E12 - Annual_return_and_ratios!E177)</f>
        <v>0.8565603888</v>
      </c>
      <c r="F144" s="7">
        <f>ABS(Annual_return_and_ratios!F12 - Annual_return_and_ratios!F177)</f>
        <v>0.8220596209</v>
      </c>
      <c r="G144" s="7">
        <f>ABS(Annual_return_and_ratios!G12 - Annual_return_and_ratios!G177)</f>
        <v>0.8716245533</v>
      </c>
      <c r="H144" s="7">
        <f>ABS(Annual_return_and_ratios!H12 - Annual_return_and_ratios!H177)</f>
        <v>0.4980906851</v>
      </c>
      <c r="I144" s="7">
        <f>ABS(Annual_return_and_ratios!I12 - Annual_return_and_ratios!I177)</f>
        <v>0.8432810467</v>
      </c>
      <c r="J144" s="7">
        <f>ABS(Annual_return_and_ratios!J12 - Annual_return_and_ratios!J177)</f>
        <v>0.8812192282</v>
      </c>
      <c r="K144" s="7">
        <f>ABS(Annual_return_and_ratios!K12 - Annual_return_and_ratios!K177)</f>
        <v>0.9574588302</v>
      </c>
      <c r="L144" s="7">
        <f>ABS(Annual_return_and_ratios!L12 - Annual_return_and_ratios!L177)</f>
        <v>0.9041362304</v>
      </c>
      <c r="M144" s="7">
        <f>ABS(Annual_return_and_ratios!M12 - Annual_return_and_ratios!M177)</f>
        <v>0.9195332946</v>
      </c>
    </row>
    <row r="145">
      <c r="A145" s="10" t="s">
        <v>14</v>
      </c>
      <c r="B145" s="7">
        <f>ABS(Annual_return_and_ratios!B13 - Annual_return_and_ratios!B178)</f>
        <v>0.835179741</v>
      </c>
      <c r="C145" s="7">
        <f>ABS(Annual_return_and_ratios!C13 - Annual_return_and_ratios!C178)</f>
        <v>0.8409014425</v>
      </c>
      <c r="D145" s="7">
        <f>ABS(Annual_return_and_ratios!D13 - Annual_return_and_ratios!D178)</f>
        <v>0.8659197222</v>
      </c>
      <c r="E145" s="7">
        <f>ABS(Annual_return_and_ratios!E13 - Annual_return_and_ratios!E178)</f>
        <v>0.709395783</v>
      </c>
      <c r="F145" s="7">
        <f>ABS(Annual_return_and_ratios!F13 - Annual_return_and_ratios!F178)</f>
        <v>0.7223849767</v>
      </c>
      <c r="G145" s="7">
        <f>ABS(Annual_return_and_ratios!G13 - Annual_return_and_ratios!G178)</f>
        <v>0.9199880514</v>
      </c>
      <c r="H145" s="7">
        <f>ABS(Annual_return_and_ratios!H13 - Annual_return_and_ratios!H178)</f>
        <v>0.848678357</v>
      </c>
      <c r="I145" s="7">
        <f>ABS(Annual_return_and_ratios!I13 - Annual_return_and_ratios!I178)</f>
        <v>0.904821548</v>
      </c>
      <c r="J145" s="7">
        <f>ABS(Annual_return_and_ratios!J13 - Annual_return_and_ratios!J178)</f>
        <v>0.924553948</v>
      </c>
      <c r="K145" s="7">
        <f>ABS(Annual_return_and_ratios!K13 - Annual_return_and_ratios!K178)</f>
        <v>0.8641011612</v>
      </c>
      <c r="L145" s="7">
        <f>ABS(Annual_return_and_ratios!L13 - Annual_return_and_ratios!L178)</f>
        <v>0.8485687223</v>
      </c>
      <c r="M145" s="7">
        <f>ABS(Annual_return_and_ratios!M13 - Annual_return_and_ratios!M178)</f>
        <v>0.8859576296</v>
      </c>
    </row>
    <row r="146">
      <c r="A146" s="10" t="s">
        <v>15</v>
      </c>
      <c r="B146" s="7">
        <f>ABS(Annual_return_and_ratios!B14 - Annual_return_and_ratios!B179)</f>
        <v>0.9248945351</v>
      </c>
      <c r="C146" s="7">
        <f>ABS(Annual_return_and_ratios!C14 - Annual_return_and_ratios!C179)</f>
        <v>0.8149837166</v>
      </c>
      <c r="D146" s="7">
        <f>ABS(Annual_return_and_ratios!D14 - Annual_return_and_ratios!D179)</f>
        <v>0.7980706159</v>
      </c>
      <c r="E146" s="7">
        <f>ABS(Annual_return_and_ratios!E14 - Annual_return_and_ratios!E179)</f>
        <v>0.8607277752</v>
      </c>
      <c r="F146" s="7">
        <f>ABS(Annual_return_and_ratios!F14 - Annual_return_and_ratios!F179)</f>
        <v>0.8527553774</v>
      </c>
      <c r="G146" s="7">
        <f>ABS(Annual_return_and_ratios!G14 - Annual_return_and_ratios!G179)</f>
        <v>0.9703757291</v>
      </c>
      <c r="H146" s="7">
        <f>ABS(Annual_return_and_ratios!H14 - Annual_return_and_ratios!H179)</f>
        <v>0.7905523309</v>
      </c>
      <c r="I146" s="7">
        <f>ABS(Annual_return_and_ratios!I14 - Annual_return_and_ratios!I179)</f>
        <v>0.826717672</v>
      </c>
      <c r="J146" s="7">
        <f>ABS(Annual_return_and_ratios!J14 - Annual_return_and_ratios!J179)</f>
        <v>0.7438278145</v>
      </c>
      <c r="K146" s="7">
        <f>ABS(Annual_return_and_ratios!K14 - Annual_return_and_ratios!K179)</f>
        <v>0.6834947467</v>
      </c>
      <c r="L146" s="7">
        <f>ABS(Annual_return_and_ratios!L14 - Annual_return_and_ratios!L179)</f>
        <v>0.8175815647</v>
      </c>
      <c r="M146" s="7">
        <f>ABS(Annual_return_and_ratios!M14 - Annual_return_and_ratios!M179)</f>
        <v>0.7666782658</v>
      </c>
    </row>
    <row r="147">
      <c r="A147" s="10" t="s">
        <v>16</v>
      </c>
      <c r="B147" s="7">
        <f>ABS(Annual_return_and_ratios!B15 - Annual_return_and_ratios!B180)</f>
        <v>0.8666357624</v>
      </c>
      <c r="C147" s="7">
        <f>ABS(Annual_return_and_ratios!C15 - Annual_return_and_ratios!C180)</f>
        <v>0.8776930868</v>
      </c>
      <c r="D147" s="7">
        <f>ABS(Annual_return_and_ratios!D15 - Annual_return_and_ratios!D180)</f>
        <v>0.8491037779</v>
      </c>
      <c r="E147" s="7">
        <f>ABS(Annual_return_and_ratios!E15 - Annual_return_and_ratios!E180)</f>
        <v>0.8034596696</v>
      </c>
      <c r="F147" s="7">
        <f>ABS(Annual_return_and_ratios!F15 - Annual_return_and_ratios!F180)</f>
        <v>0.7216853664</v>
      </c>
      <c r="G147" s="7">
        <f>ABS(Annual_return_and_ratios!G15 - Annual_return_and_ratios!G180)</f>
        <v>0.7986389433</v>
      </c>
      <c r="H147" s="7">
        <f>ABS(Annual_return_and_ratios!H15 - Annual_return_and_ratios!H180)</f>
        <v>0.7219178806</v>
      </c>
      <c r="I147" s="7">
        <f>ABS(Annual_return_and_ratios!I15 - Annual_return_and_ratios!I180)</f>
        <v>0.7602029555</v>
      </c>
      <c r="J147" s="7">
        <f>ABS(Annual_return_and_ratios!J15 - Annual_return_and_ratios!J180)</f>
        <v>0.7529154344</v>
      </c>
      <c r="K147" s="7">
        <f>ABS(Annual_return_and_ratios!K15 - Annual_return_and_ratios!K180)</f>
        <v>0.7331083566</v>
      </c>
      <c r="L147" s="7">
        <f>ABS(Annual_return_and_ratios!L15 - Annual_return_and_ratios!L180)</f>
        <v>0.7234697393</v>
      </c>
      <c r="M147" s="7">
        <f>ABS(Annual_return_and_ratios!M15 - Annual_return_and_ratios!M180)</f>
        <v>0.824549953</v>
      </c>
    </row>
    <row r="148">
      <c r="A148" s="10" t="s">
        <v>17</v>
      </c>
      <c r="B148" s="7">
        <f>ABS(Annual_return_and_ratios!B16 - Annual_return_and_ratios!B181)</f>
        <v>0.7840905606</v>
      </c>
      <c r="C148" s="7">
        <f>ABS(Annual_return_and_ratios!C16 - Annual_return_and_ratios!C181)</f>
        <v>0.6592275311</v>
      </c>
      <c r="D148" s="7">
        <f>ABS(Annual_return_and_ratios!D16 - Annual_return_and_ratios!D181)</f>
        <v>0.7805542742</v>
      </c>
      <c r="E148" s="7">
        <f>ABS(Annual_return_and_ratios!E16 - Annual_return_and_ratios!E181)</f>
        <v>0.7843711091</v>
      </c>
      <c r="F148" s="7">
        <f>ABS(Annual_return_and_ratios!F16 - Annual_return_and_ratios!F181)</f>
        <v>0.8554715186</v>
      </c>
      <c r="G148" s="7">
        <f>ABS(Annual_return_and_ratios!G16 - Annual_return_and_ratios!G181)</f>
        <v>0.9833085362</v>
      </c>
      <c r="H148" s="7">
        <f>ABS(Annual_return_and_ratios!H16 - Annual_return_and_ratios!H181)</f>
        <v>0.863272555</v>
      </c>
      <c r="I148" s="7">
        <f>ABS(Annual_return_and_ratios!I16 - Annual_return_and_ratios!I181)</f>
        <v>0.8192628463</v>
      </c>
      <c r="J148" s="7">
        <f>ABS(Annual_return_and_ratios!J16 - Annual_return_and_ratios!J181)</f>
        <v>0.7126769729</v>
      </c>
      <c r="K148" s="7">
        <f>ABS(Annual_return_and_ratios!K16 - Annual_return_and_ratios!K181)</f>
        <v>0.8475349882</v>
      </c>
      <c r="L148" s="7">
        <f>ABS(Annual_return_and_ratios!L16 - Annual_return_and_ratios!L181)</f>
        <v>0.7379524327</v>
      </c>
      <c r="M148" s="7">
        <f>ABS(Annual_return_and_ratios!M16 - Annual_return_and_ratios!M181)</f>
        <v>0.8084869386</v>
      </c>
    </row>
    <row r="149">
      <c r="A149" s="10" t="s">
        <v>18</v>
      </c>
      <c r="B149" s="7">
        <f>ABS(Annual_return_and_ratios!B17 - Annual_return_and_ratios!B182)</f>
        <v>0.8297384272</v>
      </c>
      <c r="C149" s="7">
        <f>ABS(Annual_return_and_ratios!C17 - Annual_return_and_ratios!C182)</f>
        <v>0.8476317751</v>
      </c>
      <c r="D149" s="7">
        <f>ABS(Annual_return_and_ratios!D17 - Annual_return_and_ratios!D182)</f>
        <v>0.9124819163</v>
      </c>
      <c r="E149" s="7">
        <f>ABS(Annual_return_and_ratios!E17 - Annual_return_and_ratios!E182)</f>
        <v>0.9320547036</v>
      </c>
      <c r="F149" s="7">
        <f>ABS(Annual_return_and_ratios!F17 - Annual_return_and_ratios!F182)</f>
        <v>0.5376075382</v>
      </c>
      <c r="G149" s="7">
        <f>ABS(Annual_return_and_ratios!G17 - Annual_return_and_ratios!G182)</f>
        <v>1.05388821</v>
      </c>
      <c r="H149" s="7">
        <f>ABS(Annual_return_and_ratios!H17 - Annual_return_and_ratios!H182)</f>
        <v>0.9467763042</v>
      </c>
      <c r="I149" s="7">
        <f>ABS(Annual_return_and_ratios!I17 - Annual_return_and_ratios!I182)</f>
        <v>0.9516097444</v>
      </c>
      <c r="J149" s="7">
        <f>ABS(Annual_return_and_ratios!J17 - Annual_return_and_ratios!J182)</f>
        <v>0.7216097253</v>
      </c>
      <c r="K149" s="7">
        <f>ABS(Annual_return_and_ratios!K17 - Annual_return_and_ratios!K182)</f>
        <v>0.8638205555</v>
      </c>
      <c r="L149" s="7">
        <f>ABS(Annual_return_and_ratios!L17 - Annual_return_and_ratios!L182)</f>
        <v>0.8388171503</v>
      </c>
      <c r="M149" s="7">
        <f>ABS(Annual_return_and_ratios!M17 - Annual_return_and_ratios!M182)</f>
        <v>0.9281054049</v>
      </c>
    </row>
    <row r="150">
      <c r="A150" s="10" t="s">
        <v>19</v>
      </c>
      <c r="B150" s="7">
        <f>ABS(Annual_return_and_ratios!B18 - Annual_return_and_ratios!B183)</f>
        <v>0.84544127</v>
      </c>
      <c r="C150" s="7">
        <f>ABS(Annual_return_and_ratios!C18 - Annual_return_and_ratios!C183)</f>
        <v>0.7628403081</v>
      </c>
      <c r="D150" s="7">
        <f>ABS(Annual_return_and_ratios!D18 - Annual_return_and_ratios!D183)</f>
        <v>0.7810655249</v>
      </c>
      <c r="E150" s="7">
        <f>ABS(Annual_return_and_ratios!E18 - Annual_return_and_ratios!E183)</f>
        <v>0.5319983889</v>
      </c>
      <c r="F150" s="7">
        <f>ABS(Annual_return_and_ratios!F18 - Annual_return_and_ratios!F183)</f>
        <v>0.6046367342</v>
      </c>
      <c r="G150" s="7">
        <f>ABS(Annual_return_and_ratios!G18 - Annual_return_and_ratios!G183)</f>
        <v>0.88023006</v>
      </c>
      <c r="H150" s="7">
        <f>ABS(Annual_return_and_ratios!H18 - Annual_return_and_ratios!H183)</f>
        <v>0.8499038966</v>
      </c>
      <c r="I150" s="7">
        <f>ABS(Annual_return_and_ratios!I18 - Annual_return_and_ratios!I183)</f>
        <v>0.7308031439</v>
      </c>
      <c r="J150" s="7">
        <f>ABS(Annual_return_and_ratios!J18 - Annual_return_and_ratios!J183)</f>
        <v>0.805125647</v>
      </c>
      <c r="K150" s="7">
        <f>ABS(Annual_return_and_ratios!K18 - Annual_return_and_ratios!K183)</f>
        <v>0.8744748849</v>
      </c>
      <c r="L150" s="7">
        <f>ABS(Annual_return_and_ratios!L18 - Annual_return_and_ratios!L183)</f>
        <v>0.7424230553</v>
      </c>
      <c r="M150" s="7">
        <f>ABS(Annual_return_and_ratios!M18 - Annual_return_and_ratios!M183)</f>
        <v>0.8248893362</v>
      </c>
    </row>
    <row r="151">
      <c r="A151" s="10" t="s">
        <v>20</v>
      </c>
      <c r="B151" s="7">
        <f>ABS(Annual_return_and_ratios!B19 - Annual_return_and_ratios!B184)</f>
        <v>0.9013472237</v>
      </c>
      <c r="C151" s="7">
        <f>ABS(Annual_return_and_ratios!C19 - Annual_return_and_ratios!C184)</f>
        <v>0.8584360184</v>
      </c>
      <c r="D151" s="7">
        <f>ABS(Annual_return_and_ratios!D19 - Annual_return_and_ratios!D184)</f>
        <v>0.9406637859</v>
      </c>
      <c r="E151" s="7">
        <f>ABS(Annual_return_and_ratios!E19 - Annual_return_and_ratios!E184)</f>
        <v>0.9609651787</v>
      </c>
      <c r="F151" s="7">
        <f>ABS(Annual_return_and_ratios!F19 - Annual_return_and_ratios!F184)</f>
        <v>0.9623359746</v>
      </c>
      <c r="G151" s="7">
        <f>ABS(Annual_return_and_ratios!G19 - Annual_return_and_ratios!G184)</f>
        <v>1.026503714</v>
      </c>
      <c r="H151" s="7">
        <f>ABS(Annual_return_and_ratios!H19 - Annual_return_and_ratios!H184)</f>
        <v>0.9677155579</v>
      </c>
      <c r="I151" s="7">
        <f>ABS(Annual_return_and_ratios!I19 - Annual_return_and_ratios!I184)</f>
        <v>0.9110571329</v>
      </c>
      <c r="J151" s="7">
        <f>ABS(Annual_return_and_ratios!J19 - Annual_return_and_ratios!J184)</f>
        <v>0.9185929346</v>
      </c>
      <c r="K151" s="7">
        <f>ABS(Annual_return_and_ratios!K19 - Annual_return_and_ratios!K184)</f>
        <v>0.9744147899</v>
      </c>
      <c r="L151" s="7">
        <f>ABS(Annual_return_and_ratios!L19 - Annual_return_and_ratios!L184)</f>
        <v>0.9248702162</v>
      </c>
      <c r="M151" s="7">
        <f>ABS(Annual_return_and_ratios!M19 - Annual_return_and_ratios!M184)</f>
        <v>0.9861015344</v>
      </c>
    </row>
    <row r="152">
      <c r="A152" s="10" t="s">
        <v>21</v>
      </c>
      <c r="B152" s="7">
        <f>ABS(Annual_return_and_ratios!B20 - Annual_return_and_ratios!B185)</f>
        <v>0.9018102366</v>
      </c>
      <c r="C152" s="7">
        <f>ABS(Annual_return_and_ratios!C20 - Annual_return_and_ratios!C185)</f>
        <v>0.8687732049</v>
      </c>
      <c r="D152" s="7">
        <f>ABS(Annual_return_and_ratios!D20 - Annual_return_and_ratios!D185)</f>
        <v>0.9574061439</v>
      </c>
      <c r="E152" s="7">
        <f>ABS(Annual_return_and_ratios!E20 - Annual_return_and_ratios!E185)</f>
        <v>0.9451854658</v>
      </c>
      <c r="F152" s="7">
        <f>ABS(Annual_return_and_ratios!F20 - Annual_return_and_ratios!F185)</f>
        <v>0.9433191018</v>
      </c>
      <c r="G152" s="7">
        <f>ABS(Annual_return_and_ratios!G20 - Annual_return_and_ratios!G185)</f>
        <v>1.002704067</v>
      </c>
      <c r="H152" s="7">
        <f>ABS(Annual_return_and_ratios!H20 - Annual_return_and_ratios!H185)</f>
        <v>0.956368051</v>
      </c>
      <c r="I152" s="7">
        <f>ABS(Annual_return_and_ratios!I20 - Annual_return_and_ratios!I185)</f>
        <v>0.9468429835</v>
      </c>
      <c r="J152" s="7">
        <f>ABS(Annual_return_and_ratios!J20 - Annual_return_and_ratios!J185)</f>
        <v>0.9034542992</v>
      </c>
      <c r="K152" s="7">
        <f>ABS(Annual_return_and_ratios!K20 - Annual_return_and_ratios!K185)</f>
        <v>0.9502732635</v>
      </c>
      <c r="L152" s="7">
        <f>ABS(Annual_return_and_ratios!L20 - Annual_return_and_ratios!L185)</f>
        <v>0.8922722632</v>
      </c>
      <c r="M152" s="7">
        <f>ABS(Annual_return_and_ratios!M20 - Annual_return_and_ratios!M185)</f>
        <v>0.949040023</v>
      </c>
    </row>
    <row r="153">
      <c r="A153" s="10" t="s">
        <v>22</v>
      </c>
      <c r="B153" s="7">
        <f>ABS(Annual_return_and_ratios!B21 - Annual_return_and_ratios!B186)</f>
        <v>0.8541456817</v>
      </c>
      <c r="C153" s="7">
        <f>ABS(Annual_return_and_ratios!C21 - Annual_return_and_ratios!C186)</f>
        <v>0.7759164174</v>
      </c>
      <c r="D153" s="7">
        <f>ABS(Annual_return_and_ratios!D21 - Annual_return_and_ratios!D186)</f>
        <v>0.8583157609</v>
      </c>
      <c r="E153" s="7">
        <f>ABS(Annual_return_and_ratios!E21 - Annual_return_and_ratios!E186)</f>
        <v>0.7813156627</v>
      </c>
      <c r="F153" s="7">
        <f>ABS(Annual_return_and_ratios!F21 - Annual_return_and_ratios!F186)</f>
        <v>0.771896422</v>
      </c>
      <c r="G153" s="7">
        <f>ABS(Annual_return_and_ratios!G21 - Annual_return_and_ratios!G186)</f>
        <v>0.915653493</v>
      </c>
      <c r="H153" s="7">
        <f>ABS(Annual_return_and_ratios!H21 - Annual_return_and_ratios!H186)</f>
        <v>0.8393200662</v>
      </c>
      <c r="I153" s="7">
        <f>ABS(Annual_return_and_ratios!I21 - Annual_return_and_ratios!I186)</f>
        <v>0.9048393954</v>
      </c>
      <c r="J153" s="7">
        <f>ABS(Annual_return_and_ratios!J21 - Annual_return_and_ratios!J186)</f>
        <v>0.9192652664</v>
      </c>
      <c r="K153" s="7">
        <f>ABS(Annual_return_and_ratios!K21 - Annual_return_and_ratios!K186)</f>
        <v>0.9405558393</v>
      </c>
      <c r="L153" s="7">
        <f>ABS(Annual_return_and_ratios!L21 - Annual_return_and_ratios!L186)</f>
        <v>0.9735495447</v>
      </c>
      <c r="M153" s="7">
        <f>ABS(Annual_return_and_ratios!M21 - Annual_return_and_ratios!M186)</f>
        <v>0.9298212649</v>
      </c>
    </row>
    <row r="154">
      <c r="A154" s="10" t="s">
        <v>23</v>
      </c>
      <c r="B154" s="7">
        <f>ABS(Annual_return_and_ratios!B22 - Annual_return_and_ratios!B187)</f>
        <v>0.9766317011</v>
      </c>
      <c r="C154" s="7">
        <f>ABS(Annual_return_and_ratios!C22 - Annual_return_and_ratios!C187)</f>
        <v>0.9339821669</v>
      </c>
      <c r="D154" s="7">
        <f>ABS(Annual_return_and_ratios!D22 - Annual_return_and_ratios!D187)</f>
        <v>0.9719036467</v>
      </c>
      <c r="E154" s="7">
        <f>ABS(Annual_return_and_ratios!E22 - Annual_return_and_ratios!E187)</f>
        <v>0.9174899139</v>
      </c>
      <c r="F154" s="7">
        <f>ABS(Annual_return_and_ratios!F22 - Annual_return_and_ratios!F187)</f>
        <v>0.8679945194</v>
      </c>
      <c r="G154" s="7">
        <f>ABS(Annual_return_and_ratios!G22 - Annual_return_and_ratios!G187)</f>
        <v>1.004309572</v>
      </c>
      <c r="H154" s="7">
        <f>ABS(Annual_return_and_ratios!H22 - Annual_return_and_ratios!H187)</f>
        <v>0.02020012658</v>
      </c>
      <c r="I154" s="7">
        <f>ABS(Annual_return_and_ratios!I22 - Annual_return_and_ratios!I187)</f>
        <v>1.011748359</v>
      </c>
      <c r="J154" s="7">
        <f>ABS(Annual_return_and_ratios!J22 - Annual_return_and_ratios!J187)</f>
        <v>0.03405140098</v>
      </c>
      <c r="K154" s="7">
        <f>ABS(Annual_return_and_ratios!K22 - Annual_return_and_ratios!K187)</f>
        <v>0.9730982251</v>
      </c>
      <c r="L154" s="7">
        <f>ABS(Annual_return_and_ratios!L22 - Annual_return_and_ratios!L187)</f>
        <v>0.9224850571</v>
      </c>
      <c r="M154" s="7">
        <f>ABS(Annual_return_and_ratios!M22 - Annual_return_and_ratios!M187)</f>
        <v>0.9665438176</v>
      </c>
    </row>
    <row r="155">
      <c r="A155" s="10" t="s">
        <v>24</v>
      </c>
      <c r="B155" s="7">
        <f>ABS(Annual_return_and_ratios!B23 - Annual_return_and_ratios!B188)</f>
        <v>0.7187941054</v>
      </c>
      <c r="C155" s="7">
        <f>ABS(Annual_return_and_ratios!C23 - Annual_return_and_ratios!C188)</f>
        <v>0.6581287517</v>
      </c>
      <c r="D155" s="7">
        <f>ABS(Annual_return_and_ratios!D23 - Annual_return_and_ratios!D188)</f>
        <v>0.8047336713</v>
      </c>
      <c r="E155" s="7">
        <f>ABS(Annual_return_and_ratios!E23 - Annual_return_and_ratios!E188)</f>
        <v>0.4344771188</v>
      </c>
      <c r="F155" s="7">
        <f>ABS(Annual_return_and_ratios!F23 - Annual_return_and_ratios!F188)</f>
        <v>0.5812799224</v>
      </c>
      <c r="G155" s="7">
        <f>ABS(Annual_return_and_ratios!G23 - Annual_return_and_ratios!G188)</f>
        <v>0.8795276799</v>
      </c>
      <c r="H155" s="7">
        <f>ABS(Annual_return_and_ratios!H23 - Annual_return_and_ratios!H188)</f>
        <v>0.6744902573</v>
      </c>
      <c r="I155" s="7">
        <f>ABS(Annual_return_and_ratios!I23 - Annual_return_and_ratios!I188)</f>
        <v>0.6005745381</v>
      </c>
      <c r="J155" s="7">
        <f>ABS(Annual_return_and_ratios!J23 - Annual_return_and_ratios!J188)</f>
        <v>0.8649835304</v>
      </c>
      <c r="K155" s="7">
        <f>ABS(Annual_return_and_ratios!K23 - Annual_return_and_ratios!K188)</f>
        <v>0.6880292809</v>
      </c>
      <c r="L155" s="7">
        <f>ABS(Annual_return_and_ratios!L23 - Annual_return_and_ratios!L188)</f>
        <v>0.7441377228</v>
      </c>
      <c r="M155" s="7">
        <f>ABS(Annual_return_and_ratios!M23 - Annual_return_and_ratios!M188)</f>
        <v>0.6938127265</v>
      </c>
    </row>
    <row r="156">
      <c r="A156" s="10" t="s">
        <v>25</v>
      </c>
      <c r="B156" s="7">
        <f>ABS(Annual_return_and_ratios!B24 - Annual_return_and_ratios!B189)</f>
        <v>0.8998479756</v>
      </c>
      <c r="C156" s="7">
        <f>ABS(Annual_return_and_ratios!C24 - Annual_return_and_ratios!C189)</f>
        <v>0.6474736075</v>
      </c>
      <c r="D156" s="7">
        <f>ABS(Annual_return_and_ratios!D24 - Annual_return_and_ratios!D189)</f>
        <v>0.3553944046</v>
      </c>
      <c r="E156" s="7">
        <f>ABS(Annual_return_and_ratios!E24 - Annual_return_and_ratios!E189)</f>
        <v>0.8207073514</v>
      </c>
      <c r="F156" s="7">
        <f>ABS(Annual_return_and_ratios!F24 - Annual_return_and_ratios!F189)</f>
        <v>0.4504703308</v>
      </c>
      <c r="G156" s="7">
        <f>ABS(Annual_return_and_ratios!G24 - Annual_return_and_ratios!G189)</f>
        <v>0.9561116877</v>
      </c>
      <c r="H156" s="7">
        <f>ABS(Annual_return_and_ratios!H24 - Annual_return_and_ratios!H189)</f>
        <v>0.9396988255</v>
      </c>
      <c r="I156" s="7">
        <f>ABS(Annual_return_and_ratios!I24 - Annual_return_and_ratios!I189)</f>
        <v>0.8635293866</v>
      </c>
      <c r="J156" s="7">
        <f>ABS(Annual_return_and_ratios!J24 - Annual_return_and_ratios!J189)</f>
        <v>0.7203413785</v>
      </c>
      <c r="K156" s="7">
        <f>ABS(Annual_return_and_ratios!K24 - Annual_return_and_ratios!K189)</f>
        <v>0.8730889318</v>
      </c>
      <c r="L156" s="7">
        <f>ABS(Annual_return_and_ratios!L24 - Annual_return_and_ratios!L189)</f>
        <v>0.7718245901</v>
      </c>
      <c r="M156" s="7">
        <f>ABS(Annual_return_and_ratios!M24 - Annual_return_and_ratios!M189)</f>
        <v>0.7892542726</v>
      </c>
    </row>
    <row r="157">
      <c r="A157" s="10" t="s">
        <v>26</v>
      </c>
      <c r="B157" s="7">
        <f>ABS(Annual_return_and_ratios!B25 - Annual_return_and_ratios!B190)</f>
        <v>0.5685806822</v>
      </c>
      <c r="C157" s="7">
        <f>ABS(Annual_return_and_ratios!C25 - Annual_return_and_ratios!C190)</f>
        <v>0.9661388572</v>
      </c>
      <c r="D157" s="7">
        <f>ABS(Annual_return_and_ratios!D25 - Annual_return_and_ratios!D190)</f>
        <v>0.9375842199</v>
      </c>
      <c r="E157" s="7">
        <f>ABS(Annual_return_and_ratios!E25 - Annual_return_and_ratios!E190)</f>
        <v>0.955939708</v>
      </c>
      <c r="F157" s="7">
        <f>ABS(Annual_return_and_ratios!F25 - Annual_return_and_ratios!F190)</f>
        <v>0.8397774151</v>
      </c>
      <c r="G157" s="7">
        <f>ABS(Annual_return_and_ratios!G25 - Annual_return_and_ratios!G190)</f>
        <v>0.8971002823</v>
      </c>
      <c r="H157" s="7">
        <f>ABS(Annual_return_and_ratios!H25 - Annual_return_and_ratios!H190)</f>
        <v>1.01175668</v>
      </c>
      <c r="I157" s="7">
        <f>ABS(Annual_return_and_ratios!I25 - Annual_return_and_ratios!I190)</f>
        <v>0.9807616957</v>
      </c>
      <c r="J157" s="7">
        <f>ABS(Annual_return_and_ratios!J25 - Annual_return_and_ratios!J190)</f>
        <v>0.9640327361</v>
      </c>
      <c r="K157" s="7">
        <f>ABS(Annual_return_and_ratios!K25 - Annual_return_and_ratios!K190)</f>
        <v>0.9901917984</v>
      </c>
      <c r="L157" s="7">
        <f>ABS(Annual_return_and_ratios!L25 - Annual_return_and_ratios!L190)</f>
        <v>1.013443551</v>
      </c>
      <c r="M157" s="7">
        <f>ABS(Annual_return_and_ratios!M25 - Annual_return_and_ratios!M190)</f>
        <v>0.927418706</v>
      </c>
    </row>
    <row r="158">
      <c r="A158" s="10" t="s">
        <v>27</v>
      </c>
      <c r="B158" s="7">
        <f>ABS(Annual_return_and_ratios!B26 - Annual_return_and_ratios!B191)</f>
        <v>0.8227929186</v>
      </c>
      <c r="C158" s="7">
        <f>ABS(Annual_return_and_ratios!C26 - Annual_return_and_ratios!C191)</f>
        <v>0.769769323</v>
      </c>
      <c r="D158" s="7">
        <f>ABS(Annual_return_and_ratios!D26 - Annual_return_and_ratios!D191)</f>
        <v>0.8227028056</v>
      </c>
      <c r="E158" s="7">
        <f>ABS(Annual_return_and_ratios!E26 - Annual_return_and_ratios!E191)</f>
        <v>0.72676859</v>
      </c>
      <c r="F158" s="7">
        <f>ABS(Annual_return_and_ratios!F26 - Annual_return_and_ratios!F191)</f>
        <v>0.6870047011</v>
      </c>
      <c r="G158" s="7">
        <f>ABS(Annual_return_and_ratios!G26 - Annual_return_and_ratios!G191)</f>
        <v>0.8769560449</v>
      </c>
      <c r="H158" s="7">
        <f>ABS(Annual_return_and_ratios!H26 - Annual_return_and_ratios!H191)</f>
        <v>0.8144463177</v>
      </c>
      <c r="I158" s="7">
        <f>ABS(Annual_return_and_ratios!I26 - Annual_return_and_ratios!I191)</f>
        <v>0.8522245561</v>
      </c>
      <c r="J158" s="7">
        <f>ABS(Annual_return_and_ratios!J26 - Annual_return_and_ratios!J191)</f>
        <v>0.8972935187</v>
      </c>
      <c r="K158" s="7">
        <f>ABS(Annual_return_and_ratios!K26 - Annual_return_and_ratios!K191)</f>
        <v>0.8763090858</v>
      </c>
      <c r="L158" s="7">
        <f>ABS(Annual_return_and_ratios!L26 - Annual_return_and_ratios!L191)</f>
        <v>0.8189004091</v>
      </c>
      <c r="M158" s="7">
        <f>ABS(Annual_return_and_ratios!M26 - Annual_return_and_ratios!M191)</f>
        <v>0.8313763178</v>
      </c>
    </row>
    <row r="159">
      <c r="A159" s="10" t="s">
        <v>28</v>
      </c>
      <c r="B159" s="7">
        <f>ABS(Annual_return_and_ratios!B27 - Annual_return_and_ratios!B192)</f>
        <v>0.7851161849</v>
      </c>
      <c r="C159" s="7">
        <f>ABS(Annual_return_and_ratios!C27 - Annual_return_and_ratios!C192)</f>
        <v>0.6336574974</v>
      </c>
      <c r="D159" s="7">
        <f>ABS(Annual_return_and_ratios!D27 - Annual_return_and_ratios!D192)</f>
        <v>0.8975917236</v>
      </c>
      <c r="E159" s="7">
        <f>ABS(Annual_return_and_ratios!E27 - Annual_return_and_ratios!E192)</f>
        <v>0.8079543903</v>
      </c>
      <c r="F159" s="7">
        <f>ABS(Annual_return_and_ratios!F27 - Annual_return_and_ratios!F192)</f>
        <v>0.8307251553</v>
      </c>
      <c r="G159" s="7">
        <f>ABS(Annual_return_and_ratios!G27 - Annual_return_and_ratios!G192)</f>
        <v>0.9699910687</v>
      </c>
      <c r="H159" s="7">
        <f>ABS(Annual_return_and_ratios!H27 - Annual_return_and_ratios!H192)</f>
        <v>0.8962397288</v>
      </c>
      <c r="I159" s="7">
        <f>ABS(Annual_return_and_ratios!I27 - Annual_return_and_ratios!I192)</f>
        <v>0.8969197091</v>
      </c>
      <c r="J159" s="7">
        <f>ABS(Annual_return_and_ratios!J27 - Annual_return_and_ratios!J192)</f>
        <v>0.9262640913</v>
      </c>
      <c r="K159" s="7">
        <f>ABS(Annual_return_and_ratios!K27 - Annual_return_and_ratios!K192)</f>
        <v>0.9532558351</v>
      </c>
      <c r="L159" s="7">
        <f>ABS(Annual_return_and_ratios!L27 - Annual_return_and_ratios!L192)</f>
        <v>0.8218609633</v>
      </c>
      <c r="M159" s="7">
        <f>ABS(Annual_return_and_ratios!M27 - Annual_return_and_ratios!M192)</f>
        <v>0.886377044</v>
      </c>
    </row>
    <row r="160">
      <c r="A160" s="10" t="s">
        <v>29</v>
      </c>
      <c r="B160" s="7">
        <f>ABS(Annual_return_and_ratios!B28 - Annual_return_and_ratios!B193)</f>
        <v>0.3657367639</v>
      </c>
      <c r="C160" s="7">
        <f>ABS(Annual_return_and_ratios!C28 - Annual_return_and_ratios!C193)</f>
        <v>0.1831203755</v>
      </c>
      <c r="D160" s="7">
        <f>ABS(Annual_return_and_ratios!D28 - Annual_return_and_ratios!D193)</f>
        <v>0.4544950753</v>
      </c>
      <c r="E160" s="7">
        <f>ABS(Annual_return_and_ratios!E28 - Annual_return_and_ratios!E193)</f>
        <v>0.1154636351</v>
      </c>
      <c r="F160" s="7">
        <f>ABS(Annual_return_and_ratios!F28 - Annual_return_and_ratios!F193)</f>
        <v>0.045578973</v>
      </c>
      <c r="G160" s="7">
        <f>ABS(Annual_return_and_ratios!G28 - Annual_return_and_ratios!G193)</f>
        <v>0.5829526442</v>
      </c>
      <c r="H160" s="7">
        <f>ABS(Annual_return_and_ratios!H28 - Annual_return_and_ratios!H193)</f>
        <v>0.4148057855</v>
      </c>
      <c r="I160" s="7">
        <f>ABS(Annual_return_and_ratios!I28 - Annual_return_and_ratios!I193)</f>
        <v>0.3519257808</v>
      </c>
      <c r="J160" s="7">
        <f>ABS(Annual_return_and_ratios!J28 - Annual_return_and_ratios!J193)</f>
        <v>0.538543063</v>
      </c>
      <c r="K160" s="7">
        <f>ABS(Annual_return_and_ratios!K28 - Annual_return_and_ratios!K193)</f>
        <v>0.6673381261</v>
      </c>
      <c r="L160" s="7">
        <f>ABS(Annual_return_and_ratios!L28 - Annual_return_and_ratios!L193)</f>
        <v>0.6509059773</v>
      </c>
      <c r="M160" s="7">
        <f>ABS(Annual_return_and_ratios!M28 - Annual_return_and_ratios!M193)</f>
        <v>0.7665725895</v>
      </c>
    </row>
    <row r="161">
      <c r="A161" s="10" t="s">
        <v>30</v>
      </c>
      <c r="B161" s="7">
        <f>ABS(Annual_return_and_ratios!B29 - Annual_return_and_ratios!B194)</f>
        <v>0.02524233882</v>
      </c>
      <c r="C161" s="7">
        <f>ABS(Annual_return_and_ratios!C29 - Annual_return_and_ratios!C194)</f>
        <v>0.1419671794</v>
      </c>
      <c r="D161" s="7">
        <f>ABS(Annual_return_and_ratios!D29 - Annual_return_and_ratios!D194)</f>
        <v>0.09162265842</v>
      </c>
      <c r="E161" s="7">
        <f>ABS(Annual_return_and_ratios!E29 - Annual_return_and_ratios!E194)</f>
        <v>0.04561362774</v>
      </c>
      <c r="F161" s="7">
        <f>ABS(Annual_return_and_ratios!F29 - Annual_return_and_ratios!F194)</f>
        <v>0.9573404251</v>
      </c>
      <c r="G161" s="7">
        <f>ABS(Annual_return_and_ratios!G29 - Annual_return_and_ratios!G194)</f>
        <v>0.03391856733</v>
      </c>
      <c r="H161" s="7">
        <f>ABS(Annual_return_and_ratios!H29 - Annual_return_and_ratios!H194)</f>
        <v>0.005211066963</v>
      </c>
      <c r="I161" s="7">
        <f>ABS(Annual_return_and_ratios!I29 - Annual_return_and_ratios!I194)</f>
        <v>0.01454998109</v>
      </c>
      <c r="J161" s="7">
        <f>ABS(Annual_return_and_ratios!J29 - Annual_return_and_ratios!J194)</f>
        <v>0.1092968329</v>
      </c>
      <c r="K161" s="7">
        <f>ABS(Annual_return_and_ratios!K29 - Annual_return_and_ratios!K194)</f>
        <v>0.008924156398</v>
      </c>
      <c r="L161" s="7">
        <f>ABS(Annual_return_and_ratios!L29 - Annual_return_and_ratios!L194)</f>
        <v>0.6912081653</v>
      </c>
      <c r="M161" s="7">
        <f>ABS(Annual_return_and_ratios!M29 - Annual_return_and_ratios!M194)</f>
        <v>0.9942515306</v>
      </c>
    </row>
    <row r="162">
      <c r="A162" s="10" t="s">
        <v>31</v>
      </c>
      <c r="B162" s="7">
        <f>ABS(Annual_return_and_ratios!B30 - Annual_return_and_ratios!B195)</f>
        <v>0.5560765338</v>
      </c>
      <c r="C162" s="7">
        <f>ABS(Annual_return_and_ratios!C30 - Annual_return_and_ratios!C195)</f>
        <v>0.6865892555</v>
      </c>
      <c r="D162" s="7">
        <f>ABS(Annual_return_and_ratios!D30 - Annual_return_and_ratios!D195)</f>
        <v>0.6628772012</v>
      </c>
      <c r="E162" s="7">
        <f>ABS(Annual_return_and_ratios!E30 - Annual_return_and_ratios!E195)</f>
        <v>0.8313772121</v>
      </c>
      <c r="F162" s="7">
        <f>ABS(Annual_return_and_ratios!F30 - Annual_return_and_ratios!F195)</f>
        <v>0.682034995</v>
      </c>
      <c r="G162" s="7">
        <f>ABS(Annual_return_and_ratios!G30 - Annual_return_and_ratios!G195)</f>
        <v>0.9224837121</v>
      </c>
      <c r="H162" s="7">
        <f>ABS(Annual_return_and_ratios!H30 - Annual_return_and_ratios!H195)</f>
        <v>0.6427314032</v>
      </c>
      <c r="I162" s="7">
        <f>ABS(Annual_return_and_ratios!I30 - Annual_return_and_ratios!I195)</f>
        <v>0.6336013497</v>
      </c>
      <c r="J162" s="7">
        <f>ABS(Annual_return_and_ratios!J30 - Annual_return_and_ratios!J195)</f>
        <v>0.6857041137</v>
      </c>
      <c r="K162" s="7">
        <f>ABS(Annual_return_and_ratios!K30 - Annual_return_and_ratios!K195)</f>
        <v>0.7318549822</v>
      </c>
      <c r="L162" s="7">
        <f>ABS(Annual_return_and_ratios!L30 - Annual_return_and_ratios!L195)</f>
        <v>0.7054809159</v>
      </c>
      <c r="M162" s="7">
        <f>ABS(Annual_return_and_ratios!M30 - Annual_return_and_ratios!M195)</f>
        <v>0.7997282206</v>
      </c>
    </row>
    <row r="166">
      <c r="A166" s="9" t="s">
        <v>84</v>
      </c>
      <c r="B166" s="10" t="s">
        <v>85</v>
      </c>
      <c r="C166" s="10" t="s">
        <v>86</v>
      </c>
      <c r="D166" s="10" t="s">
        <v>87</v>
      </c>
      <c r="E166" s="10" t="s">
        <v>88</v>
      </c>
      <c r="F166" s="10" t="s">
        <v>89</v>
      </c>
      <c r="G166" s="10" t="s">
        <v>90</v>
      </c>
      <c r="H166" s="10" t="s">
        <v>91</v>
      </c>
      <c r="I166" s="10" t="s">
        <v>92</v>
      </c>
      <c r="J166" s="10" t="s">
        <v>93</v>
      </c>
      <c r="K166" s="10" t="s">
        <v>94</v>
      </c>
      <c r="L166" s="10" t="s">
        <v>95</v>
      </c>
      <c r="M166" s="10" t="s">
        <v>96</v>
      </c>
    </row>
    <row r="167">
      <c r="A167" s="10" t="s">
        <v>3</v>
      </c>
      <c r="B167" s="7">
        <f>ABS(Annual_return_and_ratios!B2 - Annual_return_and_ratios!B200)</f>
        <v>0.08365420371</v>
      </c>
      <c r="C167" s="7">
        <f>ABS(Annual_return_and_ratios!C2 - Annual_return_and_ratios!C200)</f>
        <v>0.06486610376</v>
      </c>
      <c r="D167" s="7">
        <f>ABS(Annual_return_and_ratios!D2 - Annual_return_and_ratios!D200)</f>
        <v>0.2833583121</v>
      </c>
      <c r="E167" s="7">
        <f>ABS(Annual_return_and_ratios!E2 - Annual_return_and_ratios!E200)</f>
        <v>0.004794169009</v>
      </c>
      <c r="F167" s="7">
        <f>ABS(Annual_return_and_ratios!F2 - Annual_return_and_ratios!F200)</f>
        <v>0.09711201497</v>
      </c>
      <c r="G167" s="7">
        <f>ABS(Annual_return_and_ratios!G2 - Annual_return_and_ratios!G200)</f>
        <v>0.5737558268</v>
      </c>
      <c r="H167" s="7">
        <f>ABS(Annual_return_and_ratios!H2 - Annual_return_and_ratios!H200)</f>
        <v>0.1858170677</v>
      </c>
      <c r="I167" s="7">
        <f>ABS(Annual_return_and_ratios!I2 - Annual_return_and_ratios!I200)</f>
        <v>0.2738120674</v>
      </c>
      <c r="J167" s="7">
        <f>ABS(Annual_return_and_ratios!J2 - Annual_return_and_ratios!J200)</f>
        <v>0.02180873709</v>
      </c>
      <c r="K167" s="7">
        <f>ABS(Annual_return_and_ratios!K2 - Annual_return_and_ratios!K200)</f>
        <v>0.201453922</v>
      </c>
      <c r="L167" s="7">
        <f>ABS(Annual_return_and_ratios!L2 - Annual_return_and_ratios!L200)</f>
        <v>0.04551687425</v>
      </c>
      <c r="M167" s="7">
        <f>ABS(Annual_return_and_ratios!M2 - Annual_return_and_ratios!M200)</f>
        <v>0.05842254272</v>
      </c>
    </row>
    <row r="168">
      <c r="A168" s="10" t="s">
        <v>4</v>
      </c>
      <c r="B168" s="7">
        <f>ABS(Annual_return_and_ratios!B3 - Annual_return_and_ratios!B201)</f>
        <v>0.2781015142</v>
      </c>
      <c r="C168" s="7">
        <f>ABS(Annual_return_and_ratios!C3 - Annual_return_and_ratios!C201)</f>
        <v>0.1268011547</v>
      </c>
      <c r="D168" s="7">
        <f>ABS(Annual_return_and_ratios!D3 - Annual_return_and_ratios!D201)</f>
        <v>0.1359396803</v>
      </c>
      <c r="E168" s="7">
        <f>ABS(Annual_return_and_ratios!E3 - Annual_return_and_ratios!E201)</f>
        <v>0.01768406932</v>
      </c>
      <c r="F168" s="7">
        <f>ABS(Annual_return_and_ratios!F3 - Annual_return_and_ratios!F201)</f>
        <v>0.03472094964</v>
      </c>
      <c r="G168" s="7">
        <f>ABS(Annual_return_and_ratios!G3 - Annual_return_and_ratios!G201)</f>
        <v>0.09340981549</v>
      </c>
      <c r="H168" s="7">
        <f>ABS(Annual_return_and_ratios!H3 - Annual_return_and_ratios!H201)</f>
        <v>0.1357554923</v>
      </c>
      <c r="I168" s="7">
        <f>ABS(Annual_return_and_ratios!I3 - Annual_return_and_ratios!I201)</f>
        <v>0.2870825381</v>
      </c>
      <c r="J168" s="7">
        <f>ABS(Annual_return_and_ratios!J3 - Annual_return_and_ratios!J201)</f>
        <v>0.2184420588</v>
      </c>
      <c r="K168" s="7">
        <f>ABS(Annual_return_and_ratios!K3 - Annual_return_and_ratios!K201)</f>
        <v>0.3511847178</v>
      </c>
      <c r="L168" s="7">
        <f>ABS(Annual_return_and_ratios!L3 - Annual_return_and_ratios!L201)</f>
        <v>0.3663995353</v>
      </c>
      <c r="M168" s="7">
        <f>ABS(Annual_return_and_ratios!M3 - Annual_return_and_ratios!M201)</f>
        <v>0.5536586355</v>
      </c>
    </row>
    <row r="169">
      <c r="A169" s="10" t="s">
        <v>5</v>
      </c>
      <c r="B169" s="7">
        <f>ABS(Annual_return_and_ratios!B4 - Annual_return_and_ratios!B202)</f>
        <v>0.7411251499</v>
      </c>
      <c r="C169" s="7">
        <f>ABS(Annual_return_and_ratios!C4 - Annual_return_and_ratios!C202)</f>
        <v>0.7053403999</v>
      </c>
      <c r="D169" s="7">
        <f>ABS(Annual_return_and_ratios!D4 - Annual_return_and_ratios!D202)</f>
        <v>0.6861478443</v>
      </c>
      <c r="E169" s="7">
        <f>ABS(Annual_return_and_ratios!E4 - Annual_return_and_ratios!E202)</f>
        <v>0.6514021069</v>
      </c>
      <c r="F169" s="7">
        <f>ABS(Annual_return_and_ratios!F4 - Annual_return_and_ratios!F202)</f>
        <v>0.6134404189</v>
      </c>
      <c r="G169" s="7">
        <f>ABS(Annual_return_and_ratios!G4 - Annual_return_and_ratios!G202)</f>
        <v>0.9105827342</v>
      </c>
      <c r="H169" s="7">
        <f>ABS(Annual_return_and_ratios!H4 - Annual_return_and_ratios!H202)</f>
        <v>0.5988726347</v>
      </c>
      <c r="I169" s="7">
        <f>ABS(Annual_return_and_ratios!I4 - Annual_return_and_ratios!I202)</f>
        <v>0.7259636659</v>
      </c>
      <c r="J169" s="7">
        <f>ABS(Annual_return_and_ratios!J4 - Annual_return_and_ratios!J202)</f>
        <v>0.746829628</v>
      </c>
      <c r="K169" s="7">
        <f>ABS(Annual_return_and_ratios!K4 - Annual_return_and_ratios!K202)</f>
        <v>0.7772659576</v>
      </c>
      <c r="L169" s="7">
        <f>ABS(Annual_return_and_ratios!L4 - Annual_return_and_ratios!L202)</f>
        <v>0.5665496707</v>
      </c>
      <c r="M169" s="7">
        <f>ABS(Annual_return_and_ratios!M4 - Annual_return_and_ratios!M202)</f>
        <v>0.7785996945</v>
      </c>
    </row>
    <row r="170">
      <c r="A170" s="10" t="s">
        <v>6</v>
      </c>
      <c r="B170" s="7">
        <f>ABS(Annual_return_and_ratios!B5 - Annual_return_and_ratios!B203)</f>
        <v>0.7665448016</v>
      </c>
      <c r="C170" s="7">
        <f>ABS(Annual_return_and_ratios!C5 - Annual_return_and_ratios!C203)</f>
        <v>0.7612376709</v>
      </c>
      <c r="D170" s="7">
        <f>ABS(Annual_return_and_ratios!D5 - Annual_return_and_ratios!D203)</f>
        <v>0.7870287103</v>
      </c>
      <c r="E170" s="7">
        <f>ABS(Annual_return_and_ratios!E5 - Annual_return_and_ratios!E203)</f>
        <v>0.5362249075</v>
      </c>
      <c r="F170" s="7">
        <f>ABS(Annual_return_and_ratios!F5 - Annual_return_and_ratios!F203)</f>
        <v>0.6867183919</v>
      </c>
      <c r="G170" s="7">
        <f>ABS(Annual_return_and_ratios!G5 - Annual_return_and_ratios!G203)</f>
        <v>0.9221332827</v>
      </c>
      <c r="H170" s="7">
        <f>ABS(Annual_return_and_ratios!H5 - Annual_return_and_ratios!H203)</f>
        <v>0.7239311718</v>
      </c>
      <c r="I170" s="7">
        <f>ABS(Annual_return_and_ratios!I5 - Annual_return_and_ratios!I203)</f>
        <v>0.743512805</v>
      </c>
      <c r="J170" s="7">
        <f>ABS(Annual_return_and_ratios!J5 - Annual_return_and_ratios!J203)</f>
        <v>0.6737496235</v>
      </c>
      <c r="K170" s="7">
        <f>ABS(Annual_return_and_ratios!K5 - Annual_return_and_ratios!K203)</f>
        <v>0.7046787664</v>
      </c>
      <c r="L170" s="7">
        <f>ABS(Annual_return_and_ratios!L5 - Annual_return_and_ratios!L203)</f>
        <v>0.6618153196</v>
      </c>
      <c r="M170" s="7">
        <f>ABS(Annual_return_and_ratios!M5 - Annual_return_and_ratios!M203)</f>
        <v>0.810813298</v>
      </c>
    </row>
    <row r="171">
      <c r="A171" s="10" t="s">
        <v>7</v>
      </c>
      <c r="B171" s="7">
        <f>ABS(Annual_return_and_ratios!B6 - Annual_return_and_ratios!B204)</f>
        <v>0.07989424462</v>
      </c>
      <c r="C171" s="7">
        <f>ABS(Annual_return_and_ratios!C6 - Annual_return_and_ratios!C204)</f>
        <v>0.05370662011</v>
      </c>
      <c r="D171" s="7">
        <f>ABS(Annual_return_and_ratios!D6 - Annual_return_and_ratios!D204)</f>
        <v>0.08114239295</v>
      </c>
      <c r="E171" s="7">
        <f>ABS(Annual_return_and_ratios!E6 - Annual_return_and_ratios!E204)</f>
        <v>0.03088271557</v>
      </c>
      <c r="F171" s="7">
        <f>ABS(Annual_return_and_ratios!F6 - Annual_return_and_ratios!F204)</f>
        <v>0.08572230757</v>
      </c>
      <c r="G171" s="7">
        <f>ABS(Annual_return_and_ratios!G6 - Annual_return_and_ratios!G204)</f>
        <v>0.4594599419</v>
      </c>
      <c r="H171" s="7">
        <f>ABS(Annual_return_and_ratios!H6 - Annual_return_and_ratios!H204)</f>
        <v>0.0476752076</v>
      </c>
      <c r="I171" s="7">
        <f>ABS(Annual_return_and_ratios!I6 - Annual_return_and_ratios!I204)</f>
        <v>0.1111660737</v>
      </c>
      <c r="J171" s="7">
        <f>ABS(Annual_return_and_ratios!J6 - Annual_return_and_ratios!J204)</f>
        <v>0.2385806765</v>
      </c>
      <c r="K171" s="7">
        <f>ABS(Annual_return_and_ratios!K6 - Annual_return_and_ratios!K204)</f>
        <v>0.4065658065</v>
      </c>
      <c r="L171" s="7">
        <f>ABS(Annual_return_and_ratios!L6 - Annual_return_and_ratios!L204)</f>
        <v>0.5438999</v>
      </c>
      <c r="M171" s="7">
        <f>ABS(Annual_return_and_ratios!M6 - Annual_return_and_ratios!M204)</f>
        <v>0.778378481</v>
      </c>
    </row>
    <row r="172">
      <c r="A172" s="10" t="s">
        <v>8</v>
      </c>
      <c r="B172" s="7">
        <f>ABS(Annual_return_and_ratios!B7 - Annual_return_and_ratios!B205)</f>
        <v>0.02785406711</v>
      </c>
      <c r="C172" s="7">
        <f>ABS(Annual_return_and_ratios!C7 - Annual_return_and_ratios!C205)</f>
        <v>0.1216686704</v>
      </c>
      <c r="D172" s="7">
        <f>ABS(Annual_return_and_ratios!D7 - Annual_return_and_ratios!D205)</f>
        <v>0.5512733988</v>
      </c>
      <c r="E172" s="7">
        <f>ABS(Annual_return_and_ratios!E7 - Annual_return_and_ratios!E205)</f>
        <v>0.6195212003</v>
      </c>
      <c r="F172" s="7">
        <f>ABS(Annual_return_and_ratios!F7 - Annual_return_and_ratios!F205)</f>
        <v>0.7565381681</v>
      </c>
      <c r="G172" s="7">
        <f>ABS(Annual_return_and_ratios!G7 - Annual_return_and_ratios!G205)</f>
        <v>0.9076850845</v>
      </c>
      <c r="H172" s="7">
        <f>ABS(Annual_return_and_ratios!H7 - Annual_return_and_ratios!H205)</f>
        <v>0.875673183</v>
      </c>
      <c r="I172" s="7">
        <f>ABS(Annual_return_and_ratios!I7 - Annual_return_and_ratios!I205)</f>
        <v>0.6679628935</v>
      </c>
      <c r="J172" s="7">
        <f>ABS(Annual_return_and_ratios!J7 - Annual_return_and_ratios!J205)</f>
        <v>0.5571200817</v>
      </c>
      <c r="K172" s="7">
        <f>ABS(Annual_return_and_ratios!K7 - Annual_return_and_ratios!K205)</f>
        <v>0.571252483</v>
      </c>
      <c r="L172" s="7">
        <f>ABS(Annual_return_and_ratios!L7 - Annual_return_and_ratios!L205)</f>
        <v>0.505244057</v>
      </c>
      <c r="M172" s="7">
        <f>ABS(Annual_return_and_ratios!M7 - Annual_return_and_ratios!M205)</f>
        <v>0.8950413628</v>
      </c>
    </row>
    <row r="173">
      <c r="A173" s="10" t="s">
        <v>9</v>
      </c>
      <c r="B173" s="7">
        <f>ABS(Annual_return_and_ratios!B8 - Annual_return_and_ratios!B206)</f>
        <v>0.3351676741</v>
      </c>
      <c r="C173" s="7">
        <f>ABS(Annual_return_and_ratios!C8 - Annual_return_and_ratios!C206)</f>
        <v>0.4494135093</v>
      </c>
      <c r="D173" s="7">
        <f>ABS(Annual_return_and_ratios!D8 - Annual_return_and_ratios!D206)</f>
        <v>0.6995732768</v>
      </c>
      <c r="E173" s="7">
        <f>ABS(Annual_return_and_ratios!E8 - Annual_return_and_ratios!E206)</f>
        <v>0.5965269447</v>
      </c>
      <c r="F173" s="7">
        <f>ABS(Annual_return_and_ratios!F8 - Annual_return_and_ratios!F206)</f>
        <v>0.7143598475</v>
      </c>
      <c r="G173" s="7">
        <f>ABS(Annual_return_and_ratios!G8 - Annual_return_and_ratios!G206)</f>
        <v>0.7067026824</v>
      </c>
      <c r="H173" s="7">
        <f>ABS(Annual_return_and_ratios!H8 - Annual_return_and_ratios!H206)</f>
        <v>0.8855747528</v>
      </c>
      <c r="I173" s="7">
        <f>ABS(Annual_return_and_ratios!I8 - Annual_return_and_ratios!I206)</f>
        <v>0.8275457283</v>
      </c>
      <c r="J173" s="7">
        <f>ABS(Annual_return_and_ratios!J8 - Annual_return_and_ratios!J206)</f>
        <v>0.8909099292</v>
      </c>
      <c r="K173" s="7">
        <f>ABS(Annual_return_and_ratios!K8 - Annual_return_and_ratios!K206)</f>
        <v>0.8979115544</v>
      </c>
      <c r="L173" s="7">
        <f>ABS(Annual_return_and_ratios!L8 - Annual_return_and_ratios!L206)</f>
        <v>0.8517444585</v>
      </c>
      <c r="M173" s="7">
        <f>ABS(Annual_return_and_ratios!M8 - Annual_return_and_ratios!M206)</f>
        <v>0.8802967966</v>
      </c>
    </row>
    <row r="174">
      <c r="A174" s="10" t="s">
        <v>10</v>
      </c>
      <c r="B174" s="7">
        <f>ABS(Annual_return_and_ratios!B9 - Annual_return_and_ratios!B207)</f>
        <v>0.6145402192</v>
      </c>
      <c r="C174" s="7">
        <f>ABS(Annual_return_and_ratios!C9 - Annual_return_and_ratios!C207)</f>
        <v>0.5727370539</v>
      </c>
      <c r="D174" s="7">
        <f>ABS(Annual_return_and_ratios!D9 - Annual_return_and_ratios!D207)</f>
        <v>0.7155745188</v>
      </c>
      <c r="E174" s="7">
        <f>ABS(Annual_return_and_ratios!E9 - Annual_return_and_ratios!E207)</f>
        <v>0.6027504262</v>
      </c>
      <c r="F174" s="7">
        <f>ABS(Annual_return_and_ratios!F9 - Annual_return_and_ratios!F207)</f>
        <v>0.5631059503</v>
      </c>
      <c r="G174" s="7">
        <f>ABS(Annual_return_and_ratios!G9 - Annual_return_and_ratios!G207)</f>
        <v>0.8829109535</v>
      </c>
      <c r="H174" s="7">
        <f>ABS(Annual_return_and_ratios!H9 - Annual_return_and_ratios!H207)</f>
        <v>0.7627668387</v>
      </c>
      <c r="I174" s="7">
        <f>ABS(Annual_return_and_ratios!I9 - Annual_return_and_ratios!I207)</f>
        <v>0.7360994184</v>
      </c>
      <c r="J174" s="7">
        <f>ABS(Annual_return_and_ratios!J9 - Annual_return_and_ratios!J207)</f>
        <v>0.7454075046</v>
      </c>
      <c r="K174" s="7">
        <f>ABS(Annual_return_and_ratios!K9 - Annual_return_and_ratios!K207)</f>
        <v>0.6155781415</v>
      </c>
      <c r="L174" s="7">
        <f>ABS(Annual_return_and_ratios!L9 - Annual_return_and_ratios!L207)</f>
        <v>0.6118201026</v>
      </c>
      <c r="M174" s="7">
        <f>ABS(Annual_return_and_ratios!M9 - Annual_return_and_ratios!M207)</f>
        <v>0.6213853404</v>
      </c>
    </row>
    <row r="175">
      <c r="A175" s="10" t="s">
        <v>11</v>
      </c>
      <c r="B175" s="7">
        <f>ABS(Annual_return_and_ratios!B10 - Annual_return_and_ratios!B208)</f>
        <v>0.4854922002</v>
      </c>
      <c r="C175" s="7">
        <f>ABS(Annual_return_and_ratios!C10 - Annual_return_and_ratios!C208)</f>
        <v>0.5564465528</v>
      </c>
      <c r="D175" s="7">
        <f>ABS(Annual_return_and_ratios!D10 - Annual_return_and_ratios!D208)</f>
        <v>0.3812333828</v>
      </c>
      <c r="E175" s="7">
        <f>ABS(Annual_return_and_ratios!E10 - Annual_return_and_ratios!E208)</f>
        <v>0.2889319186</v>
      </c>
      <c r="F175" s="7">
        <f>ABS(Annual_return_and_ratios!F10 - Annual_return_and_ratios!F208)</f>
        <v>0.1916456091</v>
      </c>
      <c r="G175" s="7">
        <f>ABS(Annual_return_and_ratios!G10 - Annual_return_and_ratios!G208)</f>
        <v>0.5873362465</v>
      </c>
      <c r="H175" s="7">
        <f>ABS(Annual_return_and_ratios!H10 - Annual_return_and_ratios!H208)</f>
        <v>0.2740831181</v>
      </c>
      <c r="I175" s="7">
        <f>ABS(Annual_return_and_ratios!I10 - Annual_return_and_ratios!I208)</f>
        <v>0.2995405641</v>
      </c>
      <c r="J175" s="7">
        <f>ABS(Annual_return_and_ratios!J10 - Annual_return_and_ratios!J208)</f>
        <v>0.3938839976</v>
      </c>
      <c r="K175" s="7">
        <f>ABS(Annual_return_and_ratios!K10 - Annual_return_and_ratios!K208)</f>
        <v>0.516057071</v>
      </c>
      <c r="L175" s="7">
        <f>ABS(Annual_return_and_ratios!L10 - Annual_return_and_ratios!L208)</f>
        <v>0.3974173475</v>
      </c>
      <c r="M175" s="7">
        <f>ABS(Annual_return_and_ratios!M10 - Annual_return_and_ratios!M208)</f>
        <v>0.5207870512</v>
      </c>
    </row>
    <row r="176">
      <c r="A176" s="10" t="s">
        <v>12</v>
      </c>
      <c r="B176" s="7">
        <f>ABS(Annual_return_and_ratios!B11 - Annual_return_and_ratios!B209)</f>
        <v>0.03983428915</v>
      </c>
      <c r="C176" s="7">
        <f>ABS(Annual_return_and_ratios!C11 - Annual_return_and_ratios!C209)</f>
        <v>0.02763439106</v>
      </c>
      <c r="D176" s="7">
        <f>ABS(Annual_return_and_ratios!D11 - Annual_return_and_ratios!D209)</f>
        <v>0.01951843783</v>
      </c>
      <c r="E176" s="7">
        <f>ABS(Annual_return_and_ratios!E11 - Annual_return_and_ratios!E209)</f>
        <v>0.0136315945</v>
      </c>
      <c r="F176" s="7">
        <f>ABS(Annual_return_and_ratios!F11 - Annual_return_and_ratios!F209)</f>
        <v>0.006410583866</v>
      </c>
      <c r="G176" s="7">
        <f>ABS(Annual_return_and_ratios!G11 - Annual_return_and_ratios!G209)</f>
        <v>0.02513348726</v>
      </c>
      <c r="H176" s="7">
        <f>ABS(Annual_return_and_ratios!H11 - Annual_return_and_ratios!H209)</f>
        <v>0.02178399274</v>
      </c>
      <c r="I176" s="7">
        <f>ABS(Annual_return_and_ratios!I11 - Annual_return_and_ratios!I209)</f>
        <v>0.04451609654</v>
      </c>
      <c r="J176" s="7">
        <f>ABS(Annual_return_and_ratios!J11 - Annual_return_and_ratios!J209)</f>
        <v>0.3425745853</v>
      </c>
      <c r="K176" s="7">
        <f>ABS(Annual_return_and_ratios!K11 - Annual_return_and_ratios!K209)</f>
        <v>0.3548895986</v>
      </c>
      <c r="L176" s="7">
        <f>ABS(Annual_return_and_ratios!L11 - Annual_return_and_ratios!L209)</f>
        <v>0.3149087108</v>
      </c>
      <c r="M176" s="7">
        <f>ABS(Annual_return_and_ratios!M11 - Annual_return_and_ratios!M209)</f>
        <v>0.4972552261</v>
      </c>
    </row>
    <row r="177">
      <c r="A177" s="10" t="s">
        <v>13</v>
      </c>
      <c r="B177" s="7">
        <f>ABS(Annual_return_and_ratios!B12 - Annual_return_and_ratios!B210)</f>
        <v>0.4262327121</v>
      </c>
      <c r="C177" s="7">
        <f>ABS(Annual_return_and_ratios!C12 - Annual_return_and_ratios!C210)</f>
        <v>0.4640549668</v>
      </c>
      <c r="D177" s="7">
        <f>ABS(Annual_return_and_ratios!D12 - Annual_return_and_ratios!D210)</f>
        <v>0.4332156861</v>
      </c>
      <c r="E177" s="7">
        <f>ABS(Annual_return_and_ratios!E12 - Annual_return_and_ratios!E210)</f>
        <v>0.3986117832</v>
      </c>
      <c r="F177" s="7">
        <f>ABS(Annual_return_and_ratios!F12 - Annual_return_and_ratios!F210)</f>
        <v>0.4734151584</v>
      </c>
      <c r="G177" s="7">
        <f>ABS(Annual_return_and_ratios!G12 - Annual_return_and_ratios!G210)</f>
        <v>0.7768915879</v>
      </c>
      <c r="H177" s="7">
        <f>ABS(Annual_return_and_ratios!H12 - Annual_return_and_ratios!H210)</f>
        <v>0.6032777196</v>
      </c>
      <c r="I177" s="7">
        <f>ABS(Annual_return_and_ratios!I12 - Annual_return_and_ratios!I210)</f>
        <v>0.7103750724</v>
      </c>
      <c r="J177" s="7">
        <f>ABS(Annual_return_and_ratios!J12 - Annual_return_and_ratios!J210)</f>
        <v>0.7266469482</v>
      </c>
      <c r="K177" s="7">
        <f>ABS(Annual_return_and_ratios!K12 - Annual_return_and_ratios!K210)</f>
        <v>0.8092890835</v>
      </c>
      <c r="L177" s="7">
        <f>ABS(Annual_return_and_ratios!L12 - Annual_return_and_ratios!L210)</f>
        <v>0.6443242599</v>
      </c>
      <c r="M177" s="7">
        <f>ABS(Annual_return_and_ratios!M12 - Annual_return_and_ratios!M210)</f>
        <v>0.6949449122</v>
      </c>
    </row>
    <row r="178">
      <c r="A178" s="10" t="s">
        <v>14</v>
      </c>
      <c r="B178" s="7">
        <f>ABS(Annual_return_and_ratios!B13 - Annual_return_and_ratios!B211)</f>
        <v>0.5765196512</v>
      </c>
      <c r="C178" s="7">
        <f>ABS(Annual_return_and_ratios!C13 - Annual_return_and_ratios!C211)</f>
        <v>0.5700103492</v>
      </c>
      <c r="D178" s="7">
        <f>ABS(Annual_return_and_ratios!D13 - Annual_return_and_ratios!D211)</f>
        <v>0.5984812017</v>
      </c>
      <c r="E178" s="7">
        <f>ABS(Annual_return_and_ratios!E13 - Annual_return_and_ratios!E211)</f>
        <v>0.2371474668</v>
      </c>
      <c r="F178" s="7">
        <f>ABS(Annual_return_and_ratios!F13 - Annual_return_and_ratios!F211)</f>
        <v>0.2932878469</v>
      </c>
      <c r="G178" s="7">
        <f>ABS(Annual_return_and_ratios!G13 - Annual_return_and_ratios!G211)</f>
        <v>0.7151860165</v>
      </c>
      <c r="H178" s="7">
        <f>ABS(Annual_return_and_ratios!H13 - Annual_return_and_ratios!H211)</f>
        <v>0.5715243854</v>
      </c>
      <c r="I178" s="7">
        <f>ABS(Annual_return_and_ratios!I13 - Annual_return_and_ratios!I211)</f>
        <v>0.6334424507</v>
      </c>
      <c r="J178" s="7">
        <f>ABS(Annual_return_and_ratios!J13 - Annual_return_and_ratios!J211)</f>
        <v>0.6667493161</v>
      </c>
      <c r="K178" s="7">
        <f>ABS(Annual_return_and_ratios!K13 - Annual_return_and_ratios!K211)</f>
        <v>0.5156287677</v>
      </c>
      <c r="L178" s="7">
        <f>ABS(Annual_return_and_ratios!L13 - Annual_return_and_ratios!L211)</f>
        <v>0.4619263885</v>
      </c>
      <c r="M178" s="7">
        <f>ABS(Annual_return_and_ratios!M13 - Annual_return_and_ratios!M211)</f>
        <v>0.5992242535</v>
      </c>
    </row>
    <row r="179">
      <c r="A179" s="10" t="s">
        <v>15</v>
      </c>
      <c r="B179" s="7">
        <f>ABS(Annual_return_and_ratios!B14 - Annual_return_and_ratios!B212)</f>
        <v>0.2372804787</v>
      </c>
      <c r="C179" s="7">
        <f>ABS(Annual_return_and_ratios!C14 - Annual_return_and_ratios!C212)</f>
        <v>0.1352005775</v>
      </c>
      <c r="D179" s="7">
        <f>ABS(Annual_return_and_ratios!D14 - Annual_return_and_ratios!D212)</f>
        <v>0.2082075073</v>
      </c>
      <c r="E179" s="7">
        <f>ABS(Annual_return_and_ratios!E14 - Annual_return_and_ratios!E212)</f>
        <v>0.4319044534</v>
      </c>
      <c r="F179" s="7">
        <f>ABS(Annual_return_and_ratios!F14 - Annual_return_and_ratios!F212)</f>
        <v>0.3798478349</v>
      </c>
      <c r="G179" s="7">
        <f>ABS(Annual_return_and_ratios!G14 - Annual_return_and_ratios!G212)</f>
        <v>0.5845762381</v>
      </c>
      <c r="H179" s="7">
        <f>ABS(Annual_return_and_ratios!H14 - Annual_return_and_ratios!H212)</f>
        <v>0.1379347822</v>
      </c>
      <c r="I179" s="7">
        <f>ABS(Annual_return_and_ratios!I14 - Annual_return_and_ratios!I212)</f>
        <v>0.2043853349</v>
      </c>
      <c r="J179" s="7">
        <f>ABS(Annual_return_and_ratios!J14 - Annual_return_and_ratios!J212)</f>
        <v>0.07363072808</v>
      </c>
      <c r="K179" s="7">
        <f>ABS(Annual_return_and_ratios!K14 - Annual_return_and_ratios!K212)</f>
        <v>0.2438397841</v>
      </c>
      <c r="L179" s="7">
        <f>ABS(Annual_return_and_ratios!L14 - Annual_return_and_ratios!L212)</f>
        <v>0.2462542402</v>
      </c>
      <c r="M179" s="7">
        <f>ABS(Annual_return_and_ratios!M14 - Annual_return_and_ratios!M212)</f>
        <v>0.08436865762</v>
      </c>
    </row>
    <row r="180">
      <c r="A180" s="10" t="s">
        <v>16</v>
      </c>
      <c r="B180" s="7">
        <f>ABS(Annual_return_and_ratios!B15 - Annual_return_and_ratios!B213)</f>
        <v>0.2497819935</v>
      </c>
      <c r="C180" s="7">
        <f>ABS(Annual_return_and_ratios!C15 - Annual_return_and_ratios!C213)</f>
        <v>0.2928561082</v>
      </c>
      <c r="D180" s="7">
        <f>ABS(Annual_return_and_ratios!D15 - Annual_return_and_ratios!D213)</f>
        <v>0.06752420702</v>
      </c>
      <c r="E180" s="7">
        <f>ABS(Annual_return_and_ratios!E15 - Annual_return_and_ratios!E213)</f>
        <v>0.0004189522296</v>
      </c>
      <c r="F180" s="7">
        <f>ABS(Annual_return_and_ratios!F15 - Annual_return_and_ratios!F213)</f>
        <v>0.03073386236</v>
      </c>
      <c r="G180" s="7">
        <f>ABS(Annual_return_and_ratios!G15 - Annual_return_and_ratios!G213)</f>
        <v>0.1610300072</v>
      </c>
      <c r="H180" s="7">
        <f>ABS(Annual_return_and_ratios!H15 - Annual_return_and_ratios!H213)</f>
        <v>0.003582950711</v>
      </c>
      <c r="I180" s="7">
        <f>ABS(Annual_return_and_ratios!I15 - Annual_return_and_ratios!I213)</f>
        <v>0.08318816985</v>
      </c>
      <c r="J180" s="7">
        <f>ABS(Annual_return_and_ratios!J15 - Annual_return_and_ratios!J213)</f>
        <v>0.1722152773</v>
      </c>
      <c r="K180" s="7">
        <f>ABS(Annual_return_and_ratios!K15 - Annual_return_and_ratios!K213)</f>
        <v>0.3146263679</v>
      </c>
      <c r="L180" s="7">
        <f>ABS(Annual_return_and_ratios!L15 - Annual_return_and_ratios!L213)</f>
        <v>0.09841435642</v>
      </c>
      <c r="M180" s="7">
        <f>ABS(Annual_return_and_ratios!M15 - Annual_return_and_ratios!M213)</f>
        <v>0.4405527862</v>
      </c>
    </row>
    <row r="181">
      <c r="A181" s="10" t="s">
        <v>17</v>
      </c>
      <c r="B181" s="7">
        <f>ABS(Annual_return_and_ratios!B16 - Annual_return_and_ratios!B214)</f>
        <v>0.8497793612</v>
      </c>
      <c r="C181" s="7">
        <f>ABS(Annual_return_and_ratios!C16 - Annual_return_and_ratios!C214)</f>
        <v>0.7388664068</v>
      </c>
      <c r="D181" s="7">
        <f>ABS(Annual_return_and_ratios!D16 - Annual_return_and_ratios!D214)</f>
        <v>0.8483082194</v>
      </c>
      <c r="E181" s="7">
        <f>ABS(Annual_return_and_ratios!E16 - Annual_return_and_ratios!E214)</f>
        <v>0.857129816</v>
      </c>
      <c r="F181" s="7">
        <f>ABS(Annual_return_and_ratios!F16 - Annual_return_and_ratios!F214)</f>
        <v>0.8435938139</v>
      </c>
      <c r="G181" s="7">
        <f>ABS(Annual_return_and_ratios!G16 - Annual_return_and_ratios!G214)</f>
        <v>1.009693537</v>
      </c>
      <c r="H181" s="7">
        <f>ABS(Annual_return_and_ratios!H16 - Annual_return_and_ratios!H214)</f>
        <v>0.8949795109</v>
      </c>
      <c r="I181" s="7">
        <f>ABS(Annual_return_and_ratios!I16 - Annual_return_and_ratios!I214)</f>
        <v>0.865955568</v>
      </c>
      <c r="J181" s="7">
        <f>ABS(Annual_return_and_ratios!J16 - Annual_return_and_ratios!J214)</f>
        <v>0.8832150967</v>
      </c>
      <c r="K181" s="7">
        <f>ABS(Annual_return_and_ratios!K16 - Annual_return_and_ratios!K214)</f>
        <v>0.9614111626</v>
      </c>
      <c r="L181" s="7">
        <f>ABS(Annual_return_and_ratios!L16 - Annual_return_and_ratios!L214)</f>
        <v>0.8344004551</v>
      </c>
      <c r="M181" s="7">
        <f>ABS(Annual_return_and_ratios!M16 - Annual_return_and_ratios!M214)</f>
        <v>0.8657040455</v>
      </c>
    </row>
    <row r="182">
      <c r="A182" s="10" t="s">
        <v>18</v>
      </c>
      <c r="B182" s="7">
        <f>ABS(Annual_return_and_ratios!B17 - Annual_return_and_ratios!B215)</f>
        <v>0.8192526477</v>
      </c>
      <c r="C182" s="7">
        <f>ABS(Annual_return_and_ratios!C17 - Annual_return_and_ratios!C215)</f>
        <v>0.8415938849</v>
      </c>
      <c r="D182" s="7">
        <f>ABS(Annual_return_and_ratios!D17 - Annual_return_and_ratios!D215)</f>
        <v>0.9104382938</v>
      </c>
      <c r="E182" s="7">
        <f>ABS(Annual_return_and_ratios!E17 - Annual_return_and_ratios!E215)</f>
        <v>0.947914867</v>
      </c>
      <c r="F182" s="7">
        <f>ABS(Annual_return_and_ratios!F17 - Annual_return_and_ratios!F215)</f>
        <v>0.8333833214</v>
      </c>
      <c r="G182" s="7">
        <f>ABS(Annual_return_and_ratios!G17 - Annual_return_and_ratios!G215)</f>
        <v>1.05388821</v>
      </c>
      <c r="H182" s="7">
        <f>ABS(Annual_return_and_ratios!H17 - Annual_return_and_ratios!H215)</f>
        <v>0.9992553194</v>
      </c>
      <c r="I182" s="7">
        <f>ABS(Annual_return_and_ratios!I17 - Annual_return_and_ratios!I215)</f>
        <v>0.9568794322</v>
      </c>
      <c r="J182" s="7">
        <f>ABS(Annual_return_and_ratios!J17 - Annual_return_and_ratios!J215)</f>
        <v>0.9653391035</v>
      </c>
      <c r="K182" s="7">
        <f>ABS(Annual_return_and_ratios!K17 - Annual_return_and_ratios!K215)</f>
        <v>0.9624081301</v>
      </c>
      <c r="L182" s="7">
        <f>ABS(Annual_return_and_ratios!L17 - Annual_return_and_ratios!L215)</f>
        <v>0.9317280061</v>
      </c>
      <c r="M182" s="7">
        <f>ABS(Annual_return_and_ratios!M17 - Annual_return_and_ratios!M215)</f>
        <v>0.9592237221</v>
      </c>
    </row>
    <row r="183">
      <c r="A183" s="10" t="s">
        <v>19</v>
      </c>
      <c r="B183" s="7">
        <f>ABS(Annual_return_and_ratios!B18 - Annual_return_and_ratios!B216)</f>
        <v>0.7908389017</v>
      </c>
      <c r="C183" s="7">
        <f>ABS(Annual_return_and_ratios!C18 - Annual_return_and_ratios!C216)</f>
        <v>0.6938861987</v>
      </c>
      <c r="D183" s="7">
        <f>ABS(Annual_return_and_ratios!D18 - Annual_return_and_ratios!D216)</f>
        <v>0.8038400194</v>
      </c>
      <c r="E183" s="7">
        <f>ABS(Annual_return_and_ratios!E18 - Annual_return_and_ratios!E216)</f>
        <v>0.7457107167</v>
      </c>
      <c r="F183" s="7">
        <f>ABS(Annual_return_and_ratios!F18 - Annual_return_and_ratios!F216)</f>
        <v>0.673093249</v>
      </c>
      <c r="G183" s="7">
        <f>ABS(Annual_return_and_ratios!G18 - Annual_return_and_ratios!G216)</f>
        <v>0.8877021188</v>
      </c>
      <c r="H183" s="7">
        <f>ABS(Annual_return_and_ratios!H18 - Annual_return_and_ratios!H216)</f>
        <v>0.8107969862</v>
      </c>
      <c r="I183" s="7">
        <f>ABS(Annual_return_and_ratios!I18 - Annual_return_and_ratios!I216)</f>
        <v>0.6341304545</v>
      </c>
      <c r="J183" s="7">
        <f>ABS(Annual_return_and_ratios!J18 - Annual_return_and_ratios!J216)</f>
        <v>0.7072234095</v>
      </c>
      <c r="K183" s="7">
        <f>ABS(Annual_return_and_ratios!K18 - Annual_return_and_ratios!K216)</f>
        <v>0.8319085832</v>
      </c>
      <c r="L183" s="7">
        <f>ABS(Annual_return_and_ratios!L18 - Annual_return_and_ratios!L216)</f>
        <v>0.746567364</v>
      </c>
      <c r="M183" s="7">
        <f>ABS(Annual_return_and_ratios!M18 - Annual_return_and_ratios!M216)</f>
        <v>0.8608857283</v>
      </c>
    </row>
    <row r="184">
      <c r="A184" s="10" t="s">
        <v>20</v>
      </c>
      <c r="B184" s="7">
        <f>ABS(Annual_return_and_ratios!B19 - Annual_return_and_ratios!B217)</f>
        <v>0.8475002766</v>
      </c>
      <c r="C184" s="7">
        <f>ABS(Annual_return_and_ratios!C19 - Annual_return_and_ratios!C217)</f>
        <v>0.7903001733</v>
      </c>
      <c r="D184" s="7">
        <f>ABS(Annual_return_and_ratios!D19 - Annual_return_and_ratios!D217)</f>
        <v>0.9292807038</v>
      </c>
      <c r="E184" s="7">
        <f>ABS(Annual_return_and_ratios!E19 - Annual_return_and_ratios!E217)</f>
        <v>0.9267879243</v>
      </c>
      <c r="F184" s="7">
        <f>ABS(Annual_return_and_ratios!F19 - Annual_return_and_ratios!F217)</f>
        <v>0.9295486188</v>
      </c>
      <c r="G184" s="7">
        <f>ABS(Annual_return_and_ratios!G19 - Annual_return_and_ratios!G217)</f>
        <v>1.014774417</v>
      </c>
      <c r="H184" s="7">
        <f>ABS(Annual_return_and_ratios!H19 - Annual_return_and_ratios!H217)</f>
        <v>0.9071779889</v>
      </c>
      <c r="I184" s="7">
        <f>ABS(Annual_return_and_ratios!I19 - Annual_return_and_ratios!I217)</f>
        <v>0.8734073782</v>
      </c>
      <c r="J184" s="7">
        <f>ABS(Annual_return_and_ratios!J19 - Annual_return_and_ratios!J217)</f>
        <v>0.8437665756</v>
      </c>
      <c r="K184" s="7">
        <f>ABS(Annual_return_and_ratios!K19 - Annual_return_and_ratios!K217)</f>
        <v>0.9010955406</v>
      </c>
      <c r="L184" s="7">
        <f>ABS(Annual_return_and_ratios!L19 - Annual_return_and_ratios!L217)</f>
        <v>0.8644660279</v>
      </c>
      <c r="M184" s="7">
        <f>ABS(Annual_return_and_ratios!M19 - Annual_return_and_ratios!M217)</f>
        <v>0.9272374471</v>
      </c>
    </row>
    <row r="185">
      <c r="A185" s="10" t="s">
        <v>21</v>
      </c>
      <c r="B185" s="7">
        <f>ABS(Annual_return_and_ratios!B20 - Annual_return_and_ratios!B218)</f>
        <v>0.3487824592</v>
      </c>
      <c r="C185" s="7">
        <f>ABS(Annual_return_and_ratios!C20 - Annual_return_and_ratios!C218)</f>
        <v>0.337535779</v>
      </c>
      <c r="D185" s="7">
        <f>ABS(Annual_return_and_ratios!D20 - Annual_return_and_ratios!D218)</f>
        <v>0.6422618958</v>
      </c>
      <c r="E185" s="7">
        <f>ABS(Annual_return_and_ratios!E20 - Annual_return_and_ratios!E218)</f>
        <v>0.5973726882</v>
      </c>
      <c r="F185" s="7">
        <f>ABS(Annual_return_and_ratios!F20 - Annual_return_and_ratios!F218)</f>
        <v>0.6944171665</v>
      </c>
      <c r="G185" s="7">
        <f>ABS(Annual_return_and_ratios!G20 - Annual_return_and_ratios!G218)</f>
        <v>0.8174072459</v>
      </c>
      <c r="H185" s="7">
        <f>ABS(Annual_return_and_ratios!H20 - Annual_return_and_ratios!H218)</f>
        <v>0.7022851658</v>
      </c>
      <c r="I185" s="7">
        <f>ABS(Annual_return_and_ratios!I20 - Annual_return_and_ratios!I218)</f>
        <v>0.6577133339</v>
      </c>
      <c r="J185" s="7">
        <f>ABS(Annual_return_and_ratios!J20 - Annual_return_and_ratios!J218)</f>
        <v>0.5512261584</v>
      </c>
      <c r="K185" s="7">
        <f>ABS(Annual_return_and_ratios!K20 - Annual_return_and_ratios!K218)</f>
        <v>0.6439050252</v>
      </c>
      <c r="L185" s="7">
        <f>ABS(Annual_return_and_ratios!L20 - Annual_return_and_ratios!L218)</f>
        <v>0.5150355207</v>
      </c>
      <c r="M185" s="7">
        <f>ABS(Annual_return_and_ratios!M20 - Annual_return_and_ratios!M218)</f>
        <v>0.6341808487</v>
      </c>
    </row>
    <row r="186">
      <c r="A186" s="10" t="s">
        <v>22</v>
      </c>
      <c r="B186" s="7">
        <f>ABS(Annual_return_and_ratios!B21 - Annual_return_and_ratios!B219)</f>
        <v>0.8688096831</v>
      </c>
      <c r="C186" s="7">
        <f>ABS(Annual_return_and_ratios!C21 - Annual_return_and_ratios!C219)</f>
        <v>0.7715070715</v>
      </c>
      <c r="D186" s="7">
        <f>ABS(Annual_return_and_ratios!D21 - Annual_return_and_ratios!D219)</f>
        <v>0.8619663809</v>
      </c>
      <c r="E186" s="7">
        <f>ABS(Annual_return_and_ratios!E21 - Annual_return_and_ratios!E219)</f>
        <v>0.7363148231</v>
      </c>
      <c r="F186" s="7">
        <f>ABS(Annual_return_and_ratios!F21 - Annual_return_and_ratios!F219)</f>
        <v>0.6791054233</v>
      </c>
      <c r="G186" s="7">
        <f>ABS(Annual_return_and_ratios!G21 - Annual_return_and_ratios!G219)</f>
        <v>0.9431735323</v>
      </c>
      <c r="H186" s="7">
        <f>ABS(Annual_return_and_ratios!H21 - Annual_return_and_ratios!H219)</f>
        <v>0.8613820504</v>
      </c>
      <c r="I186" s="7">
        <f>ABS(Annual_return_and_ratios!I21 - Annual_return_and_ratios!I219)</f>
        <v>0.8866207048</v>
      </c>
      <c r="J186" s="7">
        <f>ABS(Annual_return_and_ratios!J21 - Annual_return_and_ratios!J219)</f>
        <v>0.8944380436</v>
      </c>
      <c r="K186" s="7">
        <f>ABS(Annual_return_and_ratios!K21 - Annual_return_and_ratios!K219)</f>
        <v>0.9121956025</v>
      </c>
      <c r="L186" s="7">
        <f>ABS(Annual_return_and_ratios!L21 - Annual_return_and_ratios!L219)</f>
        <v>1.002295386</v>
      </c>
      <c r="M186" s="7">
        <f>ABS(Annual_return_and_ratios!M21 - Annual_return_and_ratios!M219)</f>
        <v>0.9770547305</v>
      </c>
    </row>
    <row r="187">
      <c r="A187" s="10" t="s">
        <v>23</v>
      </c>
      <c r="B187" s="7">
        <f>ABS(Annual_return_and_ratios!B22 - Annual_return_and_ratios!B220)</f>
        <v>0.9011612559</v>
      </c>
      <c r="C187" s="7">
        <f>ABS(Annual_return_and_ratios!C22 - Annual_return_and_ratios!C220)</f>
        <v>0.8524190771</v>
      </c>
      <c r="D187" s="7">
        <f>ABS(Annual_return_and_ratios!D22 - Annual_return_and_ratios!D220)</f>
        <v>0.9008582317</v>
      </c>
      <c r="E187" s="7">
        <f>ABS(Annual_return_and_ratios!E22 - Annual_return_and_ratios!E220)</f>
        <v>0.85828489</v>
      </c>
      <c r="F187" s="7">
        <f>ABS(Annual_return_and_ratios!F22 - Annual_return_and_ratios!F220)</f>
        <v>0.8695926262</v>
      </c>
      <c r="G187" s="7">
        <f>ABS(Annual_return_and_ratios!G22 - Annual_return_and_ratios!G220)</f>
        <v>1.020879318</v>
      </c>
      <c r="H187" s="7">
        <f>ABS(Annual_return_and_ratios!H22 - Annual_return_and_ratios!H220)</f>
        <v>0.9140442661</v>
      </c>
      <c r="I187" s="7">
        <f>ABS(Annual_return_and_ratios!I22 - Annual_return_and_ratios!I220)</f>
        <v>0.9656029984</v>
      </c>
      <c r="J187" s="7">
        <f>ABS(Annual_return_and_ratios!J22 - Annual_return_and_ratios!J220)</f>
        <v>0.9149006765</v>
      </c>
      <c r="K187" s="7">
        <f>ABS(Annual_return_and_ratios!K22 - Annual_return_and_ratios!K220)</f>
        <v>1.014545426</v>
      </c>
      <c r="L187" s="7">
        <f>ABS(Annual_return_and_ratios!L22 - Annual_return_and_ratios!L220)</f>
        <v>0.9257028755</v>
      </c>
      <c r="M187" s="7">
        <f>ABS(Annual_return_and_ratios!M22 - Annual_return_and_ratios!M220)</f>
        <v>0.9801560745</v>
      </c>
    </row>
    <row r="188">
      <c r="A188" s="10" t="s">
        <v>24</v>
      </c>
      <c r="B188" s="7">
        <f>ABS(Annual_return_and_ratios!B23 - Annual_return_and_ratios!B221)</f>
        <v>0.09744808268</v>
      </c>
      <c r="C188" s="7">
        <f>ABS(Annual_return_and_ratios!C23 - Annual_return_and_ratios!C221)</f>
        <v>0.04670799501</v>
      </c>
      <c r="D188" s="7">
        <f>ABS(Annual_return_and_ratios!D23 - Annual_return_and_ratios!D221)</f>
        <v>0.4073329207</v>
      </c>
      <c r="E188" s="7">
        <f>ABS(Annual_return_and_ratios!E23 - Annual_return_and_ratios!E221)</f>
        <v>0.3411473576</v>
      </c>
      <c r="F188" s="7">
        <f>ABS(Annual_return_and_ratios!F23 - Annual_return_and_ratios!F221)</f>
        <v>0.5043983063</v>
      </c>
      <c r="G188" s="7">
        <f>ABS(Annual_return_and_ratios!G23 - Annual_return_and_ratios!G221)</f>
        <v>0.7782959232</v>
      </c>
      <c r="H188" s="7">
        <f>ABS(Annual_return_and_ratios!H23 - Annual_return_and_ratios!H221)</f>
        <v>0.5829115077</v>
      </c>
      <c r="I188" s="7">
        <f>ABS(Annual_return_and_ratios!I23 - Annual_return_and_ratios!I221)</f>
        <v>0.5458150751</v>
      </c>
      <c r="J188" s="7">
        <f>ABS(Annual_return_and_ratios!J23 - Annual_return_and_ratios!J221)</f>
        <v>0.4439435677</v>
      </c>
      <c r="K188" s="7">
        <f>ABS(Annual_return_and_ratios!K23 - Annual_return_and_ratios!K221)</f>
        <v>0.2352352744</v>
      </c>
      <c r="L188" s="7">
        <f>ABS(Annual_return_and_ratios!L23 - Annual_return_and_ratios!L221)</f>
        <v>0.08028738163</v>
      </c>
      <c r="M188" s="7">
        <f>ABS(Annual_return_and_ratios!M23 - Annual_return_and_ratios!M221)</f>
        <v>0.1357205172</v>
      </c>
    </row>
    <row r="189">
      <c r="A189" s="10" t="s">
        <v>25</v>
      </c>
      <c r="B189" s="7">
        <f>ABS(Annual_return_and_ratios!B24 - Annual_return_and_ratios!B222)</f>
        <v>0.9204118217</v>
      </c>
      <c r="C189" s="7">
        <f>ABS(Annual_return_and_ratios!C24 - Annual_return_and_ratios!C222)</f>
        <v>0.6650721346</v>
      </c>
      <c r="D189" s="7">
        <f>ABS(Annual_return_and_ratios!D24 - Annual_return_and_ratios!D222)</f>
        <v>0.8820438251</v>
      </c>
      <c r="E189" s="7">
        <f>ABS(Annual_return_and_ratios!E24 - Annual_return_and_ratios!E222)</f>
        <v>0.8199106851</v>
      </c>
      <c r="F189" s="7">
        <f>ABS(Annual_return_and_ratios!F24 - Annual_return_and_ratios!F222)</f>
        <v>0.4504703308</v>
      </c>
      <c r="G189" s="7">
        <f>ABS(Annual_return_and_ratios!G24 - Annual_return_and_ratios!G222)</f>
        <v>0.9561116877</v>
      </c>
      <c r="H189" s="7">
        <f>ABS(Annual_return_and_ratios!H24 - Annual_return_and_ratios!H222)</f>
        <v>0.9396988255</v>
      </c>
      <c r="I189" s="7">
        <f>ABS(Annual_return_and_ratios!I24 - Annual_return_and_ratios!I222)</f>
        <v>0.9172576889</v>
      </c>
      <c r="J189" s="7">
        <f>ABS(Annual_return_and_ratios!J24 - Annual_return_and_ratios!J222)</f>
        <v>0.8509812952</v>
      </c>
      <c r="K189" s="7">
        <f>ABS(Annual_return_and_ratios!K24 - Annual_return_and_ratios!K222)</f>
        <v>0.9173011336</v>
      </c>
      <c r="L189" s="7">
        <f>ABS(Annual_return_and_ratios!L24 - Annual_return_and_ratios!L222)</f>
        <v>0.8186475448</v>
      </c>
      <c r="M189" s="7">
        <f>ABS(Annual_return_and_ratios!M24 - Annual_return_and_ratios!M222)</f>
        <v>0.8150383051</v>
      </c>
    </row>
    <row r="190">
      <c r="A190" s="10" t="s">
        <v>26</v>
      </c>
      <c r="B190" s="7">
        <f>ABS(Annual_return_and_ratios!B25 - Annual_return_and_ratios!B223)</f>
        <v>0.9683617249</v>
      </c>
      <c r="C190" s="7">
        <f>ABS(Annual_return_and_ratios!C25 - Annual_return_and_ratios!C223)</f>
        <v>0.934701181</v>
      </c>
      <c r="D190" s="7">
        <f>ABS(Annual_return_and_ratios!D25 - Annual_return_and_ratios!D223)</f>
        <v>1.010399398</v>
      </c>
      <c r="E190" s="7">
        <f>ABS(Annual_return_and_ratios!E25 - Annual_return_and_ratios!E223)</f>
        <v>0.9490148398</v>
      </c>
      <c r="F190" s="7">
        <f>ABS(Annual_return_and_ratios!F25 - Annual_return_and_ratios!F223)</f>
        <v>0.893340414</v>
      </c>
      <c r="G190" s="7">
        <f>ABS(Annual_return_and_ratios!G25 - Annual_return_and_ratios!G223)</f>
        <v>1.040818871</v>
      </c>
      <c r="H190" s="7">
        <f>ABS(Annual_return_and_ratios!H25 - Annual_return_and_ratios!H223)</f>
        <v>1.01175668</v>
      </c>
      <c r="I190" s="7">
        <f>ABS(Annual_return_and_ratios!I25 - Annual_return_and_ratios!I223)</f>
        <v>0.9807616957</v>
      </c>
      <c r="J190" s="7">
        <f>ABS(Annual_return_and_ratios!J25 - Annual_return_and_ratios!J223)</f>
        <v>0.9640327361</v>
      </c>
      <c r="K190" s="7">
        <f>ABS(Annual_return_and_ratios!K25 - Annual_return_and_ratios!K223)</f>
        <v>0.9901917984</v>
      </c>
      <c r="L190" s="7">
        <f>ABS(Annual_return_and_ratios!L25 - Annual_return_and_ratios!L223)</f>
        <v>1.013443551</v>
      </c>
      <c r="M190" s="7">
        <f>ABS(Annual_return_and_ratios!M25 - Annual_return_and_ratios!M223)</f>
        <v>0.970878472</v>
      </c>
    </row>
    <row r="191">
      <c r="A191" s="10" t="s">
        <v>27</v>
      </c>
      <c r="B191" s="7">
        <f>ABS(Annual_return_and_ratios!B26 - Annual_return_and_ratios!B224)</f>
        <v>0.448674801</v>
      </c>
      <c r="C191" s="7">
        <f>ABS(Annual_return_and_ratios!C26 - Annual_return_and_ratios!C224)</f>
        <v>0.3408105985</v>
      </c>
      <c r="D191" s="7">
        <f>ABS(Annual_return_and_ratios!D26 - Annual_return_and_ratios!D224)</f>
        <v>0.4459695767</v>
      </c>
      <c r="E191" s="7">
        <f>ABS(Annual_return_and_ratios!E26 - Annual_return_and_ratios!E224)</f>
        <v>0.183870973</v>
      </c>
      <c r="F191" s="7">
        <f>ABS(Annual_return_and_ratios!F26 - Annual_return_and_ratios!F224)</f>
        <v>0.146554881</v>
      </c>
      <c r="G191" s="7">
        <f>ABS(Annual_return_and_ratios!G26 - Annual_return_and_ratios!G224)</f>
        <v>0.5452121452</v>
      </c>
      <c r="H191" s="7">
        <f>ABS(Annual_return_and_ratios!H26 - Annual_return_and_ratios!H224)</f>
        <v>0.4150272161</v>
      </c>
      <c r="I191" s="7">
        <f>ABS(Annual_return_and_ratios!I26 - Annual_return_and_ratios!I224)</f>
        <v>0.5138367247</v>
      </c>
      <c r="J191" s="7">
        <f>ABS(Annual_return_and_ratios!J26 - Annual_return_and_ratios!J224)</f>
        <v>0.5769017736</v>
      </c>
      <c r="K191" s="7">
        <f>ABS(Annual_return_and_ratios!K26 - Annual_return_and_ratios!K224)</f>
        <v>0.5137543079</v>
      </c>
      <c r="L191" s="7">
        <f>ABS(Annual_return_and_ratios!L26 - Annual_return_and_ratios!L224)</f>
        <v>0.4101615141</v>
      </c>
      <c r="M191" s="7">
        <f>ABS(Annual_return_and_ratios!M26 - Annual_return_and_ratios!M224)</f>
        <v>0.4144780596</v>
      </c>
    </row>
    <row r="192">
      <c r="A192" s="10" t="s">
        <v>28</v>
      </c>
      <c r="B192" s="7">
        <f>ABS(Annual_return_and_ratios!B27 - Annual_return_and_ratios!B225)</f>
        <v>0.7700900329</v>
      </c>
      <c r="C192" s="7">
        <f>ABS(Annual_return_and_ratios!C27 - Annual_return_and_ratios!C225)</f>
        <v>0.7999330973</v>
      </c>
      <c r="D192" s="7">
        <f>ABS(Annual_return_and_ratios!D27 - Annual_return_and_ratios!D225)</f>
        <v>0.8682206444</v>
      </c>
      <c r="E192" s="7">
        <f>ABS(Annual_return_and_ratios!E27 - Annual_return_and_ratios!E225)</f>
        <v>0.6709531732</v>
      </c>
      <c r="F192" s="7">
        <f>ABS(Annual_return_and_ratios!F27 - Annual_return_and_ratios!F225)</f>
        <v>0.7390017754</v>
      </c>
      <c r="G192" s="7">
        <f>ABS(Annual_return_and_ratios!G27 - Annual_return_and_ratios!G225)</f>
        <v>0.9309269947</v>
      </c>
      <c r="H192" s="7">
        <f>ABS(Annual_return_and_ratios!H27 - Annual_return_and_ratios!H225)</f>
        <v>0.8116118633</v>
      </c>
      <c r="I192" s="7">
        <f>ABS(Annual_return_and_ratios!I27 - Annual_return_and_ratios!I225)</f>
        <v>0.8204643244</v>
      </c>
      <c r="J192" s="7">
        <f>ABS(Annual_return_and_ratios!J27 - Annual_return_and_ratios!J225)</f>
        <v>0.9002986372</v>
      </c>
      <c r="K192" s="7">
        <f>ABS(Annual_return_and_ratios!K27 - Annual_return_and_ratios!K225)</f>
        <v>0.9006925422</v>
      </c>
      <c r="L192" s="7">
        <f>ABS(Annual_return_and_ratios!L27 - Annual_return_and_ratios!L225)</f>
        <v>0.7126192486</v>
      </c>
      <c r="M192" s="7">
        <f>ABS(Annual_return_and_ratios!M27 - Annual_return_and_ratios!M225)</f>
        <v>0.7517001838</v>
      </c>
    </row>
    <row r="193">
      <c r="A193" s="10" t="s">
        <v>29</v>
      </c>
      <c r="B193" s="7">
        <f>ABS(Annual_return_and_ratios!B28 - Annual_return_and_ratios!B226)</f>
        <v>0.5388349636</v>
      </c>
      <c r="C193" s="7">
        <f>ABS(Annual_return_and_ratios!C28 - Annual_return_and_ratios!C226)</f>
        <v>0.2276607361</v>
      </c>
      <c r="D193" s="7">
        <f>ABS(Annual_return_and_ratios!D28 - Annual_return_and_ratios!D226)</f>
        <v>0.3932302397</v>
      </c>
      <c r="E193" s="7">
        <f>ABS(Annual_return_and_ratios!E28 - Annual_return_and_ratios!E226)</f>
        <v>0.07237977422</v>
      </c>
      <c r="F193" s="7">
        <f>ABS(Annual_return_and_ratios!F28 - Annual_return_and_ratios!F226)</f>
        <v>0.2427529304</v>
      </c>
      <c r="G193" s="7">
        <f>ABS(Annual_return_and_ratios!G28 - Annual_return_and_ratios!G226)</f>
        <v>0.5982141502</v>
      </c>
      <c r="H193" s="7">
        <f>ABS(Annual_return_and_ratios!H28 - Annual_return_and_ratios!H226)</f>
        <v>0.4315889394</v>
      </c>
      <c r="I193" s="7">
        <f>ABS(Annual_return_and_ratios!I28 - Annual_return_and_ratios!I226)</f>
        <v>0.3767654875</v>
      </c>
      <c r="J193" s="7">
        <f>ABS(Annual_return_and_ratios!J28 - Annual_return_and_ratios!J226)</f>
        <v>0.6689077744</v>
      </c>
      <c r="K193" s="7">
        <f>ABS(Annual_return_and_ratios!K28 - Annual_return_and_ratios!K226)</f>
        <v>0.7460448191</v>
      </c>
      <c r="L193" s="7">
        <f>ABS(Annual_return_and_ratios!L28 - Annual_return_and_ratios!L226)</f>
        <v>0.6822757424</v>
      </c>
      <c r="M193" s="7">
        <f>ABS(Annual_return_and_ratios!M28 - Annual_return_and_ratios!M226)</f>
        <v>0.7996659563</v>
      </c>
    </row>
    <row r="194">
      <c r="A194" s="10" t="s">
        <v>30</v>
      </c>
      <c r="B194" s="7">
        <f>ABS(Annual_return_and_ratios!B29 - Annual_return_and_ratios!B227)</f>
        <v>0.02524233882</v>
      </c>
      <c r="C194" s="7">
        <f>ABS(Annual_return_and_ratios!C29 - Annual_return_and_ratios!C227)</f>
        <v>0.0923101442</v>
      </c>
      <c r="D194" s="7">
        <f>ABS(Annual_return_and_ratios!D29 - Annual_return_and_ratios!D227)</f>
        <v>0.3378407782</v>
      </c>
      <c r="E194" s="7">
        <f>ABS(Annual_return_and_ratios!E29 - Annual_return_and_ratios!E227)</f>
        <v>0.04561362774</v>
      </c>
      <c r="F194" s="7">
        <f>ABS(Annual_return_and_ratios!F29 - Annual_return_and_ratios!F227)</f>
        <v>0.04265957489</v>
      </c>
      <c r="G194" s="7">
        <f>ABS(Annual_return_and_ratios!G29 - Annual_return_and_ratios!G227)</f>
        <v>0.4394850361</v>
      </c>
      <c r="H194" s="7">
        <f>ABS(Annual_return_and_ratios!H29 - Annual_return_and_ratios!H227)</f>
        <v>0.5098643099</v>
      </c>
      <c r="I194" s="7">
        <f>ABS(Annual_return_and_ratios!I29 - Annual_return_and_ratios!I227)</f>
        <v>0.4049254448</v>
      </c>
      <c r="J194" s="7">
        <f>ABS(Annual_return_and_ratios!J29 - Annual_return_and_ratios!J227)</f>
        <v>0.4355915536</v>
      </c>
      <c r="K194" s="7">
        <f>ABS(Annual_return_and_ratios!K29 - Annual_return_and_ratios!K227)</f>
        <v>0.6569049893</v>
      </c>
      <c r="L194" s="7">
        <f>ABS(Annual_return_and_ratios!L29 - Annual_return_and_ratios!L227)</f>
        <v>0.7754122744</v>
      </c>
      <c r="M194" s="7">
        <f>ABS(Annual_return_and_ratios!M29 - Annual_return_and_ratios!M227)</f>
        <v>0.890501071</v>
      </c>
    </row>
    <row r="195">
      <c r="A195" s="10" t="s">
        <v>31</v>
      </c>
      <c r="B195" s="7">
        <f>ABS(Annual_return_and_ratios!B30 - Annual_return_and_ratios!B228)</f>
        <v>0.5148383641</v>
      </c>
      <c r="C195" s="7">
        <f>ABS(Annual_return_and_ratios!C30 - Annual_return_and_ratios!C228)</f>
        <v>0.5670469231</v>
      </c>
      <c r="D195" s="7">
        <f>ABS(Annual_return_and_ratios!D30 - Annual_return_and_ratios!D228)</f>
        <v>0.6319603783</v>
      </c>
      <c r="E195" s="7">
        <f>ABS(Annual_return_and_ratios!E30 - Annual_return_and_ratios!E228)</f>
        <v>0.6317788952</v>
      </c>
      <c r="F195" s="7">
        <f>ABS(Annual_return_and_ratios!F30 - Annual_return_and_ratios!F228)</f>
        <v>0.4766649556</v>
      </c>
      <c r="G195" s="7">
        <f>ABS(Annual_return_and_ratios!G30 - Annual_return_and_ratios!G228)</f>
        <v>0.8122167622</v>
      </c>
      <c r="H195" s="7">
        <f>ABS(Annual_return_and_ratios!H30 - Annual_return_and_ratios!H228)</f>
        <v>0.7513027356</v>
      </c>
      <c r="I195" s="7">
        <f>ABS(Annual_return_and_ratios!I30 - Annual_return_and_ratios!I228)</f>
        <v>0.6469962227</v>
      </c>
      <c r="J195" s="7">
        <f>ABS(Annual_return_and_ratios!J30 - Annual_return_and_ratios!J228)</f>
        <v>0.5253498384</v>
      </c>
      <c r="K195" s="7">
        <f>ABS(Annual_return_and_ratios!K30 - Annual_return_and_ratios!K228)</f>
        <v>0.6296415957</v>
      </c>
      <c r="L195" s="7">
        <f>ABS(Annual_return_and_ratios!L30 - Annual_return_and_ratios!L228)</f>
        <v>0.6536851576</v>
      </c>
      <c r="M195" s="7">
        <f>ABS(Annual_return_and_ratios!M30 - Annual_return_and_ratios!M228)</f>
        <v>0.7154249066</v>
      </c>
    </row>
    <row r="199">
      <c r="A199" s="9" t="s">
        <v>97</v>
      </c>
      <c r="B199" s="10" t="s">
        <v>98</v>
      </c>
      <c r="C199" s="10" t="s">
        <v>99</v>
      </c>
      <c r="D199" s="10" t="s">
        <v>100</v>
      </c>
      <c r="E199" s="10" t="s">
        <v>101</v>
      </c>
      <c r="F199" s="10" t="s">
        <v>102</v>
      </c>
      <c r="G199" s="10" t="s">
        <v>103</v>
      </c>
      <c r="H199" s="10" t="s">
        <v>104</v>
      </c>
      <c r="I199" s="10" t="s">
        <v>105</v>
      </c>
      <c r="J199" s="10" t="s">
        <v>106</v>
      </c>
      <c r="K199" s="10" t="s">
        <v>107</v>
      </c>
      <c r="L199" s="10" t="s">
        <v>108</v>
      </c>
      <c r="M199" s="10" t="s">
        <v>109</v>
      </c>
    </row>
    <row r="200">
      <c r="A200" s="10" t="s">
        <v>3</v>
      </c>
      <c r="B200" s="7">
        <f>ABS(Annual_return_and_ratios!B2 - Annual_return_and_ratios!B233)</f>
        <v>0.7067741217</v>
      </c>
      <c r="C200" s="7">
        <f>ABS(Annual_return_and_ratios!C2 - Annual_return_and_ratios!C233)</f>
        <v>0.6688449444</v>
      </c>
      <c r="D200" s="7">
        <f>ABS(Annual_return_and_ratios!D2 - Annual_return_and_ratios!D233)</f>
        <v>0.8292750373</v>
      </c>
      <c r="E200" s="7">
        <f>ABS(Annual_return_and_ratios!E2 - Annual_return_and_ratios!E233)</f>
        <v>0.8818913834</v>
      </c>
      <c r="F200" s="7">
        <f>ABS(Annual_return_and_ratios!F2 - Annual_return_and_ratios!F233)</f>
        <v>0.8405650388</v>
      </c>
      <c r="G200" s="7">
        <f>ABS(Annual_return_and_ratios!G2 - Annual_return_and_ratios!G233)</f>
        <v>1.008209412</v>
      </c>
      <c r="H200" s="7">
        <f>ABS(Annual_return_and_ratios!H2 - Annual_return_and_ratios!H233)</f>
        <v>0.8247206647</v>
      </c>
      <c r="I200" s="7">
        <f>ABS(Annual_return_and_ratios!I2 - Annual_return_and_ratios!I233)</f>
        <v>0.554584582</v>
      </c>
      <c r="J200" s="7">
        <f>ABS(Annual_return_and_ratios!J2 - Annual_return_and_ratios!J233)</f>
        <v>0.9202595693</v>
      </c>
      <c r="K200" s="7">
        <f>ABS(Annual_return_and_ratios!K2 - Annual_return_and_ratios!K233)</f>
        <v>0.699176939</v>
      </c>
      <c r="L200" s="7">
        <f>ABS(Annual_return_and_ratios!L2 - Annual_return_and_ratios!L233)</f>
        <v>0.7420185366</v>
      </c>
      <c r="M200" s="7">
        <f>ABS(Annual_return_and_ratios!M2 - Annual_return_and_ratios!M233)</f>
        <v>0.915664081</v>
      </c>
    </row>
    <row r="201">
      <c r="A201" s="10" t="s">
        <v>4</v>
      </c>
      <c r="B201" s="7">
        <f>ABS(Annual_return_and_ratios!B3 - Annual_return_and_ratios!B234)</f>
        <v>0.9900123084</v>
      </c>
      <c r="C201" s="7">
        <f>ABS(Annual_return_and_ratios!C3 - Annual_return_and_ratios!C234)</f>
        <v>0.9795796954</v>
      </c>
      <c r="D201" s="7">
        <f>ABS(Annual_return_and_ratios!D3 - Annual_return_and_ratios!D234)</f>
        <v>0.978993997</v>
      </c>
      <c r="E201" s="7">
        <f>ABS(Annual_return_and_ratios!E3 - Annual_return_and_ratios!E234)</f>
        <v>0.9823159307</v>
      </c>
      <c r="F201" s="7">
        <f>ABS(Annual_return_and_ratios!F3 - Annual_return_and_ratios!F234)</f>
        <v>0.9567804668</v>
      </c>
      <c r="G201" s="7">
        <f>ABS(Annual_return_and_ratios!G3 - Annual_return_and_ratios!G234)</f>
        <v>0.9136623599</v>
      </c>
      <c r="H201" s="7">
        <f>ABS(Annual_return_and_ratios!H3 - Annual_return_and_ratios!H234)</f>
        <v>0.8247485471</v>
      </c>
      <c r="I201" s="7">
        <f>ABS(Annual_return_and_ratios!I3 - Annual_return_and_ratios!I234)</f>
        <v>0.8700462408</v>
      </c>
      <c r="J201" s="7">
        <f>ABS(Annual_return_and_ratios!J3 - Annual_return_and_ratios!J234)</f>
        <v>0.9220969671</v>
      </c>
      <c r="K201" s="7">
        <f>ABS(Annual_return_and_ratios!K3 - Annual_return_and_ratios!K234)</f>
        <v>0.9432254507</v>
      </c>
      <c r="L201" s="7">
        <f>ABS(Annual_return_and_ratios!L3 - Annual_return_and_ratios!L234)</f>
        <v>0.8281057378</v>
      </c>
      <c r="M201" s="7">
        <f>ABS(Annual_return_and_ratios!M3 - Annual_return_and_ratios!M234)</f>
        <v>0.8385719396</v>
      </c>
    </row>
    <row r="202">
      <c r="A202" s="10" t="s">
        <v>5</v>
      </c>
      <c r="B202" s="7">
        <f>ABS(Annual_return_and_ratios!B4 - Annual_return_and_ratios!B235)</f>
        <v>0.7486963786</v>
      </c>
      <c r="C202" s="7">
        <f>ABS(Annual_return_and_ratios!C4 - Annual_return_and_ratios!C235)</f>
        <v>0.7330826488</v>
      </c>
      <c r="D202" s="7">
        <f>ABS(Annual_return_and_ratios!D4 - Annual_return_and_ratios!D235)</f>
        <v>0.7291585519</v>
      </c>
      <c r="E202" s="7">
        <f>ABS(Annual_return_and_ratios!E4 - Annual_return_and_ratios!E235)</f>
        <v>0.7406113675</v>
      </c>
      <c r="F202" s="7">
        <f>ABS(Annual_return_and_ratios!F4 - Annual_return_and_ratios!F235)</f>
        <v>0.6927520604</v>
      </c>
      <c r="G202" s="7">
        <f>ABS(Annual_return_and_ratios!G4 - Annual_return_and_ratios!G235)</f>
        <v>0.7879411979</v>
      </c>
      <c r="H202" s="7">
        <f>ABS(Annual_return_and_ratios!H4 - Annual_return_and_ratios!H235)</f>
        <v>0.7032520596</v>
      </c>
      <c r="I202" s="7">
        <f>ABS(Annual_return_and_ratios!I4 - Annual_return_and_ratios!I235)</f>
        <v>0.7397439957</v>
      </c>
      <c r="J202" s="7">
        <f>ABS(Annual_return_and_ratios!J4 - Annual_return_and_ratios!J235)</f>
        <v>0.736380436</v>
      </c>
      <c r="K202" s="7">
        <f>ABS(Annual_return_and_ratios!K4 - Annual_return_and_ratios!K235)</f>
        <v>0.7644637791</v>
      </c>
      <c r="L202" s="7">
        <f>ABS(Annual_return_and_ratios!L4 - Annual_return_and_ratios!L235)</f>
        <v>0.6950719199</v>
      </c>
      <c r="M202" s="7">
        <f>ABS(Annual_return_and_ratios!M4 - Annual_return_and_ratios!M235)</f>
        <v>0.7250680968</v>
      </c>
    </row>
    <row r="203">
      <c r="A203" s="10" t="s">
        <v>6</v>
      </c>
      <c r="B203" s="7">
        <f>ABS(Annual_return_and_ratios!B5 - Annual_return_and_ratios!B236)</f>
        <v>0.7714336485</v>
      </c>
      <c r="C203" s="7">
        <f>ABS(Annual_return_and_ratios!C5 - Annual_return_and_ratios!C236)</f>
        <v>0.9506440755</v>
      </c>
      <c r="D203" s="7">
        <f>ABS(Annual_return_and_ratios!D5 - Annual_return_and_ratios!D236)</f>
        <v>0.9987973233</v>
      </c>
      <c r="E203" s="7">
        <f>ABS(Annual_return_and_ratios!E5 - Annual_return_and_ratios!E236)</f>
        <v>0.9387309428</v>
      </c>
      <c r="F203" s="7">
        <f>ABS(Annual_return_and_ratios!F5 - Annual_return_and_ratios!F236)</f>
        <v>0.9111249893</v>
      </c>
      <c r="G203" s="7">
        <f>ABS(Annual_return_and_ratios!G5 - Annual_return_and_ratios!G236)</f>
        <v>0.9909644488</v>
      </c>
      <c r="H203" s="7">
        <f>ABS(Annual_return_and_ratios!H5 - Annual_return_and_ratios!H236)</f>
        <v>0.9367056432</v>
      </c>
      <c r="I203" s="7">
        <f>ABS(Annual_return_and_ratios!I5 - Annual_return_and_ratios!I236)</f>
        <v>0.8480951724</v>
      </c>
      <c r="J203" s="7">
        <f>ABS(Annual_return_and_ratios!J5 - Annual_return_and_ratios!J236)</f>
        <v>0.6878422313</v>
      </c>
      <c r="K203" s="7">
        <f>ABS(Annual_return_and_ratios!K5 - Annual_return_and_ratios!K236)</f>
        <v>0.8023926867</v>
      </c>
      <c r="L203" s="7">
        <f>ABS(Annual_return_and_ratios!L5 - Annual_return_and_ratios!L236)</f>
        <v>0.668114521</v>
      </c>
      <c r="M203" s="7">
        <f>ABS(Annual_return_and_ratios!M5 - Annual_return_and_ratios!M236)</f>
        <v>0.674117069</v>
      </c>
    </row>
    <row r="204">
      <c r="A204" s="10" t="s">
        <v>7</v>
      </c>
      <c r="B204" s="7">
        <f>ABS(Annual_return_and_ratios!B6 - Annual_return_and_ratios!B237)</f>
        <v>0.7743561556</v>
      </c>
      <c r="C204" s="7">
        <f>ABS(Annual_return_and_ratios!C6 - Annual_return_and_ratios!C237)</f>
        <v>0.7633386954</v>
      </c>
      <c r="D204" s="7">
        <f>ABS(Annual_return_and_ratios!D6 - Annual_return_and_ratios!D237)</f>
        <v>0.7952954494</v>
      </c>
      <c r="E204" s="7">
        <f>ABS(Annual_return_and_ratios!E6 - Annual_return_and_ratios!E237)</f>
        <v>0.7566526952</v>
      </c>
      <c r="F204" s="7">
        <f>ABS(Annual_return_and_ratios!F6 - Annual_return_and_ratios!F237)</f>
        <v>0.7046459644</v>
      </c>
      <c r="G204" s="7">
        <f>ABS(Annual_return_and_ratios!G6 - Annual_return_and_ratios!G237)</f>
        <v>0.7863106329</v>
      </c>
      <c r="H204" s="7">
        <f>ABS(Annual_return_and_ratios!H6 - Annual_return_and_ratios!H237)</f>
        <v>0.7200301748</v>
      </c>
      <c r="I204" s="7">
        <f>ABS(Annual_return_and_ratios!I6 - Annual_return_and_ratios!I237)</f>
        <v>0.8699168162</v>
      </c>
      <c r="J204" s="7">
        <f>ABS(Annual_return_and_ratios!J6 - Annual_return_and_ratios!J237)</f>
        <v>0.8276725812</v>
      </c>
      <c r="K204" s="7">
        <f>ABS(Annual_return_and_ratios!K6 - Annual_return_and_ratios!K237)</f>
        <v>0.8346363395</v>
      </c>
      <c r="L204" s="7">
        <f>ABS(Annual_return_and_ratios!L6 - Annual_return_and_ratios!L237)</f>
        <v>0.7908183518</v>
      </c>
      <c r="M204" s="7">
        <f>ABS(Annual_return_and_ratios!M6 - Annual_return_and_ratios!M237)</f>
        <v>0.6821054694</v>
      </c>
    </row>
    <row r="205">
      <c r="A205" s="10" t="s">
        <v>8</v>
      </c>
      <c r="B205" s="7">
        <f>ABS(Annual_return_and_ratios!B7 - Annual_return_and_ratios!B238)</f>
        <v>0.9041572643</v>
      </c>
      <c r="C205" s="7">
        <f>ABS(Annual_return_and_ratios!C7 - Annual_return_and_ratios!C238)</f>
        <v>0.812488728</v>
      </c>
      <c r="D205" s="7">
        <f>ABS(Annual_return_and_ratios!D7 - Annual_return_and_ratios!D238)</f>
        <v>0.8182645767</v>
      </c>
      <c r="E205" s="7">
        <f>ABS(Annual_return_and_ratios!E7 - Annual_return_and_ratios!E238)</f>
        <v>0.7833388028</v>
      </c>
      <c r="F205" s="7">
        <f>ABS(Annual_return_and_ratios!F7 - Annual_return_and_ratios!F238)</f>
        <v>0.7813959261</v>
      </c>
      <c r="G205" s="7">
        <f>ABS(Annual_return_and_ratios!G7 - Annual_return_and_ratios!G238)</f>
        <v>0.8535584783</v>
      </c>
      <c r="H205" s="7">
        <f>ABS(Annual_return_and_ratios!H7 - Annual_return_and_ratios!H238)</f>
        <v>0.8961488426</v>
      </c>
      <c r="I205" s="7">
        <f>ABS(Annual_return_and_ratios!I7 - Annual_return_and_ratios!I238)</f>
        <v>0.8475520228</v>
      </c>
      <c r="J205" s="7">
        <f>ABS(Annual_return_and_ratios!J7 - Annual_return_and_ratios!J238)</f>
        <v>0.8678298178</v>
      </c>
      <c r="K205" s="7">
        <f>ABS(Annual_return_and_ratios!K7 - Annual_return_and_ratios!K238)</f>
        <v>0.949488408</v>
      </c>
      <c r="L205" s="7">
        <f>ABS(Annual_return_and_ratios!L7 - Annual_return_and_ratios!L238)</f>
        <v>0.8929615083</v>
      </c>
      <c r="M205" s="7">
        <f>ABS(Annual_return_and_ratios!M7 - Annual_return_and_ratios!M238)</f>
        <v>0.9542292041</v>
      </c>
    </row>
    <row r="206">
      <c r="A206" s="10" t="s">
        <v>9</v>
      </c>
      <c r="B206" s="7">
        <f>ABS(Annual_return_and_ratios!B8 - Annual_return_and_ratios!B239)</f>
        <v>0.511540973</v>
      </c>
      <c r="C206" s="7">
        <f>ABS(Annual_return_and_ratios!C8 - Annual_return_and_ratios!C239)</f>
        <v>0.5063563108</v>
      </c>
      <c r="D206" s="7">
        <f>ABS(Annual_return_and_ratios!D8 - Annual_return_and_ratios!D239)</f>
        <v>0.5672240783</v>
      </c>
      <c r="E206" s="7">
        <f>ABS(Annual_return_and_ratios!E8 - Annual_return_and_ratios!E239)</f>
        <v>0.5312063877</v>
      </c>
      <c r="F206" s="7">
        <f>ABS(Annual_return_and_ratios!F8 - Annual_return_and_ratios!F239)</f>
        <v>0.5594866422</v>
      </c>
      <c r="G206" s="7">
        <f>ABS(Annual_return_and_ratios!G8 - Annual_return_and_ratios!G239)</f>
        <v>0.568745745</v>
      </c>
      <c r="H206" s="7">
        <f>ABS(Annual_return_and_ratios!H8 - Annual_return_and_ratios!H239)</f>
        <v>0.5476415645</v>
      </c>
      <c r="I206" s="7">
        <f>ABS(Annual_return_and_ratios!I8 - Annual_return_and_ratios!I239)</f>
        <v>0.5429164394</v>
      </c>
      <c r="J206" s="7">
        <f>ABS(Annual_return_and_ratios!J8 - Annual_return_and_ratios!J239)</f>
        <v>0.5126924061</v>
      </c>
      <c r="K206" s="7">
        <f>ABS(Annual_return_and_ratios!K8 - Annual_return_and_ratios!K239)</f>
        <v>0.5467970028</v>
      </c>
      <c r="L206" s="7">
        <f>ABS(Annual_return_and_ratios!L8 - Annual_return_and_ratios!L239)</f>
        <v>0.5069199074</v>
      </c>
      <c r="M206" s="7">
        <f>ABS(Annual_return_and_ratios!M8 - Annual_return_and_ratios!M239)</f>
        <v>0.5304078854</v>
      </c>
    </row>
    <row r="207">
      <c r="A207" s="10" t="s">
        <v>10</v>
      </c>
      <c r="B207" s="7">
        <f>ABS(Annual_return_and_ratios!B9 - Annual_return_and_ratios!B240)</f>
        <v>0.931736822</v>
      </c>
      <c r="C207" s="7">
        <f>ABS(Annual_return_and_ratios!C9 - Annual_return_and_ratios!C240)</f>
        <v>0.794159755</v>
      </c>
      <c r="D207" s="7">
        <f>ABS(Annual_return_and_ratios!D9 - Annual_return_and_ratios!D240)</f>
        <v>0.8578510573</v>
      </c>
      <c r="E207" s="7">
        <f>ABS(Annual_return_and_ratios!E9 - Annual_return_and_ratios!E240)</f>
        <v>0.8236297486</v>
      </c>
      <c r="F207" s="7">
        <f>ABS(Annual_return_and_ratios!F9 - Annual_return_and_ratios!F240)</f>
        <v>0.7882635562</v>
      </c>
      <c r="G207" s="7">
        <f>ABS(Annual_return_and_ratios!G9 - Annual_return_and_ratios!G240)</f>
        <v>0.9084280574</v>
      </c>
      <c r="H207" s="7">
        <f>ABS(Annual_return_and_ratios!H9 - Annual_return_and_ratios!H240)</f>
        <v>0.870101168</v>
      </c>
      <c r="I207" s="7">
        <f>ABS(Annual_return_and_ratios!I9 - Annual_return_and_ratios!I240)</f>
        <v>0.8675649753</v>
      </c>
      <c r="J207" s="7">
        <f>ABS(Annual_return_and_ratios!J9 - Annual_return_and_ratios!J240)</f>
        <v>0.9002991118</v>
      </c>
      <c r="K207" s="7">
        <f>ABS(Annual_return_and_ratios!K9 - Annual_return_and_ratios!K240)</f>
        <v>0.8421231863</v>
      </c>
      <c r="L207" s="7">
        <f>ABS(Annual_return_and_ratios!L9 - Annual_return_and_ratios!L240)</f>
        <v>0.8810778471</v>
      </c>
      <c r="M207" s="7">
        <f>ABS(Annual_return_and_ratios!M9 - Annual_return_and_ratios!M240)</f>
        <v>0.9227066016</v>
      </c>
    </row>
    <row r="208">
      <c r="A208" s="10" t="s">
        <v>11</v>
      </c>
      <c r="B208" s="7">
        <f>ABS(Annual_return_and_ratios!B10 - Annual_return_and_ratios!B241)</f>
        <v>0.7119441935</v>
      </c>
      <c r="C208" s="7">
        <f>ABS(Annual_return_and_ratios!C10 - Annual_return_and_ratios!C241)</f>
        <v>0.7480372361</v>
      </c>
      <c r="D208" s="7">
        <f>ABS(Annual_return_and_ratios!D10 - Annual_return_and_ratios!D241)</f>
        <v>0.6839986775</v>
      </c>
      <c r="E208" s="7">
        <f>ABS(Annual_return_and_ratios!E10 - Annual_return_and_ratios!E241)</f>
        <v>0.6921997259</v>
      </c>
      <c r="F208" s="7">
        <f>ABS(Annual_return_and_ratios!F10 - Annual_return_and_ratios!F241)</f>
        <v>0.6419502311</v>
      </c>
      <c r="G208" s="7">
        <f>ABS(Annual_return_and_ratios!G10 - Annual_return_and_ratios!G241)</f>
        <v>0.7079436016</v>
      </c>
      <c r="H208" s="7">
        <f>ABS(Annual_return_and_ratios!H10 - Annual_return_and_ratios!H241)</f>
        <v>0.6874567298</v>
      </c>
      <c r="I208" s="7">
        <f>ABS(Annual_return_and_ratios!I10 - Annual_return_and_ratios!I241)</f>
        <v>0.6822731659</v>
      </c>
      <c r="J208" s="7">
        <f>ABS(Annual_return_and_ratios!J10 - Annual_return_and_ratios!J241)</f>
        <v>0.665626702</v>
      </c>
      <c r="K208" s="7">
        <f>ABS(Annual_return_and_ratios!K10 - Annual_return_and_ratios!K241)</f>
        <v>0.6775730388</v>
      </c>
      <c r="L208" s="7">
        <f>ABS(Annual_return_and_ratios!L10 - Annual_return_and_ratios!L241)</f>
        <v>0.6585917679</v>
      </c>
      <c r="M208" s="7">
        <f>ABS(Annual_return_and_ratios!M10 - Annual_return_and_ratios!M241)</f>
        <v>0.6805339999</v>
      </c>
    </row>
    <row r="209">
      <c r="A209" s="10" t="s">
        <v>12</v>
      </c>
      <c r="B209" s="7">
        <f>ABS(Annual_return_and_ratios!B11 - Annual_return_and_ratios!B242)</f>
        <v>0.8080544058</v>
      </c>
      <c r="C209" s="7">
        <f>ABS(Annual_return_and_ratios!C11 - Annual_return_and_ratios!C242)</f>
        <v>0.9138517349</v>
      </c>
      <c r="D209" s="7">
        <f>ABS(Annual_return_and_ratios!D11 - Annual_return_and_ratios!D242)</f>
        <v>0.813342752</v>
      </c>
      <c r="E209" s="7">
        <f>ABS(Annual_return_and_ratios!E11 - Annual_return_and_ratios!E242)</f>
        <v>0.8379942007</v>
      </c>
      <c r="F209" s="7">
        <f>ABS(Annual_return_and_ratios!F11 - Annual_return_and_ratios!F242)</f>
        <v>0.7896234104</v>
      </c>
      <c r="G209" s="7">
        <f>ABS(Annual_return_and_ratios!G11 - Annual_return_and_ratios!G242)</f>
        <v>0.7822319518</v>
      </c>
      <c r="H209" s="7">
        <f>ABS(Annual_return_and_ratios!H11 - Annual_return_and_ratios!H242)</f>
        <v>0.7997457523</v>
      </c>
      <c r="I209" s="7">
        <f>ABS(Annual_return_and_ratios!I11 - Annual_return_and_ratios!I242)</f>
        <v>0.7715269193</v>
      </c>
      <c r="J209" s="7">
        <f>ABS(Annual_return_and_ratios!J11 - Annual_return_and_ratios!J242)</f>
        <v>0.8040030223</v>
      </c>
      <c r="K209" s="7">
        <f>ABS(Annual_return_and_ratios!K11 - Annual_return_and_ratios!K242)</f>
        <v>0.8449473287</v>
      </c>
      <c r="L209" s="7">
        <f>ABS(Annual_return_and_ratios!L11 - Annual_return_and_ratios!L242)</f>
        <v>0.7058971984</v>
      </c>
      <c r="M209" s="7">
        <f>ABS(Annual_return_and_ratios!M11 - Annual_return_and_ratios!M242)</f>
        <v>0.703252913</v>
      </c>
    </row>
    <row r="210">
      <c r="A210" s="10" t="s">
        <v>13</v>
      </c>
      <c r="B210" s="7">
        <f>ABS(Annual_return_and_ratios!B12 - Annual_return_and_ratios!B243)</f>
        <v>0.70140964</v>
      </c>
      <c r="C210" s="7">
        <f>ABS(Annual_return_and_ratios!C12 - Annual_return_and_ratios!C243)</f>
        <v>0.6959529004</v>
      </c>
      <c r="D210" s="7">
        <f>ABS(Annual_return_and_ratios!D12 - Annual_return_and_ratios!D243)</f>
        <v>0.7001947117</v>
      </c>
      <c r="E210" s="7">
        <f>ABS(Annual_return_and_ratios!E12 - Annual_return_and_ratios!E243)</f>
        <v>0.6974574591</v>
      </c>
      <c r="F210" s="7">
        <f>ABS(Annual_return_and_ratios!F12 - Annual_return_and_ratios!F243)</f>
        <v>0.6644853785</v>
      </c>
      <c r="G210" s="7">
        <f>ABS(Annual_return_and_ratios!G12 - Annual_return_and_ratios!G243)</f>
        <v>0.7361539746</v>
      </c>
      <c r="H210" s="7">
        <f>ABS(Annual_return_and_ratios!H12 - Annual_return_and_ratios!H243)</f>
        <v>0.7074663543</v>
      </c>
      <c r="I210" s="7">
        <f>ABS(Annual_return_and_ratios!I12 - Annual_return_and_ratios!I243)</f>
        <v>0.7413259645</v>
      </c>
      <c r="J210" s="7">
        <f>ABS(Annual_return_and_ratios!J12 - Annual_return_and_ratios!J243)</f>
        <v>0.740739556</v>
      </c>
      <c r="K210" s="7">
        <f>ABS(Annual_return_and_ratios!K12 - Annual_return_and_ratios!K243)</f>
        <v>0.8055984477</v>
      </c>
      <c r="L210" s="7">
        <f>ABS(Annual_return_and_ratios!L12 - Annual_return_and_ratios!L243)</f>
        <v>0.7700890266</v>
      </c>
      <c r="M210" s="7">
        <f>ABS(Annual_return_and_ratios!M12 - Annual_return_and_ratios!M243)</f>
        <v>0.7550684762</v>
      </c>
    </row>
    <row r="211">
      <c r="A211" s="10" t="s">
        <v>14</v>
      </c>
      <c r="B211" s="7">
        <f>ABS(Annual_return_and_ratios!B13 - Annual_return_and_ratios!B244)</f>
        <v>0.91632116</v>
      </c>
      <c r="C211" s="7">
        <f>ABS(Annual_return_and_ratios!C13 - Annual_return_and_ratios!C244)</f>
        <v>0.9046086152</v>
      </c>
      <c r="D211" s="7">
        <f>ABS(Annual_return_and_ratios!D13 - Annual_return_and_ratios!D244)</f>
        <v>0.9658481616</v>
      </c>
      <c r="E211" s="7">
        <f>ABS(Annual_return_and_ratios!E13 - Annual_return_and_ratios!E244)</f>
        <v>0.9708770905</v>
      </c>
      <c r="F211" s="7">
        <f>ABS(Annual_return_and_ratios!F13 - Annual_return_and_ratios!F244)</f>
        <v>0.7759917347</v>
      </c>
      <c r="G211" s="7">
        <f>ABS(Annual_return_and_ratios!G13 - Annual_return_and_ratios!G244)</f>
        <v>0.8332733439</v>
      </c>
      <c r="H211" s="7">
        <f>ABS(Annual_return_and_ratios!H13 - Annual_return_and_ratios!H244)</f>
        <v>0.7388220428</v>
      </c>
      <c r="I211" s="7">
        <f>ABS(Annual_return_and_ratios!I13 - Annual_return_and_ratios!I244)</f>
        <v>0.5505813477</v>
      </c>
      <c r="J211" s="7">
        <f>ABS(Annual_return_and_ratios!J13 - Annual_return_and_ratios!J244)</f>
        <v>0.4935373362</v>
      </c>
      <c r="K211" s="7">
        <f>ABS(Annual_return_and_ratios!K13 - Annual_return_and_ratios!K244)</f>
        <v>0.4484461399</v>
      </c>
      <c r="L211" s="7">
        <f>ABS(Annual_return_and_ratios!L13 - Annual_return_and_ratios!L244)</f>
        <v>0.6751390351</v>
      </c>
      <c r="M211" s="7">
        <f>ABS(Annual_return_and_ratios!M13 - Annual_return_and_ratios!M244)</f>
        <v>0.5372799364</v>
      </c>
    </row>
    <row r="212">
      <c r="A212" s="10" t="s">
        <v>15</v>
      </c>
      <c r="B212" s="7">
        <f>ABS(Annual_return_and_ratios!B14 - Annual_return_and_ratios!B245)</f>
        <v>0.6989165455</v>
      </c>
      <c r="C212" s="7">
        <f>ABS(Annual_return_and_ratios!C14 - Annual_return_and_ratios!C245)</f>
        <v>0.7045312007</v>
      </c>
      <c r="D212" s="7">
        <f>ABS(Annual_return_and_ratios!D14 - Annual_return_and_ratios!D245)</f>
        <v>0.7069714507</v>
      </c>
      <c r="E212" s="7">
        <f>ABS(Annual_return_and_ratios!E14 - Annual_return_and_ratios!E245)</f>
        <v>0.7535519016</v>
      </c>
      <c r="F212" s="7">
        <f>ABS(Annual_return_and_ratios!F14 - Annual_return_and_ratios!F245)</f>
        <v>0.6165323631</v>
      </c>
      <c r="G212" s="7">
        <f>ABS(Annual_return_and_ratios!G14 - Annual_return_and_ratios!G245)</f>
        <v>0.4330091371</v>
      </c>
      <c r="H212" s="7">
        <f>ABS(Annual_return_and_ratios!H14 - Annual_return_and_ratios!H245)</f>
        <v>0.6554298441</v>
      </c>
      <c r="I212" s="7">
        <f>ABS(Annual_return_and_ratios!I14 - Annual_return_and_ratios!I245)</f>
        <v>0.7720858218</v>
      </c>
      <c r="J212" s="7">
        <f>ABS(Annual_return_and_ratios!J14 - Annual_return_and_ratios!J245)</f>
        <v>0.4977451855</v>
      </c>
      <c r="K212" s="7">
        <f>ABS(Annual_return_and_ratios!K14 - Annual_return_and_ratios!K245)</f>
        <v>0.5070946684</v>
      </c>
      <c r="L212" s="7">
        <f>ABS(Annual_return_and_ratios!L14 - Annual_return_and_ratios!L245)</f>
        <v>0.9688142176</v>
      </c>
      <c r="M212" s="7">
        <f>ABS(Annual_return_and_ratios!M14 - Annual_return_and_ratios!M245)</f>
        <v>0.9576824039</v>
      </c>
    </row>
    <row r="213">
      <c r="A213" s="10" t="s">
        <v>16</v>
      </c>
      <c r="B213" s="7">
        <f>ABS(Annual_return_and_ratios!B15 - Annual_return_and_ratios!B246)</f>
        <v>0.8284616142</v>
      </c>
      <c r="C213" s="7">
        <f>ABS(Annual_return_and_ratios!C15 - Annual_return_and_ratios!C246)</f>
        <v>0.8104906083</v>
      </c>
      <c r="D213" s="7">
        <f>ABS(Annual_return_and_ratios!D15 - Annual_return_and_ratios!D246)</f>
        <v>0.8179436851</v>
      </c>
      <c r="E213" s="7">
        <f>ABS(Annual_return_and_ratios!E15 - Annual_return_and_ratios!E246)</f>
        <v>0.8199656944</v>
      </c>
      <c r="F213" s="7">
        <f>ABS(Annual_return_and_ratios!F15 - Annual_return_and_ratios!F246)</f>
        <v>0.8327222283</v>
      </c>
      <c r="G213" s="7">
        <f>ABS(Annual_return_and_ratios!G15 - Annual_return_and_ratios!G246)</f>
        <v>0.775241325</v>
      </c>
      <c r="H213" s="7">
        <f>ABS(Annual_return_and_ratios!H15 - Annual_return_and_ratios!H246)</f>
        <v>0.8337270381</v>
      </c>
      <c r="I213" s="7">
        <f>ABS(Annual_return_and_ratios!I15 - Annual_return_and_ratios!I246)</f>
        <v>0.7766152305</v>
      </c>
      <c r="J213" s="7">
        <f>ABS(Annual_return_and_ratios!J15 - Annual_return_and_ratios!J246)</f>
        <v>0.7699440928</v>
      </c>
      <c r="K213" s="7">
        <f>ABS(Annual_return_and_ratios!K15 - Annual_return_and_ratios!K246)</f>
        <v>0.7780955136</v>
      </c>
      <c r="L213" s="7">
        <f>ABS(Annual_return_and_ratios!L15 - Annual_return_and_ratios!L246)</f>
        <v>0.7294897569</v>
      </c>
      <c r="M213" s="7">
        <f>ABS(Annual_return_and_ratios!M15 - Annual_return_and_ratios!M246)</f>
        <v>0.7868635218</v>
      </c>
    </row>
    <row r="214">
      <c r="A214" s="10" t="s">
        <v>17</v>
      </c>
      <c r="B214" s="7">
        <f>ABS(Annual_return_and_ratios!B16 - Annual_return_and_ratios!B247)</f>
        <v>0.7836619643</v>
      </c>
      <c r="C214" s="7">
        <f>ABS(Annual_return_and_ratios!C16 - Annual_return_and_ratios!C247)</f>
        <v>0.736019831</v>
      </c>
      <c r="D214" s="7">
        <f>ABS(Annual_return_and_ratios!D16 - Annual_return_and_ratios!D247)</f>
        <v>0.8005525128</v>
      </c>
      <c r="E214" s="7">
        <f>ABS(Annual_return_and_ratios!E16 - Annual_return_and_ratios!E247)</f>
        <v>0.7837974595</v>
      </c>
      <c r="F214" s="7">
        <f>ABS(Annual_return_and_ratios!F16 - Annual_return_and_ratios!F247)</f>
        <v>0.7867152457</v>
      </c>
      <c r="G214" s="7">
        <f>ABS(Annual_return_and_ratios!G16 - Annual_return_and_ratios!G247)</f>
        <v>0.8229200027</v>
      </c>
      <c r="H214" s="7">
        <f>ABS(Annual_return_and_ratios!H16 - Annual_return_and_ratios!H247)</f>
        <v>0.7862653813</v>
      </c>
      <c r="I214" s="7">
        <f>ABS(Annual_return_and_ratios!I16 - Annual_return_and_ratios!I247)</f>
        <v>0.7694978424</v>
      </c>
      <c r="J214" s="7">
        <f>ABS(Annual_return_and_ratios!J16 - Annual_return_and_ratios!J247)</f>
        <v>0.7946316766</v>
      </c>
      <c r="K214" s="7">
        <f>ABS(Annual_return_and_ratios!K16 - Annual_return_and_ratios!K247)</f>
        <v>0.8163094015</v>
      </c>
      <c r="L214" s="7">
        <f>ABS(Annual_return_and_ratios!L16 - Annual_return_and_ratios!L247)</f>
        <v>0.7539569538</v>
      </c>
      <c r="M214" s="7">
        <f>ABS(Annual_return_and_ratios!M16 - Annual_return_and_ratios!M247)</f>
        <v>0.7508617139</v>
      </c>
    </row>
    <row r="215">
      <c r="A215" s="10" t="s">
        <v>18</v>
      </c>
      <c r="B215" s="7">
        <f>ABS(Annual_return_and_ratios!B17 - Annual_return_and_ratios!B248)</f>
        <v>0.805733973</v>
      </c>
      <c r="C215" s="7">
        <f>ABS(Annual_return_and_ratios!C17 - Annual_return_and_ratios!C248)</f>
        <v>0.7605261056</v>
      </c>
      <c r="D215" s="7">
        <f>ABS(Annual_return_and_ratios!D17 - Annual_return_and_ratios!D248)</f>
        <v>0.7664812738</v>
      </c>
      <c r="E215" s="7">
        <f>ABS(Annual_return_and_ratios!E17 - Annual_return_and_ratios!E248)</f>
        <v>0.8095426702</v>
      </c>
      <c r="F215" s="7">
        <f>ABS(Annual_return_and_ratios!F17 - Annual_return_and_ratios!F248)</f>
        <v>0.7365210997</v>
      </c>
      <c r="G215" s="7">
        <f>ABS(Annual_return_and_ratios!G17 - Annual_return_and_ratios!G248)</f>
        <v>0.8244264536</v>
      </c>
      <c r="H215" s="7">
        <f>ABS(Annual_return_and_ratios!H17 - Annual_return_and_ratios!H248)</f>
        <v>0.780013772</v>
      </c>
      <c r="I215" s="7">
        <f>ABS(Annual_return_and_ratios!I17 - Annual_return_and_ratios!I248)</f>
        <v>0.764139494</v>
      </c>
      <c r="J215" s="7">
        <f>ABS(Annual_return_and_ratios!J17 - Annual_return_and_ratios!J248)</f>
        <v>0.7733623261</v>
      </c>
      <c r="K215" s="7">
        <f>ABS(Annual_return_and_ratios!K17 - Annual_return_and_ratios!K248)</f>
        <v>0.7684425515</v>
      </c>
      <c r="L215" s="7">
        <f>ABS(Annual_return_and_ratios!L17 - Annual_return_and_ratios!L248)</f>
        <v>0.7468043898</v>
      </c>
      <c r="M215" s="7">
        <f>ABS(Annual_return_and_ratios!M17 - Annual_return_and_ratios!M248)</f>
        <v>0.8234416889</v>
      </c>
    </row>
    <row r="216">
      <c r="A216" s="10" t="s">
        <v>19</v>
      </c>
      <c r="B216" s="7">
        <f>ABS(Annual_return_and_ratios!B18 - Annual_return_and_ratios!B249)</f>
        <v>0.7167892157</v>
      </c>
      <c r="C216" s="7">
        <f>ABS(Annual_return_and_ratios!C18 - Annual_return_and_ratios!C249)</f>
        <v>0.6442104379</v>
      </c>
      <c r="D216" s="7">
        <f>ABS(Annual_return_and_ratios!D18 - Annual_return_and_ratios!D249)</f>
        <v>0.5898933774</v>
      </c>
      <c r="E216" s="7">
        <f>ABS(Annual_return_and_ratios!E18 - Annual_return_and_ratios!E249)</f>
        <v>0.7030652014</v>
      </c>
      <c r="F216" s="7">
        <f>ABS(Annual_return_and_ratios!F18 - Annual_return_and_ratios!F249)</f>
        <v>0.7198965671</v>
      </c>
      <c r="G216" s="7">
        <f>ABS(Annual_return_and_ratios!G18 - Annual_return_and_ratios!G249)</f>
        <v>0.6704372204</v>
      </c>
      <c r="H216" s="7">
        <f>ABS(Annual_return_and_ratios!H18 - Annual_return_and_ratios!H249)</f>
        <v>0.7047417672</v>
      </c>
      <c r="I216" s="7">
        <f>ABS(Annual_return_and_ratios!I18 - Annual_return_and_ratios!I249)</f>
        <v>0.5498819127</v>
      </c>
      <c r="J216" s="7">
        <f>ABS(Annual_return_and_ratios!J18 - Annual_return_and_ratios!J249)</f>
        <v>0.5821242386</v>
      </c>
      <c r="K216" s="7">
        <f>ABS(Annual_return_and_ratios!K18 - Annual_return_and_ratios!K249)</f>
        <v>0.6355604708</v>
      </c>
      <c r="L216" s="7">
        <f>ABS(Annual_return_and_ratios!L18 - Annual_return_and_ratios!L249)</f>
        <v>0.6516817913</v>
      </c>
      <c r="M216" s="7">
        <f>ABS(Annual_return_and_ratios!M18 - Annual_return_and_ratios!M249)</f>
        <v>0.8872239765</v>
      </c>
    </row>
    <row r="217">
      <c r="A217" s="10" t="s">
        <v>20</v>
      </c>
      <c r="B217" s="7">
        <f>ABS(Annual_return_and_ratios!B19 - Annual_return_and_ratios!B250)</f>
        <v>0.7368202614</v>
      </c>
      <c r="C217" s="7">
        <f>ABS(Annual_return_and_ratios!C19 - Annual_return_and_ratios!C250)</f>
        <v>0.6460074043</v>
      </c>
      <c r="D217" s="7">
        <f>ABS(Annual_return_and_ratios!D19 - Annual_return_and_ratios!D250)</f>
        <v>0.6710842771</v>
      </c>
      <c r="E217" s="7">
        <f>ABS(Annual_return_and_ratios!E19 - Annual_return_and_ratios!E250)</f>
        <v>0.6666026963</v>
      </c>
      <c r="F217" s="7">
        <f>ABS(Annual_return_and_ratios!F19 - Annual_return_and_ratios!F250)</f>
        <v>0.6676752709</v>
      </c>
      <c r="G217" s="7">
        <f>ABS(Annual_return_and_ratios!G19 - Annual_return_and_ratios!G250)</f>
        <v>0.7462294885</v>
      </c>
      <c r="H217" s="7">
        <f>ABS(Annual_return_and_ratios!H19 - Annual_return_and_ratios!H250)</f>
        <v>0.6190686451</v>
      </c>
      <c r="I217" s="7">
        <f>ABS(Annual_return_and_ratios!I19 - Annual_return_and_ratios!I250)</f>
        <v>0.7122563248</v>
      </c>
      <c r="J217" s="7">
        <f>ABS(Annual_return_and_ratios!J19 - Annual_return_and_ratios!J250)</f>
        <v>0.6187662544</v>
      </c>
      <c r="K217" s="7">
        <f>ABS(Annual_return_and_ratios!K19 - Annual_return_and_ratios!K250)</f>
        <v>0.6802926038</v>
      </c>
      <c r="L217" s="7">
        <f>ABS(Annual_return_and_ratios!L19 - Annual_return_and_ratios!L250)</f>
        <v>0.7388356304</v>
      </c>
      <c r="M217" s="7">
        <f>ABS(Annual_return_and_ratios!M19 - Annual_return_and_ratios!M250)</f>
        <v>0.8660576797</v>
      </c>
    </row>
    <row r="218">
      <c r="A218" s="10" t="s">
        <v>21</v>
      </c>
      <c r="B218" s="7">
        <f>ABS(Annual_return_and_ratios!B20 - Annual_return_and_ratios!B251)</f>
        <v>0.7102166945</v>
      </c>
      <c r="C218" s="7">
        <f>ABS(Annual_return_and_ratios!C20 - Annual_return_and_ratios!C251)</f>
        <v>0.6221591654</v>
      </c>
      <c r="D218" s="7">
        <f>ABS(Annual_return_and_ratios!D20 - Annual_return_and_ratios!D251)</f>
        <v>0.6835842055</v>
      </c>
      <c r="E218" s="7">
        <f>ABS(Annual_return_and_ratios!E20 - Annual_return_and_ratios!E251)</f>
        <v>0.6097650237</v>
      </c>
      <c r="F218" s="7">
        <f>ABS(Annual_return_and_ratios!F20 - Annual_return_and_ratios!F251)</f>
        <v>0.65653533</v>
      </c>
      <c r="G218" s="7">
        <f>ABS(Annual_return_and_ratios!G20 - Annual_return_and_ratios!G251)</f>
        <v>0.6432015598</v>
      </c>
      <c r="H218" s="7">
        <f>ABS(Annual_return_and_ratios!H20 - Annual_return_and_ratios!H251)</f>
        <v>0.5985652604</v>
      </c>
      <c r="I218" s="7">
        <f>ABS(Annual_return_and_ratios!I20 - Annual_return_and_ratios!I251)</f>
        <v>0.6350245775</v>
      </c>
      <c r="J218" s="7">
        <f>ABS(Annual_return_and_ratios!J20 - Annual_return_and_ratios!J251)</f>
        <v>0.5082098262</v>
      </c>
      <c r="K218" s="7">
        <f>ABS(Annual_return_and_ratios!K20 - Annual_return_and_ratios!K251)</f>
        <v>0.5266680075</v>
      </c>
      <c r="L218" s="7">
        <f>ABS(Annual_return_and_ratios!L20 - Annual_return_and_ratios!L251)</f>
        <v>0.5132284823</v>
      </c>
      <c r="M218" s="7">
        <f>ABS(Annual_return_and_ratios!M20 - Annual_return_and_ratios!M251)</f>
        <v>0.5638768308</v>
      </c>
    </row>
    <row r="219">
      <c r="A219" s="10" t="s">
        <v>22</v>
      </c>
      <c r="B219" s="7">
        <f>ABS(Annual_return_and_ratios!B21 - Annual_return_and_ratios!B252)</f>
        <v>0.7605000495</v>
      </c>
      <c r="C219" s="7">
        <f>ABS(Annual_return_and_ratios!C21 - Annual_return_and_ratios!C252)</f>
        <v>0.7410141453</v>
      </c>
      <c r="D219" s="7">
        <f>ABS(Annual_return_and_ratios!D21 - Annual_return_and_ratios!D252)</f>
        <v>0.7463838041</v>
      </c>
      <c r="E219" s="7">
        <f>ABS(Annual_return_and_ratios!E21 - Annual_return_and_ratios!E252)</f>
        <v>0.7268195821</v>
      </c>
      <c r="F219" s="7">
        <f>ABS(Annual_return_and_ratios!F21 - Annual_return_and_ratios!F252)</f>
        <v>0.7588972172</v>
      </c>
      <c r="G219" s="7">
        <f>ABS(Annual_return_and_ratios!G21 - Annual_return_and_ratios!G252)</f>
        <v>0.6269553586</v>
      </c>
      <c r="H219" s="7">
        <f>ABS(Annual_return_and_ratios!H21 - Annual_return_and_ratios!H252)</f>
        <v>0.6029078581</v>
      </c>
      <c r="I219" s="7">
        <f>ABS(Annual_return_and_ratios!I21 - Annual_return_and_ratios!I252)</f>
        <v>0.5774556922</v>
      </c>
      <c r="J219" s="7">
        <f>ABS(Annual_return_and_ratios!J21 - Annual_return_and_ratios!J252)</f>
        <v>0.5876434127</v>
      </c>
      <c r="K219" s="7">
        <f>ABS(Annual_return_and_ratios!K21 - Annual_return_and_ratios!K252)</f>
        <v>0.6056207535</v>
      </c>
      <c r="L219" s="7">
        <f>ABS(Annual_return_and_ratios!L21 - Annual_return_and_ratios!L252)</f>
        <v>0.7231012743</v>
      </c>
      <c r="M219" s="7">
        <f>ABS(Annual_return_and_ratios!M21 - Annual_return_and_ratios!M252)</f>
        <v>0.7860608958</v>
      </c>
    </row>
    <row r="220">
      <c r="A220" s="10" t="s">
        <v>23</v>
      </c>
      <c r="B220" s="7">
        <f>ABS(Annual_return_and_ratios!B22 - Annual_return_and_ratios!B253)</f>
        <v>0.6898108536</v>
      </c>
      <c r="C220" s="7">
        <f>ABS(Annual_return_and_ratios!C22 - Annual_return_and_ratios!C253)</f>
        <v>0.6945090822</v>
      </c>
      <c r="D220" s="7">
        <f>ABS(Annual_return_and_ratios!D22 - Annual_return_and_ratios!D253)</f>
        <v>0.7390586582</v>
      </c>
      <c r="E220" s="7">
        <f>ABS(Annual_return_and_ratios!E22 - Annual_return_and_ratios!E253)</f>
        <v>0.7299707844</v>
      </c>
      <c r="F220" s="7">
        <f>ABS(Annual_return_and_ratios!F22 - Annual_return_and_ratios!F253)</f>
        <v>0.6376162342</v>
      </c>
      <c r="G220" s="7">
        <f>ABS(Annual_return_and_ratios!G22 - Annual_return_and_ratios!G253)</f>
        <v>0.6615718912</v>
      </c>
      <c r="H220" s="7">
        <f>ABS(Annual_return_and_ratios!H22 - Annual_return_and_ratios!H253)</f>
        <v>0.6082134711</v>
      </c>
      <c r="I220" s="7">
        <f>ABS(Annual_return_and_ratios!I22 - Annual_return_and_ratios!I253)</f>
        <v>0.6229098325</v>
      </c>
      <c r="J220" s="7">
        <f>ABS(Annual_return_and_ratios!J22 - Annual_return_and_ratios!J253)</f>
        <v>0.7363451996</v>
      </c>
      <c r="K220" s="7">
        <f>ABS(Annual_return_and_ratios!K22 - Annual_return_and_ratios!K253)</f>
        <v>0.7365353175</v>
      </c>
      <c r="L220" s="7">
        <f>ABS(Annual_return_and_ratios!L22 - Annual_return_and_ratios!L253)</f>
        <v>0.8150135309</v>
      </c>
      <c r="M220" s="7">
        <f>ABS(Annual_return_and_ratios!M22 - Annual_return_and_ratios!M253)</f>
        <v>0.8979850834</v>
      </c>
    </row>
    <row r="221">
      <c r="A221" s="10" t="s">
        <v>24</v>
      </c>
      <c r="B221" s="7">
        <f>ABS(Annual_return_and_ratios!B23 - Annual_return_and_ratios!B254)</f>
        <v>0.7432888737</v>
      </c>
      <c r="C221" s="7">
        <f>ABS(Annual_return_and_ratios!C23 - Annual_return_and_ratios!C254)</f>
        <v>0.7982896093</v>
      </c>
      <c r="D221" s="7">
        <f>ABS(Annual_return_and_ratios!D23 - Annual_return_and_ratios!D254)</f>
        <v>0.9927600564</v>
      </c>
      <c r="E221" s="7">
        <f>ABS(Annual_return_and_ratios!E23 - Annual_return_and_ratios!E254)</f>
        <v>0.9532379008</v>
      </c>
      <c r="F221" s="7">
        <f>ABS(Annual_return_and_ratios!F23 - Annual_return_and_ratios!F254)</f>
        <v>0.9250691656</v>
      </c>
      <c r="G221" s="7">
        <f>ABS(Annual_return_and_ratios!G23 - Annual_return_and_ratios!G254)</f>
        <v>1.014878025</v>
      </c>
      <c r="H221" s="7">
        <f>ABS(Annual_return_and_ratios!H23 - Annual_return_and_ratios!H254)</f>
        <v>0.9360332624</v>
      </c>
      <c r="I221" s="7">
        <f>ABS(Annual_return_and_ratios!I23 - Annual_return_and_ratios!I254)</f>
        <v>0.9084641874</v>
      </c>
      <c r="J221" s="7">
        <f>ABS(Annual_return_and_ratios!J23 - Annual_return_and_ratios!J254)</f>
        <v>0.9717885204</v>
      </c>
      <c r="K221" s="7">
        <f>ABS(Annual_return_and_ratios!K23 - Annual_return_and_ratios!K254)</f>
        <v>0.9313165583</v>
      </c>
      <c r="L221" s="7">
        <f>ABS(Annual_return_and_ratios!L23 - Annual_return_and_ratios!L254)</f>
        <v>0.8914170644</v>
      </c>
      <c r="M221" s="7">
        <f>ABS(Annual_return_and_ratios!M23 - Annual_return_and_ratios!M254)</f>
        <v>0.6502209194</v>
      </c>
    </row>
    <row r="222">
      <c r="A222" s="10" t="s">
        <v>25</v>
      </c>
      <c r="B222" s="7">
        <f>ABS(Annual_return_and_ratios!B24 - Annual_return_and_ratios!B255)</f>
        <v>0.625794258</v>
      </c>
      <c r="C222" s="7">
        <f>ABS(Annual_return_and_ratios!C24 - Annual_return_and_ratios!C255)</f>
        <v>0.4071763891</v>
      </c>
      <c r="D222" s="7">
        <f>ABS(Annual_return_and_ratios!D24 - Annual_return_and_ratios!D255)</f>
        <v>0.5930919837</v>
      </c>
      <c r="E222" s="7">
        <f>ABS(Annual_return_and_ratios!E24 - Annual_return_and_ratios!E255)</f>
        <v>0.53175551</v>
      </c>
      <c r="F222" s="7">
        <f>ABS(Annual_return_and_ratios!F24 - Annual_return_and_ratios!F255)</f>
        <v>0.1473541835</v>
      </c>
      <c r="G222" s="7">
        <f>ABS(Annual_return_and_ratios!G24 - Annual_return_and_ratios!G255)</f>
        <v>0.6303326509</v>
      </c>
      <c r="H222" s="7">
        <f>ABS(Annual_return_and_ratios!H24 - Annual_return_and_ratios!H255)</f>
        <v>0.6139197887</v>
      </c>
      <c r="I222" s="7">
        <f>ABS(Annual_return_and_ratios!I24 - Annual_return_and_ratios!I255)</f>
        <v>0.619807264</v>
      </c>
      <c r="J222" s="7">
        <f>ABS(Annual_return_and_ratios!J24 - Annual_return_and_ratios!J255)</f>
        <v>0.5676951762</v>
      </c>
      <c r="K222" s="7">
        <f>ABS(Annual_return_and_ratios!K24 - Annual_return_and_ratios!K255)</f>
        <v>0.6425135982</v>
      </c>
      <c r="L222" s="7">
        <f>ABS(Annual_return_and_ratios!L24 - Annual_return_and_ratios!L255)</f>
        <v>0.547570436</v>
      </c>
      <c r="M222" s="7">
        <f>ABS(Annual_return_and_ratios!M24 - Annual_return_and_ratios!M255)</f>
        <v>0.5430836309</v>
      </c>
    </row>
    <row r="223">
      <c r="A223" s="10" t="s">
        <v>26</v>
      </c>
      <c r="B223" s="7">
        <f>ABS(Annual_return_and_ratios!B25 - Annual_return_and_ratios!B256)</f>
        <v>0.6607001183</v>
      </c>
      <c r="C223" s="7">
        <f>ABS(Annual_return_and_ratios!C25 - Annual_return_and_ratios!C256)</f>
        <v>0.6035326249</v>
      </c>
      <c r="D223" s="7">
        <f>ABS(Annual_return_and_ratios!D25 - Annual_return_and_ratios!D256)</f>
        <v>0.6959518062</v>
      </c>
      <c r="E223" s="7">
        <f>ABS(Annual_return_and_ratios!E25 - Annual_return_and_ratios!E256)</f>
        <v>0.6783193114</v>
      </c>
      <c r="F223" s="7">
        <f>ABS(Annual_return_and_ratios!F25 - Annual_return_and_ratios!F256)</f>
        <v>0.5708093243</v>
      </c>
      <c r="G223" s="7">
        <f>ABS(Annual_return_and_ratios!G25 - Annual_return_and_ratios!G256)</f>
        <v>0.7433684457</v>
      </c>
      <c r="H223" s="7">
        <f>ABS(Annual_return_and_ratios!H25 - Annual_return_and_ratios!H256)</f>
        <v>0.7199719774</v>
      </c>
      <c r="I223" s="7">
        <f>ABS(Annual_return_and_ratios!I25 - Annual_return_and_ratios!I256)</f>
        <v>0.7597985229</v>
      </c>
      <c r="J223" s="7">
        <f>ABS(Annual_return_and_ratios!J25 - Annual_return_and_ratios!J256)</f>
        <v>0.6835794783</v>
      </c>
      <c r="K223" s="7">
        <f>ABS(Annual_return_and_ratios!K25 - Annual_return_and_ratios!K256)</f>
        <v>0.6927413735</v>
      </c>
      <c r="L223" s="7">
        <f>ABS(Annual_return_and_ratios!L25 - Annual_return_and_ratios!L256)</f>
        <v>0.7783160723</v>
      </c>
      <c r="M223" s="7">
        <f>ABS(Annual_return_and_ratios!M25 - Annual_return_and_ratios!M256)</f>
        <v>0.6592637411</v>
      </c>
    </row>
    <row r="224">
      <c r="A224" s="10" t="s">
        <v>27</v>
      </c>
      <c r="B224" s="7">
        <f>ABS(Annual_return_and_ratios!B26 - Annual_return_and_ratios!B257)</f>
        <v>0.9115837283</v>
      </c>
      <c r="C224" s="7">
        <f>ABS(Annual_return_and_ratios!C26 - Annual_return_and_ratios!C257)</f>
        <v>0.8563640793</v>
      </c>
      <c r="D224" s="7">
        <f>ABS(Annual_return_and_ratios!D26 - Annual_return_and_ratios!D257)</f>
        <v>0.8604191825</v>
      </c>
      <c r="E224" s="7">
        <f>ABS(Annual_return_and_ratios!E26 - Annual_return_and_ratios!E257)</f>
        <v>0.8275962324</v>
      </c>
      <c r="F224" s="7">
        <f>ABS(Annual_return_and_ratios!F26 - Annual_return_and_ratios!F257)</f>
        <v>0.6935812795</v>
      </c>
      <c r="G224" s="7">
        <f>ABS(Annual_return_and_ratios!G26 - Annual_return_and_ratios!G257)</f>
        <v>0.6300790626</v>
      </c>
      <c r="H224" s="7">
        <f>ABS(Annual_return_and_ratios!H26 - Annual_return_and_ratios!H257)</f>
        <v>0.3550824637</v>
      </c>
      <c r="I224" s="7">
        <f>ABS(Annual_return_and_ratios!I26 - Annual_return_and_ratios!I257)</f>
        <v>0.2576155581</v>
      </c>
      <c r="J224" s="7">
        <f>ABS(Annual_return_and_ratios!J26 - Annual_return_and_ratios!J257)</f>
        <v>0.001770017297</v>
      </c>
      <c r="K224" s="7">
        <f>ABS(Annual_return_and_ratios!K26 - Annual_return_and_ratios!K257)</f>
        <v>0.4163351663</v>
      </c>
      <c r="L224" s="7">
        <f>ABS(Annual_return_and_ratios!L26 - Annual_return_and_ratios!L257)</f>
        <v>0.8700177982</v>
      </c>
      <c r="M224" s="7">
        <f>ABS(Annual_return_and_ratios!M26 - Annual_return_and_ratios!M257)</f>
        <v>0.7571811766</v>
      </c>
    </row>
    <row r="225">
      <c r="A225" s="10" t="s">
        <v>28</v>
      </c>
      <c r="B225" s="7">
        <f>ABS(Annual_return_and_ratios!B27 - Annual_return_and_ratios!B258)</f>
        <v>0.9509978539</v>
      </c>
      <c r="C225" s="7">
        <f>ABS(Annual_return_and_ratios!C27 - Annual_return_and_ratios!C258)</f>
        <v>0.9473670472</v>
      </c>
      <c r="D225" s="7">
        <f>ABS(Annual_return_and_ratios!D27 - Annual_return_and_ratios!D258)</f>
        <v>0.927893881</v>
      </c>
      <c r="E225" s="7">
        <f>ABS(Annual_return_and_ratios!E27 - Annual_return_and_ratios!E258)</f>
        <v>0.948443888</v>
      </c>
      <c r="F225" s="7">
        <f>ABS(Annual_return_and_ratios!F27 - Annual_return_and_ratios!F258)</f>
        <v>0.8166200541</v>
      </c>
      <c r="G225" s="7">
        <f>ABS(Annual_return_and_ratios!G27 - Annual_return_and_ratios!G258)</f>
        <v>0.988426716</v>
      </c>
      <c r="H225" s="7">
        <f>ABS(Annual_return_and_ratios!H27 - Annual_return_and_ratios!H258)</f>
        <v>0.9560511537</v>
      </c>
      <c r="I225" s="7">
        <f>ABS(Annual_return_and_ratios!I27 - Annual_return_and_ratios!I258)</f>
        <v>0.889861785</v>
      </c>
      <c r="J225" s="7">
        <f>ABS(Annual_return_and_ratios!J27 - Annual_return_and_ratios!J258)</f>
        <v>0.840887889</v>
      </c>
      <c r="K225" s="7">
        <f>ABS(Annual_return_and_ratios!K27 - Annual_return_and_ratios!K258)</f>
        <v>0.8321818481</v>
      </c>
      <c r="L225" s="7">
        <f>ABS(Annual_return_and_ratios!L27 - Annual_return_and_ratios!L258)</f>
        <v>0.9246305593</v>
      </c>
      <c r="M225" s="7">
        <f>ABS(Annual_return_and_ratios!M27 - Annual_return_and_ratios!M258)</f>
        <v>0.8644575379</v>
      </c>
    </row>
    <row r="226">
      <c r="A226" s="10" t="s">
        <v>29</v>
      </c>
      <c r="B226" s="7">
        <f>ABS(Annual_return_and_ratios!B28 - Annual_return_and_ratios!B259)</f>
        <v>0.8318881866</v>
      </c>
      <c r="C226" s="7">
        <f>ABS(Annual_return_and_ratios!C28 - Annual_return_and_ratios!C259)</f>
        <v>0.8400398083</v>
      </c>
      <c r="D226" s="7">
        <f>ABS(Annual_return_and_ratios!D28 - Annual_return_and_ratios!D259)</f>
        <v>0.9092232844</v>
      </c>
      <c r="E226" s="7">
        <f>ABS(Annual_return_and_ratios!E28 - Annual_return_and_ratios!E259)</f>
        <v>0.8642228075</v>
      </c>
      <c r="F226" s="7">
        <f>ABS(Annual_return_and_ratios!F28 - Annual_return_and_ratios!F259)</f>
        <v>0.8722680525</v>
      </c>
      <c r="G226" s="7">
        <f>ABS(Annual_return_and_ratios!G28 - Annual_return_and_ratios!G259)</f>
        <v>0.9517174853</v>
      </c>
      <c r="H226" s="7">
        <f>ABS(Annual_return_and_ratios!H28 - Annual_return_and_ratios!H259)</f>
        <v>0.9171607562</v>
      </c>
      <c r="I226" s="7">
        <f>ABS(Annual_return_and_ratios!I28 - Annual_return_and_ratios!I259)</f>
        <v>0.870916787</v>
      </c>
      <c r="J226" s="7">
        <f>ABS(Annual_return_and_ratios!J28 - Annual_return_and_ratios!J259)</f>
        <v>0.8814044802</v>
      </c>
      <c r="K226" s="7">
        <f>ABS(Annual_return_and_ratios!K28 - Annual_return_and_ratios!K259)</f>
        <v>0.9693875745</v>
      </c>
      <c r="L226" s="7">
        <f>ABS(Annual_return_and_ratios!L28 - Annual_return_and_ratios!L259)</f>
        <v>0.910763757</v>
      </c>
      <c r="M226" s="7">
        <f>ABS(Annual_return_and_ratios!M28 - Annual_return_and_ratios!M259)</f>
        <v>0.8435096826</v>
      </c>
    </row>
    <row r="227">
      <c r="A227" s="10" t="s">
        <v>30</v>
      </c>
      <c r="B227" s="7">
        <f>ABS(Annual_return_and_ratios!B29 - Annual_return_and_ratios!B260)</f>
        <v>0.926599021</v>
      </c>
      <c r="C227" s="7">
        <f>ABS(Annual_return_and_ratios!C29 - Annual_return_and_ratios!C260)</f>
        <v>0.9020241334</v>
      </c>
      <c r="D227" s="7">
        <f>ABS(Annual_return_and_ratios!D29 - Annual_return_and_ratios!D260)</f>
        <v>0.9437451359</v>
      </c>
      <c r="E227" s="7">
        <f>ABS(Annual_return_and_ratios!E29 - Annual_return_and_ratios!E260)</f>
        <v>0.7475875054</v>
      </c>
      <c r="F227" s="7">
        <f>ABS(Annual_return_and_ratios!F29 - Annual_return_and_ratios!F260)</f>
        <v>0.9205132296</v>
      </c>
      <c r="G227" s="7">
        <f>ABS(Annual_return_and_ratios!G29 - Annual_return_and_ratios!G260)</f>
        <v>0.5411522542</v>
      </c>
      <c r="H227" s="7">
        <f>ABS(Annual_return_and_ratios!H29 - Annual_return_and_ratios!H260)</f>
        <v>0.8616444571</v>
      </c>
      <c r="I227" s="7">
        <f>ABS(Annual_return_and_ratios!I29 - Annual_return_and_ratios!I260)</f>
        <v>0.7134953447</v>
      </c>
      <c r="J227" s="7">
        <f>ABS(Annual_return_and_ratios!J29 - Annual_return_and_ratios!J260)</f>
        <v>0.684949134</v>
      </c>
      <c r="K227" s="7">
        <f>ABS(Annual_return_and_ratios!K29 - Annual_return_and_ratios!K260)</f>
        <v>0.6766282515</v>
      </c>
      <c r="L227" s="7">
        <f>ABS(Annual_return_and_ratios!L29 - Annual_return_and_ratios!L260)</f>
        <v>0.6901700264</v>
      </c>
      <c r="M227" s="7">
        <f>ABS(Annual_return_and_ratios!M29 - Annual_return_and_ratios!M260)</f>
        <v>0.8837699442</v>
      </c>
    </row>
    <row r="228">
      <c r="A228" s="10" t="s">
        <v>31</v>
      </c>
      <c r="B228" s="7">
        <f>ABS(Annual_return_and_ratios!B30 - Annual_return_and_ratios!B261)</f>
        <v>0.6289588525</v>
      </c>
      <c r="C228" s="7">
        <f>ABS(Annual_return_and_ratios!C30 - Annual_return_and_ratios!C261)</f>
        <v>0.6579382276</v>
      </c>
      <c r="D228" s="7">
        <f>ABS(Annual_return_and_ratios!D30 - Annual_return_and_ratios!D261)</f>
        <v>0.6712938868</v>
      </c>
      <c r="E228" s="7">
        <f>ABS(Annual_return_and_ratios!E30 - Annual_return_and_ratios!E261)</f>
        <v>0.682605647</v>
      </c>
      <c r="F228" s="7">
        <f>ABS(Annual_return_and_ratios!F30 - Annual_return_and_ratios!F261)</f>
        <v>0.701949292</v>
      </c>
      <c r="G228" s="7">
        <f>ABS(Annual_return_and_ratios!G30 - Annual_return_and_ratios!G261)</f>
        <v>0.6958939403</v>
      </c>
      <c r="H228" s="7">
        <f>ABS(Annual_return_and_ratios!H30 - Annual_return_and_ratios!H261)</f>
        <v>0.6706852837</v>
      </c>
      <c r="I228" s="7">
        <f>ABS(Annual_return_and_ratios!I30 - Annual_return_and_ratios!I261)</f>
        <v>0.7199424851</v>
      </c>
      <c r="J228" s="7">
        <f>ABS(Annual_return_and_ratios!J30 - Annual_return_and_ratios!J261)</f>
        <v>0.8687702848</v>
      </c>
      <c r="K228" s="7">
        <f>ABS(Annual_return_and_ratios!K30 - Annual_return_and_ratios!K261)</f>
        <v>0.6795433882</v>
      </c>
      <c r="L228" s="7">
        <f>ABS(Annual_return_and_ratios!L30 - Annual_return_and_ratios!L261)</f>
        <v>0.6381075459</v>
      </c>
      <c r="M228" s="7">
        <f>ABS(Annual_return_and_ratios!M30 - Annual_return_and_ratios!M261)</f>
        <v>0.8263781736</v>
      </c>
    </row>
    <row r="232">
      <c r="A232" s="10" t="s">
        <v>111</v>
      </c>
      <c r="B232" s="7">
        <f>MAX(B2:M30,B35:M63,B68:M96,B101:M129,B134:M162,B167:M195,B200:M228,B238:M266)</f>
        <v>1.05388821</v>
      </c>
    </row>
    <row r="233">
      <c r="A233" s="10" t="s">
        <v>112</v>
      </c>
      <c r="B233" s="7">
        <f>MIN(B2:M30,B35:M63,B68:M96,B101:M129,B134:M162,B167:M195,B200:M228,B238:M266)</f>
        <v>0.00008685147683</v>
      </c>
    </row>
    <row r="237">
      <c r="A237" s="9" t="s">
        <v>110</v>
      </c>
      <c r="B237" s="7">
        <v>2025.0</v>
      </c>
      <c r="C237" s="7">
        <v>2024.0</v>
      </c>
      <c r="D237" s="7">
        <v>2023.0</v>
      </c>
      <c r="E237" s="7">
        <v>2022.0</v>
      </c>
      <c r="F237" s="7">
        <v>2021.0</v>
      </c>
      <c r="G237" s="7">
        <v>2020.0</v>
      </c>
      <c r="H237" s="7">
        <v>2019.0</v>
      </c>
      <c r="I237" s="7">
        <v>2018.0</v>
      </c>
      <c r="J237" s="7">
        <v>2017.0</v>
      </c>
      <c r="K237" s="7">
        <v>2016.0</v>
      </c>
      <c r="L237" s="7">
        <v>2015.0</v>
      </c>
      <c r="M237" s="7">
        <v>2014.0</v>
      </c>
    </row>
    <row r="238">
      <c r="A238" s="7" t="s">
        <v>3</v>
      </c>
      <c r="B238" s="7">
        <f>ABS(Annual_return_and_ratios!B2 - Annual_return_and_ratios!B266)</f>
        <v>0.5510237202</v>
      </c>
      <c r="C238" s="7">
        <f>ABS(Annual_return_and_ratios!C2 - Annual_return_and_ratios!C266)</f>
        <v>0.3976345842</v>
      </c>
      <c r="D238" s="7">
        <f>ABS(Annual_return_and_ratios!D2 - Annual_return_and_ratios!D266)</f>
        <v>0.3756673289</v>
      </c>
      <c r="E238" s="7">
        <f>ABS(Annual_return_and_ratios!E2 - Annual_return_and_ratios!E266)</f>
        <v>0.3153390395</v>
      </c>
      <c r="F238" s="7">
        <f>ABS(Annual_return_and_ratios!F2 - Annual_return_and_ratios!F266)</f>
        <v>0.2480580926</v>
      </c>
      <c r="G238" s="7">
        <f>ABS(Annual_return_and_ratios!G2 - Annual_return_and_ratios!G266)</f>
        <v>0.3902957543</v>
      </c>
      <c r="H238" s="7">
        <f>ABS(Annual_return_and_ratios!H2 - Annual_return_and_ratios!H266)</f>
        <v>0.3627819176</v>
      </c>
      <c r="I238" s="7">
        <f>ABS(Annual_return_and_ratios!I2 - Annual_return_and_ratios!I266)</f>
        <v>0.3939432346</v>
      </c>
      <c r="J238" s="7">
        <f>ABS(Annual_return_and_ratios!J2 - Annual_return_and_ratios!J266)</f>
        <v>0.2872782565</v>
      </c>
      <c r="K238" s="7">
        <f>ABS(Annual_return_and_ratios!K2 - Annual_return_and_ratios!K266)</f>
        <v>0.2512309376</v>
      </c>
      <c r="L238" s="7">
        <f>ABS(Annual_return_and_ratios!L2 - Annual_return_and_ratios!L266)</f>
        <v>0.1883420408</v>
      </c>
      <c r="M238" s="7">
        <f>ABS(Annual_return_and_ratios!M2 - Annual_return_and_ratios!M266)</f>
        <v>0.2366057388</v>
      </c>
    </row>
    <row r="239">
      <c r="A239" s="7" t="s">
        <v>4</v>
      </c>
      <c r="B239" s="7">
        <f>ABS(Annual_return_and_ratios!B3 - Annual_return_and_ratios!B267)</f>
        <v>1.006800065</v>
      </c>
      <c r="C239" s="7">
        <f>ABS(Annual_return_and_ratios!C3 - Annual_return_and_ratios!C267)</f>
        <v>0.9707012936</v>
      </c>
      <c r="D239" s="7">
        <f>ABS(Annual_return_and_ratios!D3 - Annual_return_and_ratios!D267)</f>
        <v>0.9786141788</v>
      </c>
      <c r="E239" s="7">
        <f>ABS(Annual_return_and_ratios!E3 - Annual_return_and_ratios!E267)</f>
        <v>0.9564403618</v>
      </c>
      <c r="F239" s="7">
        <f>ABS(Annual_return_and_ratios!F3 - Annual_return_and_ratios!F267)</f>
        <v>0.9652790504</v>
      </c>
      <c r="G239" s="7">
        <f>ABS(Annual_return_and_ratios!G3 - Annual_return_and_ratios!G267)</f>
        <v>0.990149612</v>
      </c>
      <c r="H239" s="7">
        <f>ABS(Annual_return_and_ratios!H3 - Annual_return_and_ratios!H267)</f>
        <v>0.9405519262</v>
      </c>
      <c r="I239" s="7">
        <f>ABS(Annual_return_and_ratios!I3 - Annual_return_and_ratios!I267)</f>
        <v>0.9716494254</v>
      </c>
      <c r="J239" s="7">
        <f>ABS(Annual_return_and_ratios!J3 - Annual_return_and_ratios!J267)</f>
        <v>0.9472487881</v>
      </c>
      <c r="K239" s="7">
        <f>ABS(Annual_return_and_ratios!K3 - Annual_return_and_ratios!K267)</f>
        <v>0.9768842947</v>
      </c>
      <c r="L239" s="7">
        <f>ABS(Annual_return_and_ratios!L3 - Annual_return_and_ratios!L267)</f>
        <v>0.9130541411</v>
      </c>
      <c r="M239" s="7">
        <f>ABS(Annual_return_and_ratios!M3 - Annual_return_and_ratios!M267)</f>
        <v>0.9600051526</v>
      </c>
    </row>
    <row r="240">
      <c r="A240" s="7" t="s">
        <v>5</v>
      </c>
      <c r="B240" s="7">
        <f>ABS(Annual_return_and_ratios!B4 - Annual_return_and_ratios!B268)</f>
        <v>0.4542970717</v>
      </c>
      <c r="C240" s="7">
        <f>ABS(Annual_return_and_ratios!C4 - Annual_return_and_ratios!C268)</f>
        <v>0.3777141766</v>
      </c>
      <c r="D240" s="7">
        <f>ABS(Annual_return_and_ratios!D4 - Annual_return_and_ratios!D268)</f>
        <v>0.3257003172</v>
      </c>
      <c r="E240" s="7">
        <f>ABS(Annual_return_and_ratios!E4 - Annual_return_and_ratios!E268)</f>
        <v>0.3556333224</v>
      </c>
      <c r="F240" s="7">
        <f>ABS(Annual_return_and_ratios!F4 - Annual_return_and_ratios!F268)</f>
        <v>0.3407931421</v>
      </c>
      <c r="G240" s="7">
        <f>ABS(Annual_return_and_ratios!G4 - Annual_return_and_ratios!G268)</f>
        <v>0.4913362207</v>
      </c>
      <c r="H240" s="7">
        <f>ABS(Annual_return_and_ratios!H4 - Annual_return_and_ratios!H268)</f>
        <v>0.1994592241</v>
      </c>
      <c r="I240" s="7">
        <f>ABS(Annual_return_and_ratios!I4 - Annual_return_and_ratios!I268)</f>
        <v>0.3155973922</v>
      </c>
      <c r="J240" s="7">
        <f>ABS(Annual_return_and_ratios!J4 - Annual_return_and_ratios!J268)</f>
        <v>0.3071722961</v>
      </c>
      <c r="K240" s="7">
        <f>ABS(Annual_return_and_ratios!K4 - Annual_return_and_ratios!K268)</f>
        <v>0.3973892605</v>
      </c>
      <c r="L240" s="7">
        <f>ABS(Annual_return_and_ratios!L4 - Annual_return_and_ratios!L268)</f>
        <v>0.2961487677</v>
      </c>
      <c r="M240" s="7">
        <f>ABS(Annual_return_and_ratios!M4 - Annual_return_and_ratios!M268)</f>
        <v>0.3450221953</v>
      </c>
    </row>
    <row r="241">
      <c r="A241" s="7" t="s">
        <v>6</v>
      </c>
      <c r="B241" s="7">
        <f>ABS(Annual_return_and_ratios!B5 - Annual_return_and_ratios!B269)</f>
        <v>0.7455716606</v>
      </c>
      <c r="C241" s="7">
        <f>ABS(Annual_return_and_ratios!C5 - Annual_return_and_ratios!C269)</f>
        <v>0.7529247557</v>
      </c>
      <c r="D241" s="7">
        <f>ABS(Annual_return_and_ratios!D5 - Annual_return_and_ratios!D269)</f>
        <v>0.8169640982</v>
      </c>
      <c r="E241" s="7">
        <f>ABS(Annual_return_and_ratios!E5 - Annual_return_and_ratios!E269)</f>
        <v>0.8306383477</v>
      </c>
      <c r="F241" s="7">
        <f>ABS(Annual_return_and_ratios!F5 - Annual_return_and_ratios!F269)</f>
        <v>0.8704129566</v>
      </c>
      <c r="G241" s="7">
        <f>ABS(Annual_return_and_ratios!G5 - Annual_return_and_ratios!G269)</f>
        <v>0.8868837817</v>
      </c>
      <c r="H241" s="7">
        <f>ABS(Annual_return_and_ratios!H5 - Annual_return_and_ratios!H269)</f>
        <v>0.8238454948</v>
      </c>
      <c r="I241" s="7">
        <f>ABS(Annual_return_and_ratios!I5 - Annual_return_and_ratios!I269)</f>
        <v>0.9784067871</v>
      </c>
      <c r="J241" s="7">
        <f>ABS(Annual_return_and_ratios!J5 - Annual_return_and_ratios!J269)</f>
        <v>0.9258025712</v>
      </c>
      <c r="K241" s="7">
        <f>ABS(Annual_return_and_ratios!K5 - Annual_return_and_ratios!K269)</f>
        <v>0.9836958028</v>
      </c>
      <c r="L241" s="7">
        <f>ABS(Annual_return_and_ratios!L5 - Annual_return_and_ratios!L269)</f>
        <v>0.9457349176</v>
      </c>
      <c r="M241" s="7">
        <f>ABS(Annual_return_and_ratios!M5 - Annual_return_and_ratios!M269)</f>
        <v>0.9942303834</v>
      </c>
    </row>
    <row r="242">
      <c r="A242" s="7" t="s">
        <v>7</v>
      </c>
      <c r="B242" s="7">
        <f>ABS(Annual_return_and_ratios!B6 - Annual_return_and_ratios!B270)</f>
        <v>0.9022978138</v>
      </c>
      <c r="C242" s="7">
        <f>ABS(Annual_return_and_ratios!C6 - Annual_return_and_ratios!C270)</f>
        <v>0.8846589031</v>
      </c>
      <c r="D242" s="7">
        <f>ABS(Annual_return_and_ratios!D6 - Annual_return_and_ratios!D270)</f>
        <v>0.8940017211</v>
      </c>
      <c r="E242" s="7">
        <f>ABS(Annual_return_and_ratios!E6 - Annual_return_and_ratios!E270)</f>
        <v>0.8812579225</v>
      </c>
      <c r="F242" s="7">
        <f>ABS(Annual_return_and_ratios!F6 - Annual_return_and_ratios!F270)</f>
        <v>0.8594013538</v>
      </c>
      <c r="G242" s="7">
        <f>ABS(Annual_return_and_ratios!G6 - Annual_return_and_ratios!G270)</f>
        <v>0.8806164432</v>
      </c>
      <c r="H242" s="7">
        <f>ABS(Annual_return_and_ratios!H6 - Annual_return_and_ratios!H270)</f>
        <v>0.6782605622</v>
      </c>
      <c r="I242" s="7">
        <f>ABS(Annual_return_and_ratios!I6 - Annual_return_and_ratios!I270)</f>
        <v>0.935858634</v>
      </c>
      <c r="J242" s="7">
        <f>ABS(Annual_return_and_ratios!J6 - Annual_return_and_ratios!J270)</f>
        <v>0.7804813421</v>
      </c>
      <c r="K242" s="7">
        <f>ABS(Annual_return_and_ratios!K6 - Annual_return_and_ratios!K270)</f>
        <v>0.702930357</v>
      </c>
      <c r="L242" s="7">
        <f>ABS(Annual_return_and_ratios!L6 - Annual_return_and_ratios!L270)</f>
        <v>0.7197532243</v>
      </c>
      <c r="M242" s="7">
        <f>ABS(Annual_return_and_ratios!M6 - Annual_return_and_ratios!M270)</f>
        <v>0.6816379528</v>
      </c>
    </row>
    <row r="243">
      <c r="A243" s="7" t="s">
        <v>8</v>
      </c>
      <c r="B243" s="7">
        <f>ABS(Annual_return_and_ratios!B7 - Annual_return_and_ratios!B271)</f>
        <v>0.2881731187</v>
      </c>
      <c r="C243" s="7">
        <f>ABS(Annual_return_and_ratios!C7 - Annual_return_and_ratios!C271)</f>
        <v>0.2851375891</v>
      </c>
      <c r="D243" s="7">
        <f>ABS(Annual_return_and_ratios!D7 - Annual_return_and_ratios!D271)</f>
        <v>0.3291933803</v>
      </c>
      <c r="E243" s="7">
        <f>ABS(Annual_return_and_ratios!E7 - Annual_return_and_ratios!E271)</f>
        <v>0.390180487</v>
      </c>
      <c r="F243" s="7">
        <f>ABS(Annual_return_and_ratios!F7 - Annual_return_and_ratios!F271)</f>
        <v>0.4354615916</v>
      </c>
      <c r="G243" s="7">
        <f>ABS(Annual_return_and_ratios!G7 - Annual_return_and_ratios!G271)</f>
        <v>0.2403918975</v>
      </c>
      <c r="H243" s="7">
        <f>ABS(Annual_return_and_ratios!H7 - Annual_return_and_ratios!H271)</f>
        <v>0.3239024744</v>
      </c>
      <c r="I243" s="7">
        <f>ABS(Annual_return_and_ratios!I7 - Annual_return_and_ratios!I271)</f>
        <v>0.589657152</v>
      </c>
      <c r="J243" s="7">
        <f>ABS(Annual_return_and_ratios!J7 - Annual_return_and_ratios!J271)</f>
        <v>0.5109462718</v>
      </c>
      <c r="K243" s="7">
        <f>ABS(Annual_return_and_ratios!K7 - Annual_return_and_ratios!K271)</f>
        <v>0.6121739051</v>
      </c>
      <c r="L243" s="7">
        <f>ABS(Annual_return_and_ratios!L7 - Annual_return_and_ratios!L271)</f>
        <v>0.4441953022</v>
      </c>
      <c r="M243" s="7">
        <f>ABS(Annual_return_and_ratios!M7 - Annual_return_and_ratios!M271)</f>
        <v>0.5008451717</v>
      </c>
    </row>
    <row r="244">
      <c r="A244" s="7" t="s">
        <v>9</v>
      </c>
      <c r="B244" s="7">
        <f>ABS(Annual_return_and_ratios!B8 - Annual_return_and_ratios!B272)</f>
        <v>0.3184674545</v>
      </c>
      <c r="C244" s="7">
        <f>ABS(Annual_return_and_ratios!C8 - Annual_return_and_ratios!C272)</f>
        <v>0.1547631296</v>
      </c>
      <c r="D244" s="7">
        <f>ABS(Annual_return_and_ratios!D8 - Annual_return_and_ratios!D272)</f>
        <v>0.09291203735</v>
      </c>
      <c r="E244" s="7">
        <f>ABS(Annual_return_and_ratios!E8 - Annual_return_and_ratios!E272)</f>
        <v>0.00396073749</v>
      </c>
      <c r="F244" s="7">
        <f>ABS(Annual_return_and_ratios!F8 - Annual_return_and_ratios!F272)</f>
        <v>0.01275131807</v>
      </c>
      <c r="G244" s="7">
        <f>ABS(Annual_return_and_ratios!G8 - Annual_return_and_ratios!G272)</f>
        <v>0.1646453093</v>
      </c>
      <c r="H244" s="7">
        <f>ABS(Annual_return_and_ratios!H8 - Annual_return_and_ratios!H272)</f>
        <v>0.1498599379</v>
      </c>
      <c r="I244" s="7">
        <f>ABS(Annual_return_and_ratios!I8 - Annual_return_and_ratios!I272)</f>
        <v>0.2215345612</v>
      </c>
      <c r="J244" s="7">
        <f>ABS(Annual_return_and_ratios!J8 - Annual_return_and_ratios!J272)</f>
        <v>0.1907449449</v>
      </c>
      <c r="K244" s="7">
        <f>ABS(Annual_return_and_ratios!K8 - Annual_return_and_ratios!K272)</f>
        <v>0.2037024052</v>
      </c>
      <c r="L244" s="7">
        <f>ABS(Annual_return_and_ratios!L8 - Annual_return_and_ratios!L272)</f>
        <v>0.0916508296</v>
      </c>
      <c r="M244" s="7">
        <f>ABS(Annual_return_and_ratios!M8 - Annual_return_and_ratios!M272)</f>
        <v>0.2742957065</v>
      </c>
    </row>
    <row r="245">
      <c r="A245" s="7" t="s">
        <v>10</v>
      </c>
      <c r="B245" s="7">
        <f>ABS(Annual_return_and_ratios!B9 - Annual_return_and_ratios!B273)</f>
        <v>0.9940597682</v>
      </c>
      <c r="C245" s="7">
        <f>ABS(Annual_return_and_ratios!C9 - Annual_return_and_ratios!C273)</f>
        <v>0.9669642876</v>
      </c>
      <c r="D245" s="7">
        <f>ABS(Annual_return_and_ratios!D9 - Annual_return_and_ratios!D273)</f>
        <v>0.9994941168</v>
      </c>
      <c r="E245" s="7">
        <f>ABS(Annual_return_and_ratios!E9 - Annual_return_and_ratios!E273)</f>
        <v>0.9563944063</v>
      </c>
      <c r="F245" s="7">
        <f>ABS(Annual_return_and_ratios!F9 - Annual_return_and_ratios!F273)</f>
        <v>0.8983653244</v>
      </c>
      <c r="G245" s="7">
        <f>ABS(Annual_return_and_ratios!G9 - Annual_return_and_ratios!G273)</f>
        <v>0.9650478488</v>
      </c>
      <c r="H245" s="7">
        <f>ABS(Annual_return_and_ratios!H9 - Annual_return_and_ratios!H273)</f>
        <v>0.9380524042</v>
      </c>
      <c r="I245" s="7">
        <f>ABS(Annual_return_and_ratios!I9 - Annual_return_and_ratios!I273)</f>
        <v>0.9893780065</v>
      </c>
      <c r="J245" s="7">
        <f>ABS(Annual_return_and_ratios!J9 - Annual_return_and_ratios!J273)</f>
        <v>0.9937835311</v>
      </c>
      <c r="K245" s="7">
        <f>ABS(Annual_return_and_ratios!K9 - Annual_return_and_ratios!K273)</f>
        <v>0.9950976905</v>
      </c>
      <c r="L245" s="7">
        <f>ABS(Annual_return_and_ratios!L9 - Annual_return_and_ratios!L273)</f>
        <v>0.9717294052</v>
      </c>
      <c r="M245" s="7">
        <f>ABS(Annual_return_and_ratios!M9 - Annual_return_and_ratios!M273)</f>
        <v>0.9482023523</v>
      </c>
    </row>
    <row r="246">
      <c r="A246" s="7" t="s">
        <v>11</v>
      </c>
      <c r="B246" s="7">
        <f>ABS(Annual_return_and_ratios!B10 - Annual_return_and_ratios!B274)</f>
        <v>0.5882024402</v>
      </c>
      <c r="C246" s="7">
        <f>ABS(Annual_return_and_ratios!C10 - Annual_return_and_ratios!C274)</f>
        <v>0.528954322</v>
      </c>
      <c r="D246" s="7">
        <f>ABS(Annual_return_and_ratios!D10 - Annual_return_and_ratios!D274)</f>
        <v>0.4540335982</v>
      </c>
      <c r="E246" s="7">
        <f>ABS(Annual_return_and_ratios!E10 - Annual_return_and_ratios!E274)</f>
        <v>0.4808214987</v>
      </c>
      <c r="F246" s="7">
        <f>ABS(Annual_return_and_ratios!F10 - Annual_return_and_ratios!F274)</f>
        <v>0.4362377263</v>
      </c>
      <c r="G246" s="7">
        <f>ABS(Annual_return_and_ratios!G10 - Annual_return_and_ratios!G274)</f>
        <v>0.4737008678</v>
      </c>
      <c r="H246" s="7">
        <f>ABS(Annual_return_and_ratios!H10 - Annual_return_and_ratios!H274)</f>
        <v>0.4776952142</v>
      </c>
      <c r="I246" s="7">
        <f>ABS(Annual_return_and_ratios!I10 - Annual_return_and_ratios!I274)</f>
        <v>0.3347533579</v>
      </c>
      <c r="J246" s="7">
        <f>ABS(Annual_return_and_ratios!J10 - Annual_return_and_ratios!J274)</f>
        <v>0.4203666137</v>
      </c>
      <c r="K246" s="7">
        <f>ABS(Annual_return_and_ratios!K10 - Annual_return_and_ratios!K274)</f>
        <v>0.4514692743</v>
      </c>
      <c r="L246" s="7">
        <f>ABS(Annual_return_and_ratios!L10 - Annual_return_and_ratios!L274)</f>
        <v>0.3724822818</v>
      </c>
      <c r="M246" s="7">
        <f>ABS(Annual_return_and_ratios!M10 - Annual_return_and_ratios!M274)</f>
        <v>0.260275471</v>
      </c>
    </row>
    <row r="247">
      <c r="A247" s="7" t="s">
        <v>12</v>
      </c>
      <c r="B247" s="7">
        <f>ABS(Annual_return_and_ratios!B11 - Annual_return_and_ratios!B275)</f>
        <v>0.6237144071</v>
      </c>
      <c r="C247" s="7">
        <f>ABS(Annual_return_and_ratios!C11 - Annual_return_and_ratios!C275)</f>
        <v>0.6302683811</v>
      </c>
      <c r="D247" s="7">
        <f>ABS(Annual_return_and_ratios!D11 - Annual_return_and_ratios!D275)</f>
        <v>0.6179693208</v>
      </c>
      <c r="E247" s="7">
        <f>ABS(Annual_return_and_ratios!E11 - Annual_return_and_ratios!E275)</f>
        <v>0.6629008334</v>
      </c>
      <c r="F247" s="7">
        <f>ABS(Annual_return_and_ratios!F11 - Annual_return_and_ratios!F275)</f>
        <v>0.660824773</v>
      </c>
      <c r="G247" s="7">
        <f>ABS(Annual_return_and_ratios!G11 - Annual_return_and_ratios!G275)</f>
        <v>0.1265726744</v>
      </c>
      <c r="H247" s="7">
        <f>ABS(Annual_return_and_ratios!H11 - Annual_return_and_ratios!H275)</f>
        <v>0.2233644696</v>
      </c>
      <c r="I247" s="7">
        <f>ABS(Annual_return_and_ratios!I11 - Annual_return_and_ratios!I275)</f>
        <v>0.2008532564</v>
      </c>
      <c r="J247" s="7">
        <f>ABS(Annual_return_and_ratios!J11 - Annual_return_and_ratios!J275)</f>
        <v>0.1725636011</v>
      </c>
      <c r="K247" s="7">
        <f>ABS(Annual_return_and_ratios!K11 - Annual_return_and_ratios!K275)</f>
        <v>0.2583464306</v>
      </c>
      <c r="L247" s="7">
        <f>ABS(Annual_return_and_ratios!L11 - Annual_return_and_ratios!L275)</f>
        <v>0.0212222568</v>
      </c>
      <c r="M247" s="7">
        <f>ABS(Annual_return_and_ratios!M11 - Annual_return_and_ratios!M275)</f>
        <v>0.02762527397</v>
      </c>
    </row>
    <row r="248">
      <c r="A248" s="7" t="s">
        <v>13</v>
      </c>
      <c r="B248" s="7">
        <f>ABS(Annual_return_and_ratios!B12 - Annual_return_and_ratios!B276)</f>
        <v>0.3645403122</v>
      </c>
      <c r="C248" s="7">
        <f>ABS(Annual_return_and_ratios!C12 - Annual_return_and_ratios!C276)</f>
        <v>0.3582067673</v>
      </c>
      <c r="D248" s="7">
        <f>ABS(Annual_return_and_ratios!D12 - Annual_return_and_ratios!D276)</f>
        <v>0.4556600579</v>
      </c>
      <c r="E248" s="7">
        <f>ABS(Annual_return_and_ratios!E12 - Annual_return_and_ratios!E276)</f>
        <v>0.4149699658</v>
      </c>
      <c r="F248" s="7">
        <f>ABS(Annual_return_and_ratios!F12 - Annual_return_and_ratios!F276)</f>
        <v>0.3761635342</v>
      </c>
      <c r="G248" s="7">
        <f>ABS(Annual_return_and_ratios!G12 - Annual_return_and_ratios!G276)</f>
        <v>0.3509664042</v>
      </c>
      <c r="H248" s="7">
        <f>ABS(Annual_return_and_ratios!H12 - Annual_return_and_ratios!H276)</f>
        <v>0.3288453841</v>
      </c>
      <c r="I248" s="7">
        <f>ABS(Annual_return_and_ratios!I12 - Annual_return_and_ratios!I276)</f>
        <v>0.3885343889</v>
      </c>
      <c r="J248" s="7">
        <f>ABS(Annual_return_and_ratios!J12 - Annual_return_and_ratios!J276)</f>
        <v>0.4101519271</v>
      </c>
      <c r="K248" s="7">
        <f>ABS(Annual_return_and_ratios!K12 - Annual_return_and_ratios!K276)</f>
        <v>0.4531463431</v>
      </c>
      <c r="L248" s="7">
        <f>ABS(Annual_return_and_ratios!L12 - Annual_return_and_ratios!L276)</f>
        <v>0.3992996196</v>
      </c>
      <c r="M248" s="7">
        <f>ABS(Annual_return_and_ratios!M12 - Annual_return_and_ratios!M276)</f>
        <v>0.4031696239</v>
      </c>
    </row>
    <row r="249">
      <c r="A249" s="7" t="s">
        <v>14</v>
      </c>
      <c r="B249" s="7">
        <f>ABS(Annual_return_and_ratios!B13 - Annual_return_and_ratios!B277)</f>
        <v>0.6722232842</v>
      </c>
      <c r="C249" s="7">
        <f>ABS(Annual_return_and_ratios!C13 - Annual_return_and_ratios!C277)</f>
        <v>0.659662669</v>
      </c>
      <c r="D249" s="7">
        <f>ABS(Annual_return_and_ratios!D13 - Annual_return_and_ratios!D277)</f>
        <v>0.6397718899</v>
      </c>
      <c r="E249" s="7">
        <f>ABS(Annual_return_and_ratios!E13 - Annual_return_and_ratios!E277)</f>
        <v>0.5967353921</v>
      </c>
      <c r="F249" s="7">
        <f>ABS(Annual_return_and_ratios!F13 - Annual_return_and_ratios!F277)</f>
        <v>0.6332453199</v>
      </c>
      <c r="G249" s="7">
        <f>ABS(Annual_return_and_ratios!G13 - Annual_return_and_ratios!G277)</f>
        <v>0.7195145493</v>
      </c>
      <c r="H249" s="7">
        <f>ABS(Annual_return_and_ratios!H13 - Annual_return_and_ratios!H277)</f>
        <v>0.780935173</v>
      </c>
      <c r="I249" s="7">
        <f>ABS(Annual_return_and_ratios!I13 - Annual_return_and_ratios!I277)</f>
        <v>0.8297395607</v>
      </c>
      <c r="J249" s="7">
        <f>ABS(Annual_return_and_ratios!J13 - Annual_return_and_ratios!J277)</f>
        <v>0.8818124394</v>
      </c>
      <c r="K249" s="7">
        <f>ABS(Annual_return_and_ratios!K13 - Annual_return_and_ratios!K277)</f>
        <v>0.8518420769</v>
      </c>
      <c r="L249" s="7">
        <f>ABS(Annual_return_and_ratios!L13 - Annual_return_and_ratios!L277)</f>
        <v>0.8349089097</v>
      </c>
      <c r="M249" s="7">
        <f>ABS(Annual_return_and_ratios!M13 - Annual_return_and_ratios!M277)</f>
        <v>0.8032183228</v>
      </c>
    </row>
    <row r="250">
      <c r="A250" s="7" t="s">
        <v>15</v>
      </c>
      <c r="B250" s="7">
        <f>ABS(Annual_return_and_ratios!B14 - Annual_return_and_ratios!B278)</f>
        <v>0.9156891695</v>
      </c>
      <c r="C250" s="7">
        <f>ABS(Annual_return_and_ratios!C14 - Annual_return_and_ratios!C278)</f>
        <v>0.8963658978</v>
      </c>
      <c r="D250" s="7">
        <f>ABS(Annual_return_and_ratios!D14 - Annual_return_and_ratios!D278)</f>
        <v>0.7991608252</v>
      </c>
      <c r="E250" s="7">
        <f>ABS(Annual_return_and_ratios!E14 - Annual_return_and_ratios!E278)</f>
        <v>0.8157806106</v>
      </c>
      <c r="F250" s="7">
        <f>ABS(Annual_return_and_ratios!F14 - Annual_return_and_ratios!F278)</f>
        <v>0.8163704628</v>
      </c>
      <c r="G250" s="7">
        <f>ABS(Annual_return_and_ratios!G14 - Annual_return_and_ratios!G278)</f>
        <v>0.8912485548</v>
      </c>
      <c r="H250" s="7">
        <f>ABS(Annual_return_and_ratios!H14 - Annual_return_and_ratios!H278)</f>
        <v>0.8196415559</v>
      </c>
      <c r="I250" s="7">
        <f>ABS(Annual_return_and_ratios!I14 - Annual_return_and_ratios!I278)</f>
        <v>0.8529437515</v>
      </c>
      <c r="J250" s="7">
        <f>ABS(Annual_return_and_ratios!J14 - Annual_return_and_ratios!J278)</f>
        <v>0.8020265206</v>
      </c>
      <c r="K250" s="7">
        <f>ABS(Annual_return_and_ratios!K14 - Annual_return_and_ratios!K278)</f>
        <v>0.7077834658</v>
      </c>
      <c r="L250" s="7">
        <f>ABS(Annual_return_and_ratios!L14 - Annual_return_and_ratios!L278)</f>
        <v>0.695141255</v>
      </c>
      <c r="M250" s="7">
        <f>ABS(Annual_return_and_ratios!M14 - Annual_return_and_ratios!M278)</f>
        <v>0.6715779283</v>
      </c>
    </row>
    <row r="251">
      <c r="A251" s="7" t="s">
        <v>16</v>
      </c>
      <c r="B251" s="7">
        <f>ABS(Annual_return_and_ratios!B15 - Annual_return_and_ratios!B279)</f>
        <v>0.8035336302</v>
      </c>
      <c r="C251" s="7">
        <f>ABS(Annual_return_and_ratios!C15 - Annual_return_and_ratios!C279)</f>
        <v>0.7498453855</v>
      </c>
      <c r="D251" s="7">
        <f>ABS(Annual_return_and_ratios!D15 - Annual_return_and_ratios!D279)</f>
        <v>0.7999458193</v>
      </c>
      <c r="E251" s="7">
        <f>ABS(Annual_return_and_ratios!E15 - Annual_return_and_ratios!E279)</f>
        <v>0.8042341176</v>
      </c>
      <c r="F251" s="7">
        <f>ABS(Annual_return_and_ratios!F15 - Annual_return_and_ratios!F279)</f>
        <v>0.7560531734</v>
      </c>
      <c r="G251" s="7">
        <f>ABS(Annual_return_and_ratios!G15 - Annual_return_and_ratios!G279)</f>
        <v>0.7035983827</v>
      </c>
      <c r="H251" s="7">
        <f>ABS(Annual_return_and_ratios!H15 - Annual_return_and_ratios!H279)</f>
        <v>0.6327869882</v>
      </c>
      <c r="I251" s="7">
        <f>ABS(Annual_return_and_ratios!I15 - Annual_return_and_ratios!I279)</f>
        <v>0.6317501668</v>
      </c>
      <c r="J251" s="7">
        <f>ABS(Annual_return_and_ratios!J15 - Annual_return_and_ratios!J279)</f>
        <v>0.5941576706</v>
      </c>
      <c r="K251" s="7">
        <f>ABS(Annual_return_and_ratios!K15 - Annual_return_and_ratios!K279)</f>
        <v>0.589245158</v>
      </c>
      <c r="L251" s="7">
        <f>ABS(Annual_return_and_ratios!L15 - Annual_return_and_ratios!L279)</f>
        <v>0.5810941376</v>
      </c>
      <c r="M251" s="7">
        <f>ABS(Annual_return_and_ratios!M15 - Annual_return_and_ratios!M279)</f>
        <v>0.557190661</v>
      </c>
    </row>
    <row r="252">
      <c r="A252" s="7" t="s">
        <v>17</v>
      </c>
      <c r="B252" s="7">
        <f>ABS(Annual_return_and_ratios!B16 - Annual_return_and_ratios!B280)</f>
        <v>0.2717424323</v>
      </c>
      <c r="C252" s="7">
        <f>ABS(Annual_return_and_ratios!C16 - Annual_return_and_ratios!C280)</f>
        <v>0.2223110144</v>
      </c>
      <c r="D252" s="7">
        <f>ABS(Annual_return_and_ratios!D16 - Annual_return_and_ratios!D280)</f>
        <v>0.2433072018</v>
      </c>
      <c r="E252" s="7">
        <f>ABS(Annual_return_and_ratios!E16 - Annual_return_and_ratios!E280)</f>
        <v>0.1800796324</v>
      </c>
      <c r="F252" s="7">
        <f>ABS(Annual_return_and_ratios!F16 - Annual_return_and_ratios!F280)</f>
        <v>0.07251434603</v>
      </c>
      <c r="G252" s="7">
        <f>ABS(Annual_return_and_ratios!G16 - Annual_return_and_ratios!G280)</f>
        <v>0.04240498353</v>
      </c>
      <c r="H252" s="7">
        <f>ABS(Annual_return_and_ratios!H16 - Annual_return_and_ratios!H280)</f>
        <v>0.02923516741</v>
      </c>
      <c r="I252" s="7">
        <f>ABS(Annual_return_and_ratios!I16 - Annual_return_and_ratios!I280)</f>
        <v>0.1268665202</v>
      </c>
      <c r="J252" s="7">
        <f>ABS(Annual_return_and_ratios!J16 - Annual_return_and_ratios!J280)</f>
        <v>0.1140877605</v>
      </c>
      <c r="K252" s="7">
        <f>ABS(Annual_return_and_ratios!K16 - Annual_return_and_ratios!K280)</f>
        <v>0.06544410903</v>
      </c>
      <c r="L252" s="7">
        <f>ABS(Annual_return_and_ratios!L16 - Annual_return_and_ratios!L280)</f>
        <v>0.008414614546</v>
      </c>
      <c r="M252" s="7">
        <f>ABS(Annual_return_and_ratios!M16 - Annual_return_and_ratios!M280)</f>
        <v>0.03667369689</v>
      </c>
    </row>
    <row r="253">
      <c r="A253" s="7" t="s">
        <v>18</v>
      </c>
      <c r="B253" s="7">
        <f>ABS(Annual_return_and_ratios!B17 - Annual_return_and_ratios!B281)</f>
        <v>0.1516316623</v>
      </c>
      <c r="C253" s="7">
        <f>ABS(Annual_return_and_ratios!C17 - Annual_return_and_ratios!C281)</f>
        <v>0.138266136</v>
      </c>
      <c r="D253" s="7">
        <f>ABS(Annual_return_and_ratios!D17 - Annual_return_and_ratios!D281)</f>
        <v>0.1435404362</v>
      </c>
      <c r="E253" s="7">
        <f>ABS(Annual_return_and_ratios!E17 - Annual_return_and_ratios!E281)</f>
        <v>0.1689374429</v>
      </c>
      <c r="F253" s="7">
        <f>ABS(Annual_return_and_ratios!F17 - Annual_return_and_ratios!F281)</f>
        <v>0.1329031279</v>
      </c>
      <c r="G253" s="7">
        <f>ABS(Annual_return_and_ratios!G17 - Annual_return_and_ratios!G281)</f>
        <v>0.2333279571</v>
      </c>
      <c r="H253" s="7">
        <f>ABS(Annual_return_and_ratios!H17 - Annual_return_and_ratios!H281)</f>
        <v>0.2688896108</v>
      </c>
      <c r="I253" s="7">
        <f>ABS(Annual_return_and_ratios!I17 - Annual_return_and_ratios!I281)</f>
        <v>0.2945885657</v>
      </c>
      <c r="J253" s="7">
        <f>ABS(Annual_return_and_ratios!J17 - Annual_return_and_ratios!J281)</f>
        <v>0.2509067201</v>
      </c>
      <c r="K253" s="7">
        <f>ABS(Annual_return_and_ratios!K17 - Annual_return_and_ratios!K281)</f>
        <v>0.3276361683</v>
      </c>
      <c r="L253" s="7">
        <f>ABS(Annual_return_and_ratios!L17 - Annual_return_and_ratios!L281)</f>
        <v>0.3200477002</v>
      </c>
      <c r="M253" s="7">
        <f>ABS(Annual_return_and_ratios!M17 - Annual_return_and_ratios!M281)</f>
        <v>0.2940217002</v>
      </c>
    </row>
    <row r="254">
      <c r="A254" s="7" t="s">
        <v>19</v>
      </c>
      <c r="B254" s="7">
        <f>ABS(Annual_return_and_ratios!B18 - Annual_return_and_ratios!B282)</f>
        <v>0.798753244</v>
      </c>
      <c r="C254" s="7">
        <f>ABS(Annual_return_and_ratios!C18 - Annual_return_and_ratios!C282)</f>
        <v>0.7138373649</v>
      </c>
      <c r="D254" s="7">
        <f>ABS(Annual_return_and_ratios!D18 - Annual_return_and_ratios!D282)</f>
        <v>0.741673279</v>
      </c>
      <c r="E254" s="7">
        <f>ABS(Annual_return_and_ratios!E18 - Annual_return_and_ratios!E282)</f>
        <v>0.7520501926</v>
      </c>
      <c r="F254" s="7">
        <f>ABS(Annual_return_and_ratios!F18 - Annual_return_and_ratios!F282)</f>
        <v>0.7303069</v>
      </c>
      <c r="G254" s="7">
        <f>ABS(Annual_return_and_ratios!G18 - Annual_return_and_ratios!G282)</f>
        <v>0.8357664832</v>
      </c>
      <c r="H254" s="7">
        <f>ABS(Annual_return_and_ratios!H18 - Annual_return_and_ratios!H282)</f>
        <v>0.8081280869</v>
      </c>
      <c r="I254" s="7">
        <f>ABS(Annual_return_and_ratios!I18 - Annual_return_and_ratios!I282)</f>
        <v>0.734844241</v>
      </c>
      <c r="J254" s="7">
        <f>ABS(Annual_return_and_ratios!J18 - Annual_return_and_ratios!J282)</f>
        <v>0.7178927229</v>
      </c>
      <c r="K254" s="7">
        <f>ABS(Annual_return_and_ratios!K18 - Annual_return_and_ratios!K282)</f>
        <v>0.7151399434</v>
      </c>
      <c r="L254" s="7">
        <f>ABS(Annual_return_and_ratios!L18 - Annual_return_and_ratios!L282)</f>
        <v>0.5809542524</v>
      </c>
      <c r="M254" s="7">
        <f>ABS(Annual_return_and_ratios!M18 - Annual_return_and_ratios!M282)</f>
        <v>0.5442238447</v>
      </c>
    </row>
    <row r="255">
      <c r="A255" s="7" t="s">
        <v>20</v>
      </c>
      <c r="B255" s="7">
        <f>ABS(Annual_return_and_ratios!B19 - Annual_return_and_ratios!B283)</f>
        <v>0.3370233104</v>
      </c>
      <c r="C255" s="7">
        <f>ABS(Annual_return_and_ratios!C19 - Annual_return_and_ratios!C283)</f>
        <v>0.240412608</v>
      </c>
      <c r="D255" s="7">
        <f>ABS(Annual_return_and_ratios!D19 - Annual_return_and_ratios!D283)</f>
        <v>0.2384848584</v>
      </c>
      <c r="E255" s="7">
        <f>ABS(Annual_return_and_ratios!E19 - Annual_return_and_ratios!E283)</f>
        <v>0.239669</v>
      </c>
      <c r="F255" s="7">
        <f>ABS(Annual_return_and_ratios!F19 - Annual_return_and_ratios!F283)</f>
        <v>0.2159398805</v>
      </c>
      <c r="G255" s="7">
        <f>ABS(Annual_return_and_ratios!G19 - Annual_return_and_ratios!G283)</f>
        <v>0.2690402449</v>
      </c>
      <c r="H255" s="7">
        <f>ABS(Annual_return_and_ratios!H19 - Annual_return_and_ratios!H283)</f>
        <v>0.2904483392</v>
      </c>
      <c r="I255" s="7">
        <f>ABS(Annual_return_and_ratios!I19 - Annual_return_and_ratios!I283)</f>
        <v>0.3407125514</v>
      </c>
      <c r="J255" s="7">
        <f>ABS(Annual_return_and_ratios!J19 - Annual_return_and_ratios!J283)</f>
        <v>0.3597866729</v>
      </c>
      <c r="K255" s="7">
        <f>ABS(Annual_return_and_ratios!K19 - Annual_return_and_ratios!K283)</f>
        <v>0.4308172624</v>
      </c>
      <c r="L255" s="7">
        <f>ABS(Annual_return_and_ratios!L19 - Annual_return_and_ratios!L283)</f>
        <v>0.3969315032</v>
      </c>
      <c r="M255" s="7">
        <f>ABS(Annual_return_and_ratios!M19 - Annual_return_and_ratios!M283)</f>
        <v>0.5403356068</v>
      </c>
    </row>
    <row r="256">
      <c r="A256" s="7" t="s">
        <v>21</v>
      </c>
      <c r="B256" s="7">
        <f>ABS(Annual_return_and_ratios!B20 - Annual_return_and_ratios!B284)</f>
        <v>0.2330274509</v>
      </c>
      <c r="C256" s="7">
        <f>ABS(Annual_return_and_ratios!C20 - Annual_return_and_ratios!C284)</f>
        <v>0.1837308657</v>
      </c>
      <c r="D256" s="7">
        <f>ABS(Annual_return_and_ratios!D20 - Annual_return_and_ratios!D284)</f>
        <v>0.1859993505</v>
      </c>
      <c r="E256" s="7">
        <f>ABS(Annual_return_and_ratios!E20 - Annual_return_and_ratios!E284)</f>
        <v>0.07792192717</v>
      </c>
      <c r="F256" s="7">
        <f>ABS(Annual_return_and_ratios!F20 - Annual_return_and_ratios!F284)</f>
        <v>0.04740316126</v>
      </c>
      <c r="G256" s="7">
        <f>ABS(Annual_return_and_ratios!G20 - Annual_return_and_ratios!G284)</f>
        <v>0.01430637565</v>
      </c>
      <c r="H256" s="7">
        <f>ABS(Annual_return_and_ratios!H20 - Annual_return_and_ratios!H284)</f>
        <v>0.007667034229</v>
      </c>
      <c r="I256" s="7">
        <f>ABS(Annual_return_and_ratios!I20 - Annual_return_and_ratios!I284)</f>
        <v>0.0004636709689</v>
      </c>
      <c r="J256" s="7">
        <f>ABS(Annual_return_and_ratios!J20 - Annual_return_and_ratios!J284)</f>
        <v>0.03003379987</v>
      </c>
      <c r="K256" s="7">
        <f>ABS(Annual_return_and_ratios!K20 - Annual_return_and_ratios!K284)</f>
        <v>0.002588687426</v>
      </c>
      <c r="L256" s="7">
        <f>ABS(Annual_return_and_ratios!L20 - Annual_return_and_ratios!L284)</f>
        <v>0.03068086611</v>
      </c>
      <c r="M256" s="7">
        <f>ABS(Annual_return_and_ratios!M20 - Annual_return_and_ratios!M284)</f>
        <v>0.008361129539</v>
      </c>
    </row>
    <row r="257">
      <c r="A257" s="7" t="s">
        <v>22</v>
      </c>
      <c r="B257" s="7">
        <f>ABS(Annual_return_and_ratios!B21 - Annual_return_and_ratios!B285)</f>
        <v>0.7324307969</v>
      </c>
      <c r="C257" s="7">
        <f>ABS(Annual_return_and_ratios!C21 - Annual_return_and_ratios!C285)</f>
        <v>0.6902820032</v>
      </c>
      <c r="D257" s="7">
        <f>ABS(Annual_return_and_ratios!D21 - Annual_return_and_ratios!D285)</f>
        <v>0.7078383203</v>
      </c>
      <c r="E257" s="7">
        <f>ABS(Annual_return_and_ratios!E21 - Annual_return_and_ratios!E285)</f>
        <v>0.7389773778</v>
      </c>
      <c r="F257" s="7">
        <f>ABS(Annual_return_and_ratios!F21 - Annual_return_and_ratios!F285)</f>
        <v>0.7222852606</v>
      </c>
      <c r="G257" s="7">
        <f>ABS(Annual_return_and_ratios!G21 - Annual_return_and_ratios!G285)</f>
        <v>0.5903638667</v>
      </c>
      <c r="H257" s="7">
        <f>ABS(Annual_return_and_ratios!H21 - Annual_return_and_ratios!H285)</f>
        <v>0.5110821619</v>
      </c>
      <c r="I257" s="7">
        <f>ABS(Annual_return_and_ratios!I21 - Annual_return_and_ratios!I285)</f>
        <v>0.5687331808</v>
      </c>
      <c r="J257" s="7">
        <f>ABS(Annual_return_and_ratios!J21 - Annual_return_and_ratios!J285)</f>
        <v>0.5269791896</v>
      </c>
      <c r="K257" s="7">
        <f>ABS(Annual_return_and_ratios!K21 - Annual_return_and_ratios!K285)</f>
        <v>0.5145852076</v>
      </c>
      <c r="L257" s="7">
        <f>ABS(Annual_return_and_ratios!L21 - Annual_return_and_ratios!L285)</f>
        <v>0.5682872337</v>
      </c>
      <c r="M257" s="7">
        <f>ABS(Annual_return_and_ratios!M21 - Annual_return_and_ratios!M285)</f>
        <v>0.5405952971</v>
      </c>
    </row>
    <row r="258">
      <c r="A258" s="7" t="s">
        <v>23</v>
      </c>
      <c r="B258" s="7">
        <f>ABS(Annual_return_and_ratios!B22 - Annual_return_and_ratios!B286)</f>
        <v>0.6043127264</v>
      </c>
      <c r="C258" s="7">
        <f>ABS(Annual_return_and_ratios!C22 - Annual_return_and_ratios!C286)</f>
        <v>0.4903270179</v>
      </c>
      <c r="D258" s="7">
        <f>ABS(Annual_return_and_ratios!D22 - Annual_return_and_ratios!D286)</f>
        <v>0.4552125591</v>
      </c>
      <c r="E258" s="7">
        <f>ABS(Annual_return_and_ratios!E22 - Annual_return_and_ratios!E286)</f>
        <v>0.4545132371</v>
      </c>
      <c r="F258" s="7">
        <f>ABS(Annual_return_and_ratios!F22 - Annual_return_and_ratios!F286)</f>
        <v>0.4229235594</v>
      </c>
      <c r="G258" s="7">
        <f>ABS(Annual_return_and_ratios!G22 - Annual_return_and_ratios!G286)</f>
        <v>0.4819467211</v>
      </c>
      <c r="H258" s="7">
        <f>ABS(Annual_return_and_ratios!H22 - Annual_return_and_ratios!H286)</f>
        <v>0.4754207941</v>
      </c>
      <c r="I258" s="7">
        <f>ABS(Annual_return_and_ratios!I22 - Annual_return_and_ratios!I286)</f>
        <v>0.3696109877</v>
      </c>
      <c r="J258" s="7">
        <f>ABS(Annual_return_and_ratios!J22 - Annual_return_and_ratios!J286)</f>
        <v>0.411906641</v>
      </c>
      <c r="K258" s="7">
        <f>ABS(Annual_return_and_ratios!K22 - Annual_return_and_ratios!K286)</f>
        <v>0.4817629977</v>
      </c>
      <c r="L258" s="7">
        <f>ABS(Annual_return_and_ratios!L22 - Annual_return_and_ratios!L286)</f>
        <v>0.3700655179</v>
      </c>
      <c r="M258" s="7">
        <f>ABS(Annual_return_and_ratios!M22 - Annual_return_and_ratios!M286)</f>
        <v>0.2771883109</v>
      </c>
    </row>
    <row r="259">
      <c r="A259" s="7" t="s">
        <v>24</v>
      </c>
      <c r="B259" s="7">
        <f>ABS(Annual_return_and_ratios!B23 - Annual_return_and_ratios!B287)</f>
        <v>0.8066351337</v>
      </c>
      <c r="C259" s="7">
        <f>ABS(Annual_return_and_ratios!C23 - Annual_return_and_ratios!C287)</f>
        <v>0.7197958469</v>
      </c>
      <c r="D259" s="7">
        <f>ABS(Annual_return_and_ratios!D23 - Annual_return_and_ratios!D287)</f>
        <v>0.7226088072</v>
      </c>
      <c r="E259" s="7">
        <f>ABS(Annual_return_and_ratios!E23 - Annual_return_and_ratios!E287)</f>
        <v>0.6944180964</v>
      </c>
      <c r="F259" s="7">
        <f>ABS(Annual_return_and_ratios!F23 - Annual_return_and_ratios!F287)</f>
        <v>0.6860793895</v>
      </c>
      <c r="G259" s="7">
        <f>ABS(Annual_return_and_ratios!G23 - Annual_return_and_ratios!G287)</f>
        <v>0.7248228287</v>
      </c>
      <c r="H259" s="7">
        <f>ABS(Annual_return_and_ratios!H23 - Annual_return_and_ratios!H287)</f>
        <v>0.7189113508</v>
      </c>
      <c r="I259" s="7">
        <f>ABS(Annual_return_and_ratios!I23 - Annual_return_and_ratios!I287)</f>
        <v>0.7415847365</v>
      </c>
      <c r="J259" s="7">
        <f>ABS(Annual_return_and_ratios!J23 - Annual_return_and_ratios!J287)</f>
        <v>0.7867314312</v>
      </c>
      <c r="K259" s="7">
        <f>ABS(Annual_return_and_ratios!K23 - Annual_return_and_ratios!K287)</f>
        <v>0.7802538034</v>
      </c>
      <c r="L259" s="7">
        <f>ABS(Annual_return_and_ratios!L23 - Annual_return_and_ratios!L287)</f>
        <v>0.6643438222</v>
      </c>
      <c r="M259" s="7">
        <f>ABS(Annual_return_and_ratios!M23 - Annual_return_and_ratios!M287)</f>
        <v>0.7576806985</v>
      </c>
    </row>
    <row r="260">
      <c r="A260" s="7" t="s">
        <v>25</v>
      </c>
      <c r="B260" s="7">
        <f>ABS(Annual_return_and_ratios!B24 - Annual_return_and_ratios!B288)</f>
        <v>0.5578995803</v>
      </c>
      <c r="C260" s="7">
        <f>ABS(Annual_return_and_ratios!C24 - Annual_return_and_ratios!C288)</f>
        <v>0.0315258132</v>
      </c>
      <c r="D260" s="7">
        <f>ABS(Annual_return_and_ratios!D24 - Annual_return_and_ratios!D288)</f>
        <v>0.1179561749</v>
      </c>
      <c r="E260" s="7">
        <f>ABS(Annual_return_and_ratios!E24 - Annual_return_and_ratios!E288)</f>
        <v>0.1792926486</v>
      </c>
      <c r="F260" s="7">
        <f>ABS(Annual_return_and_ratios!F24 - Annual_return_and_ratios!F288)</f>
        <v>0.5367549538</v>
      </c>
      <c r="G260" s="7">
        <f>ABS(Annual_return_and_ratios!G24 - Annual_return_and_ratios!G288)</f>
        <v>0.1285376219</v>
      </c>
      <c r="H260" s="7">
        <f>ABS(Annual_return_and_ratios!H24 - Annual_return_and_ratios!H288)</f>
        <v>0.1369156856</v>
      </c>
      <c r="I260" s="7">
        <f>ABS(Annual_return_and_ratios!I24 - Annual_return_and_ratios!I288)</f>
        <v>0.4041845442</v>
      </c>
      <c r="J260" s="7">
        <f>ABS(Annual_return_and_ratios!J24 - Annual_return_and_ratios!J288)</f>
        <v>0.1348168301</v>
      </c>
      <c r="K260" s="7">
        <f>ABS(Annual_return_and_ratios!K24 - Annual_return_and_ratios!K288)</f>
        <v>0.4242570445</v>
      </c>
      <c r="L260" s="7">
        <f>ABS(Annual_return_and_ratios!L24 - Annual_return_and_ratios!L288)</f>
        <v>0.1318438703</v>
      </c>
      <c r="M260" s="7">
        <f>ABS(Annual_return_and_ratios!M24 - Annual_return_and_ratios!M288)</f>
        <v>0.2921151125</v>
      </c>
    </row>
    <row r="261">
      <c r="A261" s="7" t="s">
        <v>26</v>
      </c>
      <c r="B261" s="7">
        <f>ABS(Annual_return_and_ratios!B25 - Annual_return_and_ratios!B289)</f>
        <v>0.4144618232</v>
      </c>
      <c r="C261" s="7">
        <f>ABS(Annual_return_and_ratios!C25 - Annual_return_and_ratios!C289)</f>
        <v>0.4190514717</v>
      </c>
      <c r="D261" s="7">
        <f>ABS(Annual_return_and_ratios!D25 - Annual_return_and_ratios!D289)</f>
        <v>0.527539264</v>
      </c>
      <c r="E261" s="7">
        <f>ABS(Annual_return_and_ratios!E25 - Annual_return_and_ratios!E289)</f>
        <v>0.5589798185</v>
      </c>
      <c r="F261" s="7">
        <f>ABS(Annual_return_and_ratios!F25 - Annual_return_and_ratios!F289)</f>
        <v>0.2545426605</v>
      </c>
      <c r="G261" s="7">
        <f>ABS(Annual_return_and_ratios!G25 - Annual_return_and_ratios!G289)</f>
        <v>0.2097582612</v>
      </c>
      <c r="H261" s="7">
        <f>ABS(Annual_return_and_ratios!H25 - Annual_return_and_ratios!H289)</f>
        <v>0.2606999706</v>
      </c>
      <c r="I261" s="7">
        <f>ABS(Annual_return_and_ratios!I25 - Annual_return_and_ratios!I289)</f>
        <v>0.1779785558</v>
      </c>
      <c r="J261" s="7">
        <f>ABS(Annual_return_and_ratios!J25 - Annual_return_and_ratios!J289)</f>
        <v>0.03596726386</v>
      </c>
      <c r="K261" s="7">
        <f>ABS(Annual_return_and_ratios!K25 - Annual_return_and_ratios!K289)</f>
        <v>0.0448936273</v>
      </c>
      <c r="L261" s="7">
        <f>ABS(Annual_return_and_ratios!L25 - Annual_return_and_ratios!L289)</f>
        <v>0.01344355111</v>
      </c>
      <c r="M261" s="7">
        <f>ABS(Annual_return_and_ratios!M25 - Annual_return_and_ratios!M289)</f>
        <v>0.1056747491</v>
      </c>
    </row>
    <row r="262">
      <c r="A262" s="7" t="s">
        <v>27</v>
      </c>
      <c r="B262" s="7">
        <f>ABS(Annual_return_and_ratios!B26 - Annual_return_and_ratios!B290)</f>
        <v>0.5559534641</v>
      </c>
      <c r="C262" s="7">
        <f>ABS(Annual_return_and_ratios!C26 - Annual_return_and_ratios!C290)</f>
        <v>0.5482905469</v>
      </c>
      <c r="D262" s="7">
        <f>ABS(Annual_return_and_ratios!D26 - Annual_return_and_ratios!D290)</f>
        <v>0.6192515527</v>
      </c>
      <c r="E262" s="7">
        <f>ABS(Annual_return_and_ratios!E26 - Annual_return_and_ratios!E290)</f>
        <v>0.6006134536</v>
      </c>
      <c r="F262" s="7">
        <f>ABS(Annual_return_and_ratios!F26 - Annual_return_and_ratios!F290)</f>
        <v>0.6125784176</v>
      </c>
      <c r="G262" s="7">
        <f>ABS(Annual_return_and_ratios!G26 - Annual_return_and_ratios!G290)</f>
        <v>0.7174534124</v>
      </c>
      <c r="H262" s="7">
        <f>ABS(Annual_return_and_ratios!H26 - Annual_return_and_ratios!H290)</f>
        <v>0.7881596603</v>
      </c>
      <c r="I262" s="7">
        <f>ABS(Annual_return_and_ratios!I26 - Annual_return_and_ratios!I290)</f>
        <v>0.8011743411</v>
      </c>
      <c r="J262" s="7">
        <f>ABS(Annual_return_and_ratios!J26 - Annual_return_and_ratios!J290)</f>
        <v>0.8716315228</v>
      </c>
      <c r="K262" s="7">
        <f>ABS(Annual_return_and_ratios!K26 - Annual_return_and_ratios!K290)</f>
        <v>0.8473266503</v>
      </c>
      <c r="L262" s="7">
        <f>ABS(Annual_return_and_ratios!L26 - Annual_return_and_ratios!L290)</f>
        <v>0.8016785642</v>
      </c>
      <c r="M262" s="7">
        <f>ABS(Annual_return_and_ratios!M26 - Annual_return_and_ratios!M290)</f>
        <v>0.7780345187</v>
      </c>
    </row>
    <row r="263">
      <c r="A263" s="7" t="s">
        <v>28</v>
      </c>
      <c r="B263" s="7">
        <f>ABS(Annual_return_and_ratios!B27 - Annual_return_and_ratios!B291)</f>
        <v>0.9878250494</v>
      </c>
      <c r="C263" s="7">
        <f>ABS(Annual_return_and_ratios!C27 - Annual_return_and_ratios!C291)</f>
        <v>0.961151535</v>
      </c>
      <c r="D263" s="7">
        <f>ABS(Annual_return_and_ratios!D27 - Annual_return_and_ratios!D291)</f>
        <v>0.9926698702</v>
      </c>
      <c r="E263" s="7">
        <f>ABS(Annual_return_and_ratios!E27 - Annual_return_and_ratios!E291)</f>
        <v>0.9338997639</v>
      </c>
      <c r="F263" s="7">
        <f>ABS(Annual_return_and_ratios!F27 - Annual_return_and_ratios!F291)</f>
        <v>0.9125934048</v>
      </c>
      <c r="G263" s="7">
        <f>ABS(Annual_return_and_ratios!G27 - Annual_return_and_ratios!G291)</f>
        <v>0.9550049304</v>
      </c>
      <c r="H263" s="7">
        <f>ABS(Annual_return_and_ratios!H27 - Annual_return_and_ratios!H291)</f>
        <v>0.9472086404</v>
      </c>
      <c r="I263" s="7">
        <f>ABS(Annual_return_and_ratios!I27 - Annual_return_and_ratios!I291)</f>
        <v>0.9209858257</v>
      </c>
      <c r="J263" s="7">
        <f>ABS(Annual_return_and_ratios!J27 - Annual_return_and_ratios!J291)</f>
        <v>0.9623569904</v>
      </c>
      <c r="K263" s="7">
        <f>ABS(Annual_return_and_ratios!K27 - Annual_return_and_ratios!K291)</f>
        <v>0.9848124226</v>
      </c>
      <c r="L263" s="7">
        <f>ABS(Annual_return_and_ratios!L27 - Annual_return_and_ratios!L291)</f>
        <v>0.9412479082</v>
      </c>
      <c r="M263" s="7">
        <f>ABS(Annual_return_and_ratios!M27 - Annual_return_and_ratios!M291)</f>
        <v>0.9522762348</v>
      </c>
    </row>
    <row r="264">
      <c r="A264" s="7" t="s">
        <v>29</v>
      </c>
      <c r="B264" s="7">
        <f>ABS(Annual_return_and_ratios!B28 - Annual_return_and_ratios!B292)</f>
        <v>0.1982967722</v>
      </c>
      <c r="C264" s="7">
        <f>ABS(Annual_return_and_ratios!C28 - Annual_return_and_ratios!C292)</f>
        <v>0.2051249683</v>
      </c>
      <c r="D264" s="7">
        <f>ABS(Annual_return_and_ratios!D28 - Annual_return_and_ratios!D292)</f>
        <v>0.5833397451</v>
      </c>
      <c r="E264" s="7">
        <f>ABS(Annual_return_and_ratios!E28 - Annual_return_and_ratios!E292)</f>
        <v>0.9346645191</v>
      </c>
      <c r="F264" s="7">
        <f>ABS(Annual_return_and_ratios!F28 - Annual_return_and_ratios!F292)</f>
        <v>0.5687980216</v>
      </c>
      <c r="G264" s="7">
        <f>ABS(Annual_return_and_ratios!G28 - Annual_return_and_ratios!G292)</f>
        <v>0.764539794</v>
      </c>
      <c r="H264" s="7">
        <f>ABS(Annual_return_and_ratios!H28 - Annual_return_and_ratios!H292)</f>
        <v>0.7149981756</v>
      </c>
      <c r="I264" s="7">
        <f>ABS(Annual_return_and_ratios!I28 - Annual_return_and_ratios!I292)</f>
        <v>0.7085225874</v>
      </c>
      <c r="J264" s="7">
        <f>ABS(Annual_return_and_ratios!J28 - Annual_return_and_ratios!J292)</f>
        <v>0.672887325</v>
      </c>
      <c r="K264" s="7">
        <f>ABS(Annual_return_and_ratios!K28 - Annual_return_and_ratios!K292)</f>
        <v>1.000549048</v>
      </c>
      <c r="L264" s="7">
        <f>ABS(Annual_return_and_ratios!L28 - Annual_return_and_ratios!L292)</f>
        <v>0.9674209808</v>
      </c>
      <c r="M264" s="7">
        <f>ABS(Annual_return_and_ratios!M28 - Annual_return_and_ratios!M292)</f>
        <v>0.7644048082</v>
      </c>
    </row>
    <row r="265">
      <c r="A265" s="7" t="s">
        <v>30</v>
      </c>
      <c r="B265" s="7">
        <f>ABS(Annual_return_and_ratios!B29 - Annual_return_and_ratios!B293)</f>
        <v>0.9237287274</v>
      </c>
      <c r="C265" s="7">
        <f>ABS(Annual_return_and_ratios!C29 - Annual_return_and_ratios!C293)</f>
        <v>0.832190539</v>
      </c>
      <c r="D265" s="7">
        <f>ABS(Annual_return_and_ratios!D29 - Annual_return_and_ratios!D293)</f>
        <v>0.8617652816</v>
      </c>
      <c r="E265" s="7">
        <f>ABS(Annual_return_and_ratios!E29 - Annual_return_and_ratios!E293)</f>
        <v>0.8092263566</v>
      </c>
      <c r="F265" s="7">
        <f>ABS(Annual_return_and_ratios!F29 - Annual_return_and_ratios!F293)</f>
        <v>0.9573404251</v>
      </c>
      <c r="G265" s="7">
        <f>ABS(Annual_return_and_ratios!G29 - Annual_return_and_ratios!G293)</f>
        <v>0.8825707706</v>
      </c>
      <c r="H265" s="7">
        <f>ABS(Annual_return_and_ratios!H29 - Annual_return_and_ratios!H293)</f>
        <v>0.8275558856</v>
      </c>
      <c r="I265" s="7">
        <f>ABS(Annual_return_and_ratios!I29 - Annual_return_and_ratios!I293)</f>
        <v>0.8109778129</v>
      </c>
      <c r="J265" s="7">
        <f>ABS(Annual_return_and_ratios!J29 - Annual_return_and_ratios!J293)</f>
        <v>0.8295981749</v>
      </c>
      <c r="K265" s="7">
        <f>ABS(Annual_return_and_ratios!K29 - Annual_return_and_ratios!K293)</f>
        <v>0.9567375796</v>
      </c>
      <c r="L265" s="7">
        <f>ABS(Annual_return_and_ratios!L29 - Annual_return_and_ratios!L293)</f>
        <v>0.9222353265</v>
      </c>
      <c r="M265" s="7">
        <f>ABS(Annual_return_and_ratios!M29 - Annual_return_and_ratios!M293)</f>
        <v>0.7638686624</v>
      </c>
    </row>
    <row r="266">
      <c r="A266" s="7" t="s">
        <v>31</v>
      </c>
      <c r="B266" s="7">
        <f>ABS(Annual_return_and_ratios!B30 - Annual_return_and_ratios!B294)</f>
        <v>0.7583493554</v>
      </c>
      <c r="C266" s="7">
        <f>ABS(Annual_return_and_ratios!C30 - Annual_return_and_ratios!C294)</f>
        <v>0.866022044</v>
      </c>
      <c r="D266" s="7">
        <f>ABS(Annual_return_and_ratios!D30 - Annual_return_and_ratios!D294)</f>
        <v>0.863208687</v>
      </c>
      <c r="E266" s="7">
        <f>ABS(Annual_return_and_ratios!E30 - Annual_return_and_ratios!E294)</f>
        <v>0.8650384111</v>
      </c>
      <c r="F266" s="7">
        <f>ABS(Annual_return_and_ratios!F30 - Annual_return_and_ratios!F294)</f>
        <v>0.6604647742</v>
      </c>
      <c r="G266" s="7">
        <f>ABS(Annual_return_and_ratios!G30 - Annual_return_and_ratios!G294)</f>
        <v>0.6419958052</v>
      </c>
      <c r="H266" s="7">
        <f>ABS(Annual_return_and_ratios!H30 - Annual_return_and_ratios!H294)</f>
        <v>0.4694632916</v>
      </c>
      <c r="I266" s="7">
        <f>ABS(Annual_return_and_ratios!I30 - Annual_return_and_ratios!I294)</f>
        <v>0.5463434782</v>
      </c>
      <c r="J266" s="7">
        <f>ABS(Annual_return_and_ratios!J30 - Annual_return_and_ratios!J294)</f>
        <v>0.7653577377</v>
      </c>
      <c r="K266" s="7">
        <f>ABS(Annual_return_and_ratios!K30 - Annual_return_and_ratios!K294)</f>
        <v>0.7511912689</v>
      </c>
      <c r="L266" s="7">
        <f>ABS(Annual_return_and_ratios!L30 - Annual_return_and_ratios!L294)</f>
        <v>0.7014388921</v>
      </c>
      <c r="M266" s="7">
        <f>ABS(Annual_return_and_ratios!M30 - Annual_return_and_ratios!M294)</f>
        <v>0.6991587793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1.25"/>
  </cols>
  <sheetData>
    <row r="1">
      <c r="A1" s="9" t="s">
        <v>1</v>
      </c>
      <c r="B1" s="10">
        <v>2025.0</v>
      </c>
      <c r="C1" s="10">
        <v>2024.0</v>
      </c>
      <c r="D1" s="10">
        <v>2023.0</v>
      </c>
      <c r="E1" s="10">
        <v>2022.0</v>
      </c>
      <c r="F1" s="10">
        <v>2021.0</v>
      </c>
      <c r="G1" s="10">
        <v>2020.0</v>
      </c>
      <c r="H1" s="10">
        <v>2019.0</v>
      </c>
      <c r="I1" s="10">
        <v>2018.0</v>
      </c>
      <c r="J1" s="10">
        <v>2017.0</v>
      </c>
      <c r="K1" s="10">
        <v>2016.0</v>
      </c>
      <c r="L1" s="10">
        <v>2015.0</v>
      </c>
      <c r="M1" s="10">
        <v>2014.0</v>
      </c>
      <c r="O1" s="10" t="s">
        <v>113</v>
      </c>
    </row>
    <row r="2">
      <c r="A2" s="10" t="s">
        <v>3</v>
      </c>
      <c r="B2" s="7">
        <f>(Deviation_sequence!$B$233 + 0.5 *Deviation_sequence!$B$232) / (Deviation_sequence!B2 + 0.5 * Deviation_sequence!$B$232)</f>
        <v>0.6498081038</v>
      </c>
      <c r="C2" s="7">
        <f>(Deviation_sequence!$B$233 + 0.5 *Deviation_sequence!$B$232) / (Deviation_sequence!C2 + 0.5 * Deviation_sequence!$B$232)</f>
        <v>0.806668611</v>
      </c>
      <c r="D2" s="7">
        <f>(Deviation_sequence!$B$233 + 0.5 *Deviation_sequence!$B$232) / (Deviation_sequence!D2 + 0.5 * Deviation_sequence!$B$232)</f>
        <v>0.7965533269</v>
      </c>
      <c r="E2" s="7">
        <f>(Deviation_sequence!$B$233 + 0.5 *Deviation_sequence!$B$232) / (Deviation_sequence!E2 + 0.5 * Deviation_sequence!$B$232)</f>
        <v>0.8344143524</v>
      </c>
      <c r="F2" s="7">
        <f>(Deviation_sequence!$B$233 + 0.5 *Deviation_sequence!$B$232) / (Deviation_sequence!F2 + 0.5 * Deviation_sequence!$B$232)</f>
        <v>0.956297282</v>
      </c>
      <c r="G2" s="7">
        <f>(Deviation_sequence!$B$233 + 0.5 *Deviation_sequence!$B$232) / (Deviation_sequence!G2 + 0.5 * Deviation_sequence!$B$232)</f>
        <v>0.8200859257</v>
      </c>
      <c r="H2" s="7">
        <f>(Deviation_sequence!$B$233 + 0.5 *Deviation_sequence!$B$232) / (Deviation_sequence!H2 + 0.5 * Deviation_sequence!$B$232)</f>
        <v>0.8619542286</v>
      </c>
      <c r="I2" s="7">
        <f>(Deviation_sequence!$B$233 + 0.5 *Deviation_sequence!$B$232) / (Deviation_sequence!I2 + 0.5 * Deviation_sequence!$B$232)</f>
        <v>0.867064631</v>
      </c>
      <c r="J2" s="7">
        <f>(Deviation_sequence!$B$233 + 0.5 *Deviation_sequence!$B$232) / (Deviation_sequence!J2 + 0.5 * Deviation_sequence!$B$232)</f>
        <v>0.8951259141</v>
      </c>
      <c r="K2" s="7">
        <f>(Deviation_sequence!$B$233 + 0.5 *Deviation_sequence!$B$232) / (Deviation_sequence!K2 + 0.5 * Deviation_sequence!$B$232)</f>
        <v>0.8715378692</v>
      </c>
      <c r="L2" s="7">
        <f>(Deviation_sequence!$B$233 + 0.5 *Deviation_sequence!$B$232) / (Deviation_sequence!L2 + 0.5 * Deviation_sequence!$B$232)</f>
        <v>0.9936277976</v>
      </c>
      <c r="M2" s="7">
        <f>(Deviation_sequence!$B$233 + 0.5 *Deviation_sequence!$B$232) / (Deviation_sequence!M2 + 0.5 * Deviation_sequence!$B$232)</f>
        <v>0.9878388998</v>
      </c>
      <c r="O2" s="7">
        <f t="shared" ref="O2:O30" si="1">AVERAGE(B2:M2)</f>
        <v>0.8617480785</v>
      </c>
    </row>
    <row r="3">
      <c r="A3" s="10" t="s">
        <v>4</v>
      </c>
      <c r="B3" s="7">
        <f>(Deviation_sequence!$B$233 + 0.5 *Deviation_sequence!$B$232) / (Deviation_sequence!B3 + 0.5 * Deviation_sequence!$B$232)</f>
        <v>0.7146244064</v>
      </c>
      <c r="C3" s="7">
        <f>(Deviation_sequence!$B$233 + 0.5 *Deviation_sequence!$B$232) / (Deviation_sequence!C3 + 0.5 * Deviation_sequence!$B$232)</f>
        <v>0.6431869872</v>
      </c>
      <c r="D3" s="7">
        <f>(Deviation_sequence!$B$233 + 0.5 *Deviation_sequence!$B$232) / (Deviation_sequence!D3 + 0.5 * Deviation_sequence!$B$232)</f>
        <v>0.701647939</v>
      </c>
      <c r="E3" s="7">
        <f>(Deviation_sequence!$B$233 + 0.5 *Deviation_sequence!$B$232) / (Deviation_sequence!E3 + 0.5 * Deviation_sequence!$B$232)</f>
        <v>0.7885351927</v>
      </c>
      <c r="F3" s="7">
        <f>(Deviation_sequence!$B$233 + 0.5 *Deviation_sequence!$B$232) / (Deviation_sequence!F3 + 0.5 * Deviation_sequence!$B$232)</f>
        <v>0.8015909992</v>
      </c>
      <c r="G3" s="7">
        <f>(Deviation_sequence!$B$233 + 0.5 *Deviation_sequence!$B$232) / (Deviation_sequence!G3 + 0.5 * Deviation_sequence!$B$232)</f>
        <v>0.8010687177</v>
      </c>
      <c r="H3" s="7">
        <f>(Deviation_sequence!$B$233 + 0.5 *Deviation_sequence!$B$232) / (Deviation_sequence!H3 + 0.5 * Deviation_sequence!$B$232)</f>
        <v>0.861460448</v>
      </c>
      <c r="I3" s="7">
        <f>(Deviation_sequence!$B$233 + 0.5 *Deviation_sequence!$B$232) / (Deviation_sequence!I3 + 0.5 * Deviation_sequence!$B$232)</f>
        <v>0.8394351682</v>
      </c>
      <c r="J3" s="7">
        <f>(Deviation_sequence!$B$233 + 0.5 *Deviation_sequence!$B$232) / (Deviation_sequence!J3 + 0.5 * Deviation_sequence!$B$232)</f>
        <v>0.8692711269</v>
      </c>
      <c r="K3" s="7">
        <f>(Deviation_sequence!$B$233 + 0.5 *Deviation_sequence!$B$232) / (Deviation_sequence!K3 + 0.5 * Deviation_sequence!$B$232)</f>
        <v>0.8668734851</v>
      </c>
      <c r="L3" s="7">
        <f>(Deviation_sequence!$B$233 + 0.5 *Deviation_sequence!$B$232) / (Deviation_sequence!L3 + 0.5 * Deviation_sequence!$B$232)</f>
        <v>0.9442632137</v>
      </c>
      <c r="M3" s="7">
        <f>(Deviation_sequence!$B$233 + 0.5 *Deviation_sequence!$B$232) / (Deviation_sequence!M3 + 0.5 * Deviation_sequence!$B$232)</f>
        <v>0.9245124798</v>
      </c>
      <c r="O3" s="7">
        <f t="shared" si="1"/>
        <v>0.8130391803</v>
      </c>
    </row>
    <row r="4">
      <c r="A4" s="10" t="s">
        <v>5</v>
      </c>
      <c r="B4" s="7">
        <f>(Deviation_sequence!$B$233 + 0.5 *Deviation_sequence!$B$232) / (Deviation_sequence!B4 + 0.5 * Deviation_sequence!$B$232)</f>
        <v>0.5275415404</v>
      </c>
      <c r="C4" s="7">
        <f>(Deviation_sequence!$B$233 + 0.5 *Deviation_sequence!$B$232) / (Deviation_sequence!C4 + 0.5 * Deviation_sequence!$B$232)</f>
        <v>0.5497697031</v>
      </c>
      <c r="D4" s="7">
        <f>(Deviation_sequence!$B$233 + 0.5 *Deviation_sequence!$B$232) / (Deviation_sequence!D4 + 0.5 * Deviation_sequence!$B$232)</f>
        <v>0.7657937052</v>
      </c>
      <c r="E4" s="7">
        <f>(Deviation_sequence!$B$233 + 0.5 *Deviation_sequence!$B$232) / (Deviation_sequence!E4 + 0.5 * Deviation_sequence!$B$232)</f>
        <v>0.6957797995</v>
      </c>
      <c r="F4" s="7">
        <f>(Deviation_sequence!$B$233 + 0.5 *Deviation_sequence!$B$232) / (Deviation_sequence!F4 + 0.5 * Deviation_sequence!$B$232)</f>
        <v>0.8913330674</v>
      </c>
      <c r="G4" s="7">
        <f>(Deviation_sequence!$B$233 + 0.5 *Deviation_sequence!$B$232) / (Deviation_sequence!G4 + 0.5 * Deviation_sequence!$B$232)</f>
        <v>0.8842152704</v>
      </c>
      <c r="H4" s="7">
        <f>(Deviation_sequence!$B$233 + 0.5 *Deviation_sequence!$B$232) / (Deviation_sequence!H4 + 0.5 * Deviation_sequence!$B$232)</f>
        <v>0.9036514808</v>
      </c>
      <c r="I4" s="7">
        <f>(Deviation_sequence!$B$233 + 0.5 *Deviation_sequence!$B$232) / (Deviation_sequence!I4 + 0.5 * Deviation_sequence!$B$232)</f>
        <v>0.9933804992</v>
      </c>
      <c r="J4" s="7">
        <f>(Deviation_sequence!$B$233 + 0.5 *Deviation_sequence!$B$232) / (Deviation_sequence!J4 + 0.5 * Deviation_sequence!$B$232)</f>
        <v>0.8823871871</v>
      </c>
      <c r="K4" s="7">
        <f>(Deviation_sequence!$B$233 + 0.5 *Deviation_sequence!$B$232) / (Deviation_sequence!K4 + 0.5 * Deviation_sequence!$B$232)</f>
        <v>0.7295955227</v>
      </c>
      <c r="L4" s="7">
        <f>(Deviation_sequence!$B$233 + 0.5 *Deviation_sequence!$B$232) / (Deviation_sequence!L4 + 0.5 * Deviation_sequence!$B$232)</f>
        <v>0.8314694338</v>
      </c>
      <c r="M4" s="7">
        <f>(Deviation_sequence!$B$233 + 0.5 *Deviation_sequence!$B$232) / (Deviation_sequence!M4 + 0.5 * Deviation_sequence!$B$232)</f>
        <v>0.4323946728</v>
      </c>
      <c r="O4" s="7">
        <f t="shared" si="1"/>
        <v>0.7572759902</v>
      </c>
    </row>
    <row r="5">
      <c r="A5" s="10" t="s">
        <v>6</v>
      </c>
      <c r="B5" s="7">
        <f>(Deviation_sequence!$B$233 + 0.5 *Deviation_sequence!$B$232) / (Deviation_sequence!B5 + 0.5 * Deviation_sequence!$B$232)</f>
        <v>0.9501644981</v>
      </c>
      <c r="C5" s="7">
        <f>(Deviation_sequence!$B$233 + 0.5 *Deviation_sequence!$B$232) / (Deviation_sequence!C5 + 0.5 * Deviation_sequence!$B$232)</f>
        <v>0.9870128984</v>
      </c>
      <c r="D5" s="7">
        <f>(Deviation_sequence!$B$233 + 0.5 *Deviation_sequence!$B$232) / (Deviation_sequence!D5 + 0.5 * Deviation_sequence!$B$232)</f>
        <v>0.9475234941</v>
      </c>
      <c r="E5" s="7">
        <f>(Deviation_sequence!$B$233 + 0.5 *Deviation_sequence!$B$232) / (Deviation_sequence!E5 + 0.5 * Deviation_sequence!$B$232)</f>
        <v>0.8651344249</v>
      </c>
      <c r="F5" s="7">
        <f>(Deviation_sequence!$B$233 + 0.5 *Deviation_sequence!$B$232) / (Deviation_sequence!F5 + 0.5 * Deviation_sequence!$B$232)</f>
        <v>0.9537929289</v>
      </c>
      <c r="G5" s="7">
        <f>(Deviation_sequence!$B$233 + 0.5 *Deviation_sequence!$B$232) / (Deviation_sequence!G5 + 0.5 * Deviation_sequence!$B$232)</f>
        <v>0.6977707732</v>
      </c>
      <c r="H5" s="7">
        <f>(Deviation_sequence!$B$233 + 0.5 *Deviation_sequence!$B$232) / (Deviation_sequence!H5 + 0.5 * Deviation_sequence!$B$232)</f>
        <v>0.8883454724</v>
      </c>
      <c r="I5" s="7">
        <f>(Deviation_sequence!$B$233 + 0.5 *Deviation_sequence!$B$232) / (Deviation_sequence!I5 + 0.5 * Deviation_sequence!$B$232)</f>
        <v>0.9723233172</v>
      </c>
      <c r="J5" s="7">
        <f>(Deviation_sequence!$B$233 + 0.5 *Deviation_sequence!$B$232) / (Deviation_sequence!J5 + 0.5 * Deviation_sequence!$B$232)</f>
        <v>0.8951848097</v>
      </c>
      <c r="K5" s="7">
        <f>(Deviation_sequence!$B$233 + 0.5 *Deviation_sequence!$B$232) / (Deviation_sequence!K5 + 0.5 * Deviation_sequence!$B$232)</f>
        <v>0.9498185243</v>
      </c>
      <c r="L5" s="7">
        <f>(Deviation_sequence!$B$233 + 0.5 *Deviation_sequence!$B$232) / (Deviation_sequence!L5 + 0.5 * Deviation_sequence!$B$232)</f>
        <v>0.9583722394</v>
      </c>
      <c r="M5" s="7">
        <f>(Deviation_sequence!$B$233 + 0.5 *Deviation_sequence!$B$232) / (Deviation_sequence!M5 + 0.5 * Deviation_sequence!$B$232)</f>
        <v>0.9798069718</v>
      </c>
      <c r="O5" s="7">
        <f t="shared" si="1"/>
        <v>0.9204375294</v>
      </c>
    </row>
    <row r="6">
      <c r="A6" s="10" t="s">
        <v>7</v>
      </c>
      <c r="B6" s="7">
        <f>(Deviation_sequence!$B$233 + 0.5 *Deviation_sequence!$B$232) / (Deviation_sequence!B6 + 0.5 * Deviation_sequence!$B$232)</f>
        <v>0.348811833</v>
      </c>
      <c r="C6" s="7">
        <f>(Deviation_sequence!$B$233 + 0.5 *Deviation_sequence!$B$232) / (Deviation_sequence!C6 + 0.5 * Deviation_sequence!$B$232)</f>
        <v>0.3500517201</v>
      </c>
      <c r="D6" s="7">
        <f>(Deviation_sequence!$B$233 + 0.5 *Deviation_sequence!$B$232) / (Deviation_sequence!D6 + 0.5 * Deviation_sequence!$B$232)</f>
        <v>0.3421457197</v>
      </c>
      <c r="E6" s="7">
        <f>(Deviation_sequence!$B$233 + 0.5 *Deviation_sequence!$B$232) / (Deviation_sequence!E6 + 0.5 * Deviation_sequence!$B$232)</f>
        <v>0.4750274427</v>
      </c>
      <c r="F6" s="7">
        <f>(Deviation_sequence!$B$233 + 0.5 *Deviation_sequence!$B$232) / (Deviation_sequence!F6 + 0.5 * Deviation_sequence!$B$232)</f>
        <v>0.6397877507</v>
      </c>
      <c r="G6" s="7">
        <f>(Deviation_sequence!$B$233 + 0.5 *Deviation_sequence!$B$232) / (Deviation_sequence!G6 + 0.5 * Deviation_sequence!$B$232)</f>
        <v>0.5266996643</v>
      </c>
      <c r="H6" s="7">
        <f>(Deviation_sequence!$B$233 + 0.5 *Deviation_sequence!$B$232) / (Deviation_sequence!H6 + 0.5 * Deviation_sequence!$B$232)</f>
        <v>0.6282592079</v>
      </c>
      <c r="I6" s="7">
        <f>(Deviation_sequence!$B$233 + 0.5 *Deviation_sequence!$B$232) / (Deviation_sequence!I6 + 0.5 * Deviation_sequence!$B$232)</f>
        <v>0.7163660558</v>
      </c>
      <c r="J6" s="7">
        <f>(Deviation_sequence!$B$233 + 0.5 *Deviation_sequence!$B$232) / (Deviation_sequence!J6 + 0.5 * Deviation_sequence!$B$232)</f>
        <v>0.8078028277</v>
      </c>
      <c r="K6" s="7">
        <f>(Deviation_sequence!$B$233 + 0.5 *Deviation_sequence!$B$232) / (Deviation_sequence!K6 + 0.5 * Deviation_sequence!$B$232)</f>
        <v>0.3552873631</v>
      </c>
      <c r="L6" s="7">
        <f>(Deviation_sequence!$B$233 + 0.5 *Deviation_sequence!$B$232) / (Deviation_sequence!L6 + 0.5 * Deviation_sequence!$B$232)</f>
        <v>0.3731129589</v>
      </c>
      <c r="M6" s="7">
        <f>(Deviation_sequence!$B$233 + 0.5 *Deviation_sequence!$B$232) / (Deviation_sequence!M6 + 0.5 * Deviation_sequence!$B$232)</f>
        <v>0.4224457162</v>
      </c>
      <c r="O6" s="7">
        <f t="shared" si="1"/>
        <v>0.4988165217</v>
      </c>
    </row>
    <row r="7">
      <c r="A7" s="10" t="s">
        <v>8</v>
      </c>
      <c r="B7" s="7">
        <f>(Deviation_sequence!$B$233 + 0.5 *Deviation_sequence!$B$232) / (Deviation_sequence!B7 + 0.5 * Deviation_sequence!$B$232)</f>
        <v>1</v>
      </c>
      <c r="C7" s="7">
        <f>(Deviation_sequence!$B$233 + 0.5 *Deviation_sequence!$B$232) / (Deviation_sequence!C7 + 0.5 * Deviation_sequence!$B$232)</f>
        <v>0.9263879034</v>
      </c>
      <c r="D7" s="7">
        <f>(Deviation_sequence!$B$233 + 0.5 *Deviation_sequence!$B$232) / (Deviation_sequence!D7 + 0.5 * Deviation_sequence!$B$232)</f>
        <v>0.9670719556</v>
      </c>
      <c r="E7" s="7">
        <f>(Deviation_sequence!$B$233 + 0.5 *Deviation_sequence!$B$232) / (Deviation_sequence!E7 + 0.5 * Deviation_sequence!$B$232)</f>
        <v>0.9962905013</v>
      </c>
      <c r="F7" s="7">
        <f>(Deviation_sequence!$B$233 + 0.5 *Deviation_sequence!$B$232) / (Deviation_sequence!F7 + 0.5 * Deviation_sequence!$B$232)</f>
        <v>0.9701651421</v>
      </c>
      <c r="G7" s="7">
        <f>(Deviation_sequence!$B$233 + 0.5 *Deviation_sequence!$B$232) / (Deviation_sequence!G7 + 0.5 * Deviation_sequence!$B$232)</f>
        <v>0.9368588572</v>
      </c>
      <c r="H7" s="7">
        <f>(Deviation_sequence!$B$233 + 0.5 *Deviation_sequence!$B$232) / (Deviation_sequence!H7 + 0.5 * Deviation_sequence!$B$232)</f>
        <v>0.8940408313</v>
      </c>
      <c r="I7" s="7">
        <f>(Deviation_sequence!$B$233 + 0.5 *Deviation_sequence!$B$232) / (Deviation_sequence!I7 + 0.5 * Deviation_sequence!$B$232)</f>
        <v>0.9575054427</v>
      </c>
      <c r="J7" s="7">
        <f>(Deviation_sequence!$B$233 + 0.5 *Deviation_sequence!$B$232) / (Deviation_sequence!J7 + 0.5 * Deviation_sequence!$B$232)</f>
        <v>0.9983124794</v>
      </c>
      <c r="K7" s="7">
        <f>(Deviation_sequence!$B$233 + 0.5 *Deviation_sequence!$B$232) / (Deviation_sequence!K7 + 0.5 * Deviation_sequence!$B$232)</f>
        <v>0.9907077088</v>
      </c>
      <c r="L7" s="7">
        <f>(Deviation_sequence!$B$233 + 0.5 *Deviation_sequence!$B$232) / (Deviation_sequence!L7 + 0.5 * Deviation_sequence!$B$232)</f>
        <v>0.4324017469</v>
      </c>
      <c r="M7" s="7">
        <f>(Deviation_sequence!$B$233 + 0.5 *Deviation_sequence!$B$232) / (Deviation_sequence!M7 + 0.5 * Deviation_sequence!$B$232)</f>
        <v>0.4578574472</v>
      </c>
      <c r="O7" s="7">
        <f t="shared" si="1"/>
        <v>0.8773000013</v>
      </c>
    </row>
    <row r="8">
      <c r="A8" s="10" t="s">
        <v>9</v>
      </c>
      <c r="B8" s="7">
        <f>(Deviation_sequence!$B$233 + 0.5 *Deviation_sequence!$B$232) / (Deviation_sequence!B8 + 0.5 * Deviation_sequence!$B$232)</f>
        <v>0.6660570592</v>
      </c>
      <c r="C8" s="7">
        <f>(Deviation_sequence!$B$233 + 0.5 *Deviation_sequence!$B$232) / (Deviation_sequence!C8 + 0.5 * Deviation_sequence!$B$232)</f>
        <v>0.9784894442</v>
      </c>
      <c r="D8" s="7">
        <f>(Deviation_sequence!$B$233 + 0.5 *Deviation_sequence!$B$232) / (Deviation_sequence!D8 + 0.5 * Deviation_sequence!$B$232)</f>
        <v>0.885959122</v>
      </c>
      <c r="E8" s="7">
        <f>(Deviation_sequence!$B$233 + 0.5 *Deviation_sequence!$B$232) / (Deviation_sequence!E8 + 0.5 * Deviation_sequence!$B$232)</f>
        <v>0.9950594099</v>
      </c>
      <c r="F8" s="7">
        <f>(Deviation_sequence!$B$233 + 0.5 *Deviation_sequence!$B$232) / (Deviation_sequence!F8 + 0.5 * Deviation_sequence!$B$232)</f>
        <v>0.9765340486</v>
      </c>
      <c r="G8" s="7">
        <f>(Deviation_sequence!$B$233 + 0.5 *Deviation_sequence!$B$232) / (Deviation_sequence!G8 + 0.5 * Deviation_sequence!$B$232)</f>
        <v>0.9480132268</v>
      </c>
      <c r="H8" s="7">
        <f>(Deviation_sequence!$B$233 + 0.5 *Deviation_sequence!$B$232) / (Deviation_sequence!H8 + 0.5 * Deviation_sequence!$B$232)</f>
        <v>0.9723679064</v>
      </c>
      <c r="I8" s="7">
        <f>(Deviation_sequence!$B$233 + 0.5 *Deviation_sequence!$B$232) / (Deviation_sequence!I8 + 0.5 * Deviation_sequence!$B$232)</f>
        <v>0.9836898492</v>
      </c>
      <c r="J8" s="7">
        <f>(Deviation_sequence!$B$233 + 0.5 *Deviation_sequence!$B$232) / (Deviation_sequence!J8 + 0.5 * Deviation_sequence!$B$232)</f>
        <v>0.9344043416</v>
      </c>
      <c r="K8" s="7">
        <f>(Deviation_sequence!$B$233 + 0.5 *Deviation_sequence!$B$232) / (Deviation_sequence!K8 + 0.5 * Deviation_sequence!$B$232)</f>
        <v>0.8776454669</v>
      </c>
      <c r="L8" s="7">
        <f>(Deviation_sequence!$B$233 + 0.5 *Deviation_sequence!$B$232) / (Deviation_sequence!L8 + 0.5 * Deviation_sequence!$B$232)</f>
        <v>0.9445240333</v>
      </c>
      <c r="M8" s="7">
        <f>(Deviation_sequence!$B$233 + 0.5 *Deviation_sequence!$B$232) / (Deviation_sequence!M8 + 0.5 * Deviation_sequence!$B$232)</f>
        <v>0.9761156452</v>
      </c>
      <c r="O8" s="7">
        <f t="shared" si="1"/>
        <v>0.9282382961</v>
      </c>
    </row>
    <row r="9">
      <c r="A9" s="10" t="s">
        <v>10</v>
      </c>
      <c r="B9" s="7">
        <f>(Deviation_sequence!$B$233 + 0.5 *Deviation_sequence!$B$232) / (Deviation_sequence!B9 + 0.5 * Deviation_sequence!$B$232)</f>
        <v>0.6160742088</v>
      </c>
      <c r="C9" s="7">
        <f>(Deviation_sequence!$B$233 + 0.5 *Deviation_sequence!$B$232) / (Deviation_sequence!C9 + 0.5 * Deviation_sequence!$B$232)</f>
        <v>0.6631348443</v>
      </c>
      <c r="D9" s="7">
        <f>(Deviation_sequence!$B$233 + 0.5 *Deviation_sequence!$B$232) / (Deviation_sequence!D9 + 0.5 * Deviation_sequence!$B$232)</f>
        <v>0.6500758123</v>
      </c>
      <c r="E9" s="7">
        <f>(Deviation_sequence!$B$233 + 0.5 *Deviation_sequence!$B$232) / (Deviation_sequence!E9 + 0.5 * Deviation_sequence!$B$232)</f>
        <v>0.6876597151</v>
      </c>
      <c r="F9" s="7">
        <f>(Deviation_sequence!$B$233 + 0.5 *Deviation_sequence!$B$232) / (Deviation_sequence!F9 + 0.5 * Deviation_sequence!$B$232)</f>
        <v>0.7967909308</v>
      </c>
      <c r="G9" s="7">
        <f>(Deviation_sequence!$B$233 + 0.5 *Deviation_sequence!$B$232) / (Deviation_sequence!G9 + 0.5 * Deviation_sequence!$B$232)</f>
        <v>0.7012574877</v>
      </c>
      <c r="H9" s="7">
        <f>(Deviation_sequence!$B$233 + 0.5 *Deviation_sequence!$B$232) / (Deviation_sequence!H9 + 0.5 * Deviation_sequence!$B$232)</f>
        <v>0.5845959661</v>
      </c>
      <c r="I9" s="7">
        <f>(Deviation_sequence!$B$233 + 0.5 *Deviation_sequence!$B$232) / (Deviation_sequence!I9 + 0.5 * Deviation_sequence!$B$232)</f>
        <v>0.6270196868</v>
      </c>
      <c r="J9" s="7">
        <f>(Deviation_sequence!$B$233 + 0.5 *Deviation_sequence!$B$232) / (Deviation_sequence!J9 + 0.5 * Deviation_sequence!$B$232)</f>
        <v>0.6314928943</v>
      </c>
      <c r="K9" s="7">
        <f>(Deviation_sequence!$B$233 + 0.5 *Deviation_sequence!$B$232) / (Deviation_sequence!K9 + 0.5 * Deviation_sequence!$B$232)</f>
        <v>0.7270867904</v>
      </c>
      <c r="L9" s="7">
        <f>(Deviation_sequence!$B$233 + 0.5 *Deviation_sequence!$B$232) / (Deviation_sequence!L9 + 0.5 * Deviation_sequence!$B$232)</f>
        <v>0.6873382341</v>
      </c>
      <c r="M9" s="7">
        <f>(Deviation_sequence!$B$233 + 0.5 *Deviation_sequence!$B$232) / (Deviation_sequence!M9 + 0.5 * Deviation_sequence!$B$232)</f>
        <v>0.5490925554</v>
      </c>
      <c r="O9" s="7">
        <f t="shared" si="1"/>
        <v>0.6601349272</v>
      </c>
    </row>
    <row r="10">
      <c r="A10" s="10" t="s">
        <v>11</v>
      </c>
      <c r="B10" s="7">
        <f>(Deviation_sequence!$B$233 + 0.5 *Deviation_sequence!$B$232) / (Deviation_sequence!B10 + 0.5 * Deviation_sequence!$B$232)</f>
        <v>0.5280870324</v>
      </c>
      <c r="C10" s="7">
        <f>(Deviation_sequence!$B$233 + 0.5 *Deviation_sequence!$B$232) / (Deviation_sequence!C10 + 0.5 * Deviation_sequence!$B$232)</f>
        <v>0.5233219204</v>
      </c>
      <c r="D10" s="7">
        <f>(Deviation_sequence!$B$233 + 0.5 *Deviation_sequence!$B$232) / (Deviation_sequence!D10 + 0.5 * Deviation_sequence!$B$232)</f>
        <v>0.5550931844</v>
      </c>
      <c r="E10" s="7">
        <f>(Deviation_sequence!$B$233 + 0.5 *Deviation_sequence!$B$232) / (Deviation_sequence!E10 + 0.5 * Deviation_sequence!$B$232)</f>
        <v>0.5973207227</v>
      </c>
      <c r="F10" s="7">
        <f>(Deviation_sequence!$B$233 + 0.5 *Deviation_sequence!$B$232) / (Deviation_sequence!F10 + 0.5 * Deviation_sequence!$B$232)</f>
        <v>0.6756732389</v>
      </c>
      <c r="G10" s="7">
        <f>(Deviation_sequence!$B$233 + 0.5 *Deviation_sequence!$B$232) / (Deviation_sequence!G10 + 0.5 * Deviation_sequence!$B$232)</f>
        <v>0.6571227518</v>
      </c>
      <c r="H10" s="7">
        <f>(Deviation_sequence!$B$233 + 0.5 *Deviation_sequence!$B$232) / (Deviation_sequence!H10 + 0.5 * Deviation_sequence!$B$232)</f>
        <v>0.5589661115</v>
      </c>
      <c r="I10" s="7">
        <f>(Deviation_sequence!$B$233 + 0.5 *Deviation_sequence!$B$232) / (Deviation_sequence!I10 + 0.5 * Deviation_sequence!$B$232)</f>
        <v>0.602812962</v>
      </c>
      <c r="J10" s="7">
        <f>(Deviation_sequence!$B$233 + 0.5 *Deviation_sequence!$B$232) / (Deviation_sequence!J10 + 0.5 * Deviation_sequence!$B$232)</f>
        <v>0.6512863976</v>
      </c>
      <c r="K10" s="7">
        <f>(Deviation_sequence!$B$233 + 0.5 *Deviation_sequence!$B$232) / (Deviation_sequence!K10 + 0.5 * Deviation_sequence!$B$232)</f>
        <v>0.6743563246</v>
      </c>
      <c r="L10" s="7">
        <f>(Deviation_sequence!$B$233 + 0.5 *Deviation_sequence!$B$232) / (Deviation_sequence!L10 + 0.5 * Deviation_sequence!$B$232)</f>
        <v>0.7280527182</v>
      </c>
      <c r="M10" s="7">
        <f>(Deviation_sequence!$B$233 + 0.5 *Deviation_sequence!$B$232) / (Deviation_sequence!M10 + 0.5 * Deviation_sequence!$B$232)</f>
        <v>0.7581342909</v>
      </c>
      <c r="O10" s="7">
        <f t="shared" si="1"/>
        <v>0.6258523046</v>
      </c>
    </row>
    <row r="11">
      <c r="A11" s="10" t="s">
        <v>12</v>
      </c>
      <c r="B11" s="7">
        <f>(Deviation_sequence!$B$233 + 0.5 *Deviation_sequence!$B$232) / (Deviation_sequence!B11 + 0.5 * Deviation_sequence!$B$232)</f>
        <v>0.6953022193</v>
      </c>
      <c r="C11" s="7">
        <f>(Deviation_sequence!$B$233 + 0.5 *Deviation_sequence!$B$232) / (Deviation_sequence!C11 + 0.5 * Deviation_sequence!$B$232)</f>
        <v>0.6918448388</v>
      </c>
      <c r="D11" s="7">
        <f>(Deviation_sequence!$B$233 + 0.5 *Deviation_sequence!$B$232) / (Deviation_sequence!D11 + 0.5 * Deviation_sequence!$B$232)</f>
        <v>0.7234728126</v>
      </c>
      <c r="E11" s="7">
        <f>(Deviation_sequence!$B$233 + 0.5 *Deviation_sequence!$B$232) / (Deviation_sequence!E11 + 0.5 * Deviation_sequence!$B$232)</f>
        <v>0.7188727844</v>
      </c>
      <c r="F11" s="7">
        <f>(Deviation_sequence!$B$233 + 0.5 *Deviation_sequence!$B$232) / (Deviation_sequence!F11 + 0.5 * Deviation_sequence!$B$232)</f>
        <v>0.7607196877</v>
      </c>
      <c r="G11" s="7">
        <f>(Deviation_sequence!$B$233 + 0.5 *Deviation_sequence!$B$232) / (Deviation_sequence!G11 + 0.5 * Deviation_sequence!$B$232)</f>
        <v>0.8001666185</v>
      </c>
      <c r="H11" s="7">
        <f>(Deviation_sequence!$B$233 + 0.5 *Deviation_sequence!$B$232) / (Deviation_sequence!H11 + 0.5 * Deviation_sequence!$B$232)</f>
        <v>0.8175062505</v>
      </c>
      <c r="I11" s="7">
        <f>(Deviation_sequence!$B$233 + 0.5 *Deviation_sequence!$B$232) / (Deviation_sequence!I11 + 0.5 * Deviation_sequence!$B$232)</f>
        <v>0.8604238532</v>
      </c>
      <c r="J11" s="7">
        <f>(Deviation_sequence!$B$233 + 0.5 *Deviation_sequence!$B$232) / (Deviation_sequence!J11 + 0.5 * Deviation_sequence!$B$232)</f>
        <v>0.8449134231</v>
      </c>
      <c r="K11" s="7">
        <f>(Deviation_sequence!$B$233 + 0.5 *Deviation_sequence!$B$232) / (Deviation_sequence!K11 + 0.5 * Deviation_sequence!$B$232)</f>
        <v>0.8548363994</v>
      </c>
      <c r="L11" s="7">
        <f>(Deviation_sequence!$B$233 + 0.5 *Deviation_sequence!$B$232) / (Deviation_sequence!L11 + 0.5 * Deviation_sequence!$B$232)</f>
        <v>0.8919118228</v>
      </c>
      <c r="M11" s="7">
        <f>(Deviation_sequence!$B$233 + 0.5 *Deviation_sequence!$B$232) / (Deviation_sequence!M11 + 0.5 * Deviation_sequence!$B$232)</f>
        <v>0.8988469457</v>
      </c>
      <c r="O11" s="7">
        <f t="shared" si="1"/>
        <v>0.796568138</v>
      </c>
    </row>
    <row r="12">
      <c r="A12" s="10" t="s">
        <v>13</v>
      </c>
      <c r="B12" s="7">
        <f>(Deviation_sequence!$B$233 + 0.5 *Deviation_sequence!$B$232) / (Deviation_sequence!B12 + 0.5 * Deviation_sequence!$B$232)</f>
        <v>0.5960935293</v>
      </c>
      <c r="C12" s="7">
        <f>(Deviation_sequence!$B$233 + 0.5 *Deviation_sequence!$B$232) / (Deviation_sequence!C12 + 0.5 * Deviation_sequence!$B$232)</f>
        <v>0.6334611433</v>
      </c>
      <c r="D12" s="7">
        <f>(Deviation_sequence!$B$233 + 0.5 *Deviation_sequence!$B$232) / (Deviation_sequence!D12 + 0.5 * Deviation_sequence!$B$232)</f>
        <v>0.6986307387</v>
      </c>
      <c r="E12" s="7">
        <f>(Deviation_sequence!$B$233 + 0.5 *Deviation_sequence!$B$232) / (Deviation_sequence!E12 + 0.5 * Deviation_sequence!$B$232)</f>
        <v>0.7696862772</v>
      </c>
      <c r="F12" s="7">
        <f>(Deviation_sequence!$B$233 + 0.5 *Deviation_sequence!$B$232) / (Deviation_sequence!F12 + 0.5 * Deviation_sequence!$B$232)</f>
        <v>0.858628622</v>
      </c>
      <c r="G12" s="7">
        <f>(Deviation_sequence!$B$233 + 0.5 *Deviation_sequence!$B$232) / (Deviation_sequence!G12 + 0.5 * Deviation_sequence!$B$232)</f>
        <v>0.8751477426</v>
      </c>
      <c r="H12" s="7">
        <f>(Deviation_sequence!$B$233 + 0.5 *Deviation_sequence!$B$232) / (Deviation_sequence!H12 + 0.5 * Deviation_sequence!$B$232)</f>
        <v>0.9851777447</v>
      </c>
      <c r="I12" s="7">
        <f>(Deviation_sequence!$B$233 + 0.5 *Deviation_sequence!$B$232) / (Deviation_sequence!I12 + 0.5 * Deviation_sequence!$B$232)</f>
        <v>0.9240056841</v>
      </c>
      <c r="J12" s="7">
        <f>(Deviation_sequence!$B$233 + 0.5 *Deviation_sequence!$B$232) / (Deviation_sequence!J12 + 0.5 * Deviation_sequence!$B$232)</f>
        <v>0.9090330815</v>
      </c>
      <c r="K12" s="7">
        <f>(Deviation_sequence!$B$233 + 0.5 *Deviation_sequence!$B$232) / (Deviation_sequence!K12 + 0.5 * Deviation_sequence!$B$232)</f>
        <v>0.8359759162</v>
      </c>
      <c r="L12" s="7">
        <f>(Deviation_sequence!$B$233 + 0.5 *Deviation_sequence!$B$232) / (Deviation_sequence!L12 + 0.5 * Deviation_sequence!$B$232)</f>
        <v>0.8646228176</v>
      </c>
      <c r="M12" s="7">
        <f>(Deviation_sequence!$B$233 + 0.5 *Deviation_sequence!$B$232) / (Deviation_sequence!M12 + 0.5 * Deviation_sequence!$B$232)</f>
        <v>0.5215260606</v>
      </c>
      <c r="O12" s="7">
        <f t="shared" si="1"/>
        <v>0.7893324465</v>
      </c>
    </row>
    <row r="13">
      <c r="A13" s="10" t="s">
        <v>14</v>
      </c>
      <c r="B13" s="7">
        <f>(Deviation_sequence!$B$233 + 0.5 *Deviation_sequence!$B$232) / (Deviation_sequence!B13 + 0.5 * Deviation_sequence!$B$232)</f>
        <v>0.6160039762</v>
      </c>
      <c r="C13" s="7">
        <f>(Deviation_sequence!$B$233 + 0.5 *Deviation_sequence!$B$232) / (Deviation_sequence!C13 + 0.5 * Deviation_sequence!$B$232)</f>
        <v>0.6199946041</v>
      </c>
      <c r="D13" s="7">
        <f>(Deviation_sequence!$B$233 + 0.5 *Deviation_sequence!$B$232) / (Deviation_sequence!D13 + 0.5 * Deviation_sequence!$B$232)</f>
        <v>0.6231606525</v>
      </c>
      <c r="E13" s="7">
        <f>(Deviation_sequence!$B$233 + 0.5 *Deviation_sequence!$B$232) / (Deviation_sequence!E13 + 0.5 * Deviation_sequence!$B$232)</f>
        <v>0.6851107946</v>
      </c>
      <c r="F13" s="7">
        <f>(Deviation_sequence!$B$233 + 0.5 *Deviation_sequence!$B$232) / (Deviation_sequence!F13 + 0.5 * Deviation_sequence!$B$232)</f>
        <v>0.7636164774</v>
      </c>
      <c r="G13" s="7">
        <f>(Deviation_sequence!$B$233 + 0.5 *Deviation_sequence!$B$232) / (Deviation_sequence!G13 + 0.5 * Deviation_sequence!$B$232)</f>
        <v>0.7175786671</v>
      </c>
      <c r="H13" s="7">
        <f>(Deviation_sequence!$B$233 + 0.5 *Deviation_sequence!$B$232) / (Deviation_sequence!H13 + 0.5 * Deviation_sequence!$B$232)</f>
        <v>0.7713219644</v>
      </c>
      <c r="I13" s="7">
        <f>(Deviation_sequence!$B$233 + 0.5 *Deviation_sequence!$B$232) / (Deviation_sequence!I13 + 0.5 * Deviation_sequence!$B$232)</f>
        <v>0.5932594276</v>
      </c>
      <c r="J13" s="7">
        <f>(Deviation_sequence!$B$233 + 0.5 *Deviation_sequence!$B$232) / (Deviation_sequence!J13 + 0.5 * Deviation_sequence!$B$232)</f>
        <v>0.6084151874</v>
      </c>
      <c r="K13" s="7">
        <f>(Deviation_sequence!$B$233 + 0.5 *Deviation_sequence!$B$232) / (Deviation_sequence!K13 + 0.5 * Deviation_sequence!$B$232)</f>
        <v>0.6399314854</v>
      </c>
      <c r="L13" s="7">
        <f>(Deviation_sequence!$B$233 + 0.5 *Deviation_sequence!$B$232) / (Deviation_sequence!L13 + 0.5 * Deviation_sequence!$B$232)</f>
        <v>0.491487399</v>
      </c>
      <c r="M13" s="7">
        <f>(Deviation_sequence!$B$233 + 0.5 *Deviation_sequence!$B$232) / (Deviation_sequence!M13 + 0.5 * Deviation_sequence!$B$232)</f>
        <v>0.3497925621</v>
      </c>
      <c r="O13" s="7">
        <f t="shared" si="1"/>
        <v>0.6233060998</v>
      </c>
    </row>
    <row r="14">
      <c r="A14" s="10" t="s">
        <v>15</v>
      </c>
      <c r="B14" s="7">
        <f>(Deviation_sequence!$B$233 + 0.5 *Deviation_sequence!$B$232) / (Deviation_sequence!B14 + 0.5 * Deviation_sequence!$B$232)</f>
        <v>0.793085881</v>
      </c>
      <c r="C14" s="7">
        <f>(Deviation_sequence!$B$233 + 0.5 *Deviation_sequence!$B$232) / (Deviation_sequence!C14 + 0.5 * Deviation_sequence!$B$232)</f>
        <v>0.8905529098</v>
      </c>
      <c r="D14" s="7">
        <f>(Deviation_sequence!$B$233 + 0.5 *Deviation_sequence!$B$232) / (Deviation_sequence!D14 + 0.5 * Deviation_sequence!$B$232)</f>
        <v>0.9443022301</v>
      </c>
      <c r="E14" s="7">
        <f>(Deviation_sequence!$B$233 + 0.5 *Deviation_sequence!$B$232) / (Deviation_sequence!E14 + 0.5 * Deviation_sequence!$B$232)</f>
        <v>0.9322007313</v>
      </c>
      <c r="F14" s="7">
        <f>(Deviation_sequence!$B$233 + 0.5 *Deviation_sequence!$B$232) / (Deviation_sequence!F14 + 0.5 * Deviation_sequence!$B$232)</f>
        <v>0.9588594779</v>
      </c>
      <c r="G14" s="7">
        <f>(Deviation_sequence!$B$233 + 0.5 *Deviation_sequence!$B$232) / (Deviation_sequence!G14 + 0.5 * Deviation_sequence!$B$232)</f>
        <v>0.8511637869</v>
      </c>
      <c r="H14" s="7">
        <f>(Deviation_sequence!$B$233 + 0.5 *Deviation_sequence!$B$232) / (Deviation_sequence!H14 + 0.5 * Deviation_sequence!$B$232)</f>
        <v>0.9449563276</v>
      </c>
      <c r="I14" s="7">
        <f>(Deviation_sequence!$B$233 + 0.5 *Deviation_sequence!$B$232) / (Deviation_sequence!I14 + 0.5 * Deviation_sequence!$B$232)</f>
        <v>0.9116234385</v>
      </c>
      <c r="J14" s="7">
        <f>(Deviation_sequence!$B$233 + 0.5 *Deviation_sequence!$B$232) / (Deviation_sequence!J14 + 0.5 * Deviation_sequence!$B$232)</f>
        <v>0.9801642743</v>
      </c>
      <c r="K14" s="7">
        <f>(Deviation_sequence!$B$233 + 0.5 *Deviation_sequence!$B$232) / (Deviation_sequence!K14 + 0.5 * Deviation_sequence!$B$232)</f>
        <v>0.9506591549</v>
      </c>
      <c r="L14" s="7">
        <f>(Deviation_sequence!$B$233 + 0.5 *Deviation_sequence!$B$232) / (Deviation_sequence!L14 + 0.5 * Deviation_sequence!$B$232)</f>
        <v>0.9126157662</v>
      </c>
      <c r="M14" s="7">
        <f>(Deviation_sequence!$B$233 + 0.5 *Deviation_sequence!$B$232) / (Deviation_sequence!M14 + 0.5 * Deviation_sequence!$B$232)</f>
        <v>0.9386909205</v>
      </c>
      <c r="O14" s="7">
        <f t="shared" si="1"/>
        <v>0.9174062416</v>
      </c>
    </row>
    <row r="15">
      <c r="A15" s="10" t="s">
        <v>16</v>
      </c>
      <c r="B15" s="7">
        <f>(Deviation_sequence!$B$233 + 0.5 *Deviation_sequence!$B$232) / (Deviation_sequence!B15 + 0.5 * Deviation_sequence!$B$232)</f>
        <v>0.479832947</v>
      </c>
      <c r="C15" s="7">
        <f>(Deviation_sequence!$B$233 + 0.5 *Deviation_sequence!$B$232) / (Deviation_sequence!C15 + 0.5 * Deviation_sequence!$B$232)</f>
        <v>0.5257046399</v>
      </c>
      <c r="D15" s="7">
        <f>(Deviation_sequence!$B$233 + 0.5 *Deviation_sequence!$B$232) / (Deviation_sequence!D15 + 0.5 * Deviation_sequence!$B$232)</f>
        <v>0.5753114296</v>
      </c>
      <c r="E15" s="7">
        <f>(Deviation_sequence!$B$233 + 0.5 *Deviation_sequence!$B$232) / (Deviation_sequence!E15 + 0.5 * Deviation_sequence!$B$232)</f>
        <v>0.6246686885</v>
      </c>
      <c r="F15" s="7">
        <f>(Deviation_sequence!$B$233 + 0.5 *Deviation_sequence!$B$232) / (Deviation_sequence!F15 + 0.5 * Deviation_sequence!$B$232)</f>
        <v>0.6959402462</v>
      </c>
      <c r="G15" s="7">
        <f>(Deviation_sequence!$B$233 + 0.5 *Deviation_sequence!$B$232) / (Deviation_sequence!G15 + 0.5 * Deviation_sequence!$B$232)</f>
        <v>0.699753274</v>
      </c>
      <c r="H15" s="7">
        <f>(Deviation_sequence!$B$233 + 0.5 *Deviation_sequence!$B$232) / (Deviation_sequence!H15 + 0.5 * Deviation_sequence!$B$232)</f>
        <v>0.7590598814</v>
      </c>
      <c r="I15" s="7">
        <f>(Deviation_sequence!$B$233 + 0.5 *Deviation_sequence!$B$232) / (Deviation_sequence!I15 + 0.5 * Deviation_sequence!$B$232)</f>
        <v>0.7788770047</v>
      </c>
      <c r="J15" s="7">
        <f>(Deviation_sequence!$B$233 + 0.5 *Deviation_sequence!$B$232) / (Deviation_sequence!J15 + 0.5 * Deviation_sequence!$B$232)</f>
        <v>0.8218946098</v>
      </c>
      <c r="K15" s="7">
        <f>(Deviation_sequence!$B$233 + 0.5 *Deviation_sequence!$B$232) / (Deviation_sequence!K15 + 0.5 * Deviation_sequence!$B$232)</f>
        <v>0.8648413358</v>
      </c>
      <c r="L15" s="7">
        <f>(Deviation_sequence!$B$233 + 0.5 *Deviation_sequence!$B$232) / (Deviation_sequence!L15 + 0.5 * Deviation_sequence!$B$232)</f>
        <v>0.7676228138</v>
      </c>
      <c r="M15" s="7">
        <f>(Deviation_sequence!$B$233 + 0.5 *Deviation_sequence!$B$232) / (Deviation_sequence!M15 + 0.5 * Deviation_sequence!$B$232)</f>
        <v>0.7870245873</v>
      </c>
      <c r="O15" s="7">
        <f t="shared" si="1"/>
        <v>0.6983776215</v>
      </c>
    </row>
    <row r="16">
      <c r="A16" s="10" t="s">
        <v>17</v>
      </c>
      <c r="B16" s="7">
        <f>(Deviation_sequence!$B$233 + 0.5 *Deviation_sequence!$B$232) / (Deviation_sequence!B16 + 0.5 * Deviation_sequence!$B$232)</f>
        <v>0.4736546436</v>
      </c>
      <c r="C16" s="7">
        <f>(Deviation_sequence!$B$233 + 0.5 *Deviation_sequence!$B$232) / (Deviation_sequence!C16 + 0.5 * Deviation_sequence!$B$232)</f>
        <v>0.5398298646</v>
      </c>
      <c r="D16" s="7">
        <f>(Deviation_sequence!$B$233 + 0.5 *Deviation_sequence!$B$232) / (Deviation_sequence!D16 + 0.5 * Deviation_sequence!$B$232)</f>
        <v>0.5879891427</v>
      </c>
      <c r="E16" s="7">
        <f>(Deviation_sequence!$B$233 + 0.5 *Deviation_sequence!$B$232) / (Deviation_sequence!E16 + 0.5 * Deviation_sequence!$B$232)</f>
        <v>0.6368903211</v>
      </c>
      <c r="F16" s="7">
        <f>(Deviation_sequence!$B$233 + 0.5 *Deviation_sequence!$B$232) / (Deviation_sequence!F16 + 0.5 * Deviation_sequence!$B$232)</f>
        <v>0.5783447045</v>
      </c>
      <c r="G16" s="7">
        <f>(Deviation_sequence!$B$233 + 0.5 *Deviation_sequence!$B$232) / (Deviation_sequence!G16 + 0.5 * Deviation_sequence!$B$232)</f>
        <v>0.576125169</v>
      </c>
      <c r="H16" s="7">
        <f>(Deviation_sequence!$B$233 + 0.5 *Deviation_sequence!$B$232) / (Deviation_sequence!H16 + 0.5 * Deviation_sequence!$B$232)</f>
        <v>0.6153927799</v>
      </c>
      <c r="I16" s="7">
        <f>(Deviation_sequence!$B$233 + 0.5 *Deviation_sequence!$B$232) / (Deviation_sequence!I16 + 0.5 * Deviation_sequence!$B$232)</f>
        <v>0.6750049988</v>
      </c>
      <c r="J16" s="7">
        <f>(Deviation_sequence!$B$233 + 0.5 *Deviation_sequence!$B$232) / (Deviation_sequence!J16 + 0.5 * Deviation_sequence!$B$232)</f>
        <v>0.7281252666</v>
      </c>
      <c r="K16" s="7">
        <f>(Deviation_sequence!$B$233 + 0.5 *Deviation_sequence!$B$232) / (Deviation_sequence!K16 + 0.5 * Deviation_sequence!$B$232)</f>
        <v>0.6706904675</v>
      </c>
      <c r="L16" s="7">
        <f>(Deviation_sequence!$B$233 + 0.5 *Deviation_sequence!$B$232) / (Deviation_sequence!L16 + 0.5 * Deviation_sequence!$B$232)</f>
        <v>0.6883973396</v>
      </c>
      <c r="M16" s="7">
        <f>(Deviation_sequence!$B$233 + 0.5 *Deviation_sequence!$B$232) / (Deviation_sequence!M16 + 0.5 * Deviation_sequence!$B$232)</f>
        <v>0.6907279731</v>
      </c>
      <c r="O16" s="7">
        <f t="shared" si="1"/>
        <v>0.6217643892</v>
      </c>
    </row>
    <row r="17">
      <c r="A17" s="10" t="s">
        <v>18</v>
      </c>
      <c r="B17" s="7">
        <f>(Deviation_sequence!$B$233 + 0.5 *Deviation_sequence!$B$232) / (Deviation_sequence!B17 + 0.5 * Deviation_sequence!$B$232)</f>
        <v>0.4738957055</v>
      </c>
      <c r="C17" s="7">
        <f>(Deviation_sequence!$B$233 + 0.5 *Deviation_sequence!$B$232) / (Deviation_sequence!C17 + 0.5 * Deviation_sequence!$B$232)</f>
        <v>0.517831764</v>
      </c>
      <c r="D17" s="7">
        <f>(Deviation_sequence!$B$233 + 0.5 *Deviation_sequence!$B$232) / (Deviation_sequence!D17 + 0.5 * Deviation_sequence!$B$232)</f>
        <v>0.5381185421</v>
      </c>
      <c r="E17" s="7">
        <f>(Deviation_sequence!$B$233 + 0.5 *Deviation_sequence!$B$232) / (Deviation_sequence!E17 + 0.5 * Deviation_sequence!$B$232)</f>
        <v>0.6353308808</v>
      </c>
      <c r="F17" s="7">
        <f>(Deviation_sequence!$B$233 + 0.5 *Deviation_sequence!$B$232) / (Deviation_sequence!F17 + 0.5 * Deviation_sequence!$B$232)</f>
        <v>0.9676475443</v>
      </c>
      <c r="G17" s="7">
        <f>(Deviation_sequence!$B$233 + 0.5 *Deviation_sequence!$B$232) / (Deviation_sequence!G17 + 0.5 * Deviation_sequence!$B$232)</f>
        <v>0.9073719607</v>
      </c>
      <c r="H17" s="7">
        <f>(Deviation_sequence!$B$233 + 0.5 *Deviation_sequence!$B$232) / (Deviation_sequence!H17 + 0.5 * Deviation_sequence!$B$232)</f>
        <v>0.6665560756</v>
      </c>
      <c r="I17" s="7">
        <f>(Deviation_sequence!$B$233 + 0.5 *Deviation_sequence!$B$232) / (Deviation_sequence!I17 + 0.5 * Deviation_sequence!$B$232)</f>
        <v>0.6003231286</v>
      </c>
      <c r="J17" s="7">
        <f>(Deviation_sequence!$B$233 + 0.5 *Deviation_sequence!$B$232) / (Deviation_sequence!J17 + 0.5 * Deviation_sequence!$B$232)</f>
        <v>0.7602080168</v>
      </c>
      <c r="K17" s="7">
        <f>(Deviation_sequence!$B$233 + 0.5 *Deviation_sequence!$B$232) / (Deviation_sequence!K17 + 0.5 * Deviation_sequence!$B$232)</f>
        <v>0.6462893912</v>
      </c>
      <c r="L17" s="7">
        <f>(Deviation_sequence!$B$233 + 0.5 *Deviation_sequence!$B$232) / (Deviation_sequence!L17 + 0.5 * Deviation_sequence!$B$232)</f>
        <v>0.686054755</v>
      </c>
      <c r="M17" s="7">
        <f>(Deviation_sequence!$B$233 + 0.5 *Deviation_sequence!$B$232) / (Deviation_sequence!M17 + 0.5 * Deviation_sequence!$B$232)</f>
        <v>0.5811776993</v>
      </c>
      <c r="O17" s="7">
        <f t="shared" si="1"/>
        <v>0.665067122</v>
      </c>
    </row>
    <row r="18">
      <c r="A18" s="10" t="s">
        <v>19</v>
      </c>
      <c r="B18" s="7">
        <f>(Deviation_sequence!$B$233 + 0.5 *Deviation_sequence!$B$232) / (Deviation_sequence!B18 + 0.5 * Deviation_sequence!$B$232)</f>
        <v>0.3432268124</v>
      </c>
      <c r="C18" s="7">
        <f>(Deviation_sequence!$B$233 + 0.5 *Deviation_sequence!$B$232) / (Deviation_sequence!C18 + 0.5 * Deviation_sequence!$B$232)</f>
        <v>0.3534113298</v>
      </c>
      <c r="D18" s="7">
        <f>(Deviation_sequence!$B$233 + 0.5 *Deviation_sequence!$B$232) / (Deviation_sequence!D18 + 0.5 * Deviation_sequence!$B$232)</f>
        <v>0.3469354539</v>
      </c>
      <c r="E18" s="7">
        <f>(Deviation_sequence!$B$233 + 0.5 *Deviation_sequence!$B$232) / (Deviation_sequence!E18 + 0.5 * Deviation_sequence!$B$232)</f>
        <v>0.4400205973</v>
      </c>
      <c r="F18" s="7">
        <f>(Deviation_sequence!$B$233 + 0.5 *Deviation_sequence!$B$232) / (Deviation_sequence!F18 + 0.5 * Deviation_sequence!$B$232)</f>
        <v>0.4181888321</v>
      </c>
      <c r="G18" s="7">
        <f>(Deviation_sequence!$B$233 + 0.5 *Deviation_sequence!$B$232) / (Deviation_sequence!G18 + 0.5 * Deviation_sequence!$B$232)</f>
        <v>0.3396936525</v>
      </c>
      <c r="H18" s="7">
        <f>(Deviation_sequence!$B$233 + 0.5 *Deviation_sequence!$B$232) / (Deviation_sequence!H18 + 0.5 * Deviation_sequence!$B$232)</f>
        <v>0.3396257461</v>
      </c>
      <c r="I18" s="7">
        <f>(Deviation_sequence!$B$233 + 0.5 *Deviation_sequence!$B$232) / (Deviation_sequence!I18 + 0.5 * Deviation_sequence!$B$232)</f>
        <v>0.3516065804</v>
      </c>
      <c r="J18" s="7">
        <f>(Deviation_sequence!$B$233 + 0.5 *Deviation_sequence!$B$232) / (Deviation_sequence!J18 + 0.5 * Deviation_sequence!$B$232)</f>
        <v>0.3540276484</v>
      </c>
      <c r="K18" s="7">
        <f>(Deviation_sequence!$B$233 + 0.5 *Deviation_sequence!$B$232) / (Deviation_sequence!K18 + 0.5 * Deviation_sequence!$B$232)</f>
        <v>0.3523743451</v>
      </c>
      <c r="L18" s="7">
        <f>(Deviation_sequence!$B$233 + 0.5 *Deviation_sequence!$B$232) / (Deviation_sequence!L18 + 0.5 * Deviation_sequence!$B$232)</f>
        <v>0.462661558</v>
      </c>
      <c r="M18" s="7">
        <f>(Deviation_sequence!$B$233 + 0.5 *Deviation_sequence!$B$232) / (Deviation_sequence!M18 + 0.5 * Deviation_sequence!$B$232)</f>
        <v>0.5391389363</v>
      </c>
      <c r="O18" s="7">
        <f t="shared" si="1"/>
        <v>0.3867426243</v>
      </c>
    </row>
    <row r="19">
      <c r="A19" s="10" t="s">
        <v>20</v>
      </c>
      <c r="B19" s="7">
        <f>(Deviation_sequence!$B$233 + 0.5 *Deviation_sequence!$B$232) / (Deviation_sequence!B19 + 0.5 * Deviation_sequence!$B$232)</f>
        <v>0.8424038682</v>
      </c>
      <c r="C19" s="7">
        <f>(Deviation_sequence!$B$233 + 0.5 *Deviation_sequence!$B$232) / (Deviation_sequence!C19 + 0.5 * Deviation_sequence!$B$232)</f>
        <v>0.9213520854</v>
      </c>
      <c r="D19" s="7">
        <f>(Deviation_sequence!$B$233 + 0.5 *Deviation_sequence!$B$232) / (Deviation_sequence!D19 + 0.5 * Deviation_sequence!$B$232)</f>
        <v>0.8990258857</v>
      </c>
      <c r="E19" s="7">
        <f>(Deviation_sequence!$B$233 + 0.5 *Deviation_sequence!$B$232) / (Deviation_sequence!E19 + 0.5 * Deviation_sequence!$B$232)</f>
        <v>0.9158040706</v>
      </c>
      <c r="F19" s="7">
        <f>(Deviation_sequence!$B$233 + 0.5 *Deviation_sequence!$B$232) / (Deviation_sequence!F19 + 0.5 * Deviation_sequence!$B$232)</f>
        <v>0.9301168509</v>
      </c>
      <c r="G19" s="7">
        <f>(Deviation_sequence!$B$233 + 0.5 *Deviation_sequence!$B$232) / (Deviation_sequence!G19 + 0.5 * Deviation_sequence!$B$232)</f>
        <v>0.8583249444</v>
      </c>
      <c r="H19" s="7">
        <f>(Deviation_sequence!$B$233 + 0.5 *Deviation_sequence!$B$232) / (Deviation_sequence!H19 + 0.5 * Deviation_sequence!$B$232)</f>
        <v>0.8945345892</v>
      </c>
      <c r="I19" s="7">
        <f>(Deviation_sequence!$B$233 + 0.5 *Deviation_sequence!$B$232) / (Deviation_sequence!I19 + 0.5 * Deviation_sequence!$B$232)</f>
        <v>0.9267872122</v>
      </c>
      <c r="J19" s="7">
        <f>(Deviation_sequence!$B$233 + 0.5 *Deviation_sequence!$B$232) / (Deviation_sequence!J19 + 0.5 * Deviation_sequence!$B$232)</f>
        <v>0.9386887934</v>
      </c>
      <c r="K19" s="7">
        <f>(Deviation_sequence!$B$233 + 0.5 *Deviation_sequence!$B$232) / (Deviation_sequence!K19 + 0.5 * Deviation_sequence!$B$232)</f>
        <v>0.8897157002</v>
      </c>
      <c r="L19" s="7">
        <f>(Deviation_sequence!$B$233 + 0.5 *Deviation_sequence!$B$232) / (Deviation_sequence!L19 + 0.5 * Deviation_sequence!$B$232)</f>
        <v>0.9449375753</v>
      </c>
      <c r="M19" s="7">
        <f>(Deviation_sequence!$B$233 + 0.5 *Deviation_sequence!$B$232) / (Deviation_sequence!M19 + 0.5 * Deviation_sequence!$B$232)</f>
        <v>0.8814307188</v>
      </c>
      <c r="O19" s="7">
        <f t="shared" si="1"/>
        <v>0.9035935245</v>
      </c>
    </row>
    <row r="20">
      <c r="A20" s="10" t="s">
        <v>21</v>
      </c>
      <c r="B20" s="7">
        <f>(Deviation_sequence!$B$233 + 0.5 *Deviation_sequence!$B$232) / (Deviation_sequence!B20 + 0.5 * Deviation_sequence!$B$232)</f>
        <v>0.8713764476</v>
      </c>
      <c r="C20" s="7">
        <f>(Deviation_sequence!$B$233 + 0.5 *Deviation_sequence!$B$232) / (Deviation_sequence!C20 + 0.5 * Deviation_sequence!$B$232)</f>
        <v>0.936317689</v>
      </c>
      <c r="D20" s="7">
        <f>(Deviation_sequence!$B$233 + 0.5 *Deviation_sequence!$B$232) / (Deviation_sequence!D20 + 0.5 * Deviation_sequence!$B$232)</f>
        <v>0.8402738452</v>
      </c>
      <c r="E20" s="7">
        <f>(Deviation_sequence!$B$233 + 0.5 *Deviation_sequence!$B$232) / (Deviation_sequence!E20 + 0.5 * Deviation_sequence!$B$232)</f>
        <v>0.8565643991</v>
      </c>
      <c r="F20" s="7">
        <f>(Deviation_sequence!$B$233 + 0.5 *Deviation_sequence!$B$232) / (Deviation_sequence!F20 + 0.5 * Deviation_sequence!$B$232)</f>
        <v>0.8629381359</v>
      </c>
      <c r="G20" s="7">
        <f>(Deviation_sequence!$B$233 + 0.5 *Deviation_sequence!$B$232) / (Deviation_sequence!G20 + 0.5 * Deviation_sequence!$B$232)</f>
        <v>0.8184042305</v>
      </c>
      <c r="H20" s="7">
        <f>(Deviation_sequence!$B$233 + 0.5 *Deviation_sequence!$B$232) / (Deviation_sequence!H20 + 0.5 * Deviation_sequence!$B$232)</f>
        <v>0.8619713002</v>
      </c>
      <c r="I20" s="7">
        <f>(Deviation_sequence!$B$233 + 0.5 *Deviation_sequence!$B$232) / (Deviation_sequence!I20 + 0.5 * Deviation_sequence!$B$232)</f>
        <v>0.8774030891</v>
      </c>
      <c r="J20" s="7">
        <f>(Deviation_sequence!$B$233 + 0.5 *Deviation_sequence!$B$232) / (Deviation_sequence!J20 + 0.5 * Deviation_sequence!$B$232)</f>
        <v>0.9371032947</v>
      </c>
      <c r="K20" s="7">
        <f>(Deviation_sequence!$B$233 + 0.5 *Deviation_sequence!$B$232) / (Deviation_sequence!K20 + 0.5 * Deviation_sequence!$B$232)</f>
        <v>0.9092235608</v>
      </c>
      <c r="L20" s="7">
        <f>(Deviation_sequence!$B$233 + 0.5 *Deviation_sequence!$B$232) / (Deviation_sequence!L20 + 0.5 * Deviation_sequence!$B$232)</f>
        <v>0.9814509527</v>
      </c>
      <c r="M20" s="7">
        <f>(Deviation_sequence!$B$233 + 0.5 *Deviation_sequence!$B$232) / (Deviation_sequence!M20 + 0.5 * Deviation_sequence!$B$232)</f>
        <v>0.9439244746</v>
      </c>
      <c r="O20" s="7">
        <f t="shared" si="1"/>
        <v>0.8914126183</v>
      </c>
    </row>
    <row r="21">
      <c r="A21" s="10" t="s">
        <v>22</v>
      </c>
      <c r="B21" s="7">
        <f>(Deviation_sequence!$B$233 + 0.5 *Deviation_sequence!$B$232) / (Deviation_sequence!B21 + 0.5 * Deviation_sequence!$B$232)</f>
        <v>0.6516430455</v>
      </c>
      <c r="C21" s="7">
        <f>(Deviation_sequence!$B$233 + 0.5 *Deviation_sequence!$B$232) / (Deviation_sequence!C21 + 0.5 * Deviation_sequence!$B$232)</f>
        <v>0.5047621433</v>
      </c>
      <c r="D21" s="7">
        <f>(Deviation_sequence!$B$233 + 0.5 *Deviation_sequence!$B$232) / (Deviation_sequence!D21 + 0.5 * Deviation_sequence!$B$232)</f>
        <v>0.4984245294</v>
      </c>
      <c r="E21" s="7">
        <f>(Deviation_sequence!$B$233 + 0.5 *Deviation_sequence!$B$232) / (Deviation_sequence!E21 + 0.5 * Deviation_sequence!$B$232)</f>
        <v>0.5367441364</v>
      </c>
      <c r="F21" s="7">
        <f>(Deviation_sequence!$B$233 + 0.5 *Deviation_sequence!$B$232) / (Deviation_sequence!F21 + 0.5 * Deviation_sequence!$B$232)</f>
        <v>0.6076884642</v>
      </c>
      <c r="G21" s="7">
        <f>(Deviation_sequence!$B$233 + 0.5 *Deviation_sequence!$B$232) / (Deviation_sequence!G21 + 0.5 * Deviation_sequence!$B$232)</f>
        <v>0.6051519442</v>
      </c>
      <c r="H21" s="7">
        <f>(Deviation_sequence!$B$233 + 0.5 *Deviation_sequence!$B$232) / (Deviation_sequence!H21 + 0.5 * Deviation_sequence!$B$232)</f>
        <v>0.6283827379</v>
      </c>
      <c r="I21" s="7">
        <f>(Deviation_sequence!$B$233 + 0.5 *Deviation_sequence!$B$232) / (Deviation_sequence!I21 + 0.5 * Deviation_sequence!$B$232)</f>
        <v>0.6419141914</v>
      </c>
      <c r="J21" s="7">
        <f>(Deviation_sequence!$B$233 + 0.5 *Deviation_sequence!$B$232) / (Deviation_sequence!J21 + 0.5 * Deviation_sequence!$B$232)</f>
        <v>0.5068137778</v>
      </c>
      <c r="K21" s="7">
        <f>(Deviation_sequence!$B$233 + 0.5 *Deviation_sequence!$B$232) / (Deviation_sequence!K21 + 0.5 * Deviation_sequence!$B$232)</f>
        <v>0.5087496547</v>
      </c>
      <c r="L21" s="7">
        <f>(Deviation_sequence!$B$233 + 0.5 *Deviation_sequence!$B$232) / (Deviation_sequence!L21 + 0.5 * Deviation_sequence!$B$232)</f>
        <v>0.5506746865</v>
      </c>
      <c r="M21" s="7">
        <f>(Deviation_sequence!$B$233 + 0.5 *Deviation_sequence!$B$232) / (Deviation_sequence!M21 + 0.5 * Deviation_sequence!$B$232)</f>
        <v>0.5790505844</v>
      </c>
      <c r="O21" s="7">
        <f t="shared" si="1"/>
        <v>0.5683333246</v>
      </c>
    </row>
    <row r="22">
      <c r="A22" s="10" t="s">
        <v>23</v>
      </c>
      <c r="B22" s="7">
        <f>(Deviation_sequence!$B$233 + 0.5 *Deviation_sequence!$B$232) / (Deviation_sequence!B22 + 0.5 * Deviation_sequence!$B$232)</f>
        <v>0.5353052818</v>
      </c>
      <c r="C22" s="7">
        <f>(Deviation_sequence!$B$233 + 0.5 *Deviation_sequence!$B$232) / (Deviation_sequence!C22 + 0.5 * Deviation_sequence!$B$232)</f>
        <v>0.593242758</v>
      </c>
      <c r="D22" s="7">
        <f>(Deviation_sequence!$B$233 + 0.5 *Deviation_sequence!$B$232) / (Deviation_sequence!D22 + 0.5 * Deviation_sequence!$B$232)</f>
        <v>0.6250772793</v>
      </c>
      <c r="E22" s="7">
        <f>(Deviation_sequence!$B$233 + 0.5 *Deviation_sequence!$B$232) / (Deviation_sequence!E22 + 0.5 * Deviation_sequence!$B$232)</f>
        <v>0.7514779731</v>
      </c>
      <c r="F22" s="7">
        <f>(Deviation_sequence!$B$233 + 0.5 *Deviation_sequence!$B$232) / (Deviation_sequence!F22 + 0.5 * Deviation_sequence!$B$232)</f>
        <v>0.8912505874</v>
      </c>
      <c r="G22" s="7">
        <f>(Deviation_sequence!$B$233 + 0.5 *Deviation_sequence!$B$232) / (Deviation_sequence!G22 + 0.5 * Deviation_sequence!$B$232)</f>
        <v>0.7950129543</v>
      </c>
      <c r="H22" s="7">
        <f>(Deviation_sequence!$B$233 + 0.5 *Deviation_sequence!$B$232) / (Deviation_sequence!H22 + 0.5 * Deviation_sequence!$B$232)</f>
        <v>0.9678062664</v>
      </c>
      <c r="I22" s="7">
        <f>(Deviation_sequence!$B$233 + 0.5 *Deviation_sequence!$B$232) / (Deviation_sequence!I22 + 0.5 * Deviation_sequence!$B$232)</f>
        <v>0.9783521977</v>
      </c>
      <c r="J22" s="7">
        <f>(Deviation_sequence!$B$233 + 0.5 *Deviation_sequence!$B$232) / (Deviation_sequence!J22 + 0.5 * Deviation_sequence!$B$232)</f>
        <v>0.939456646</v>
      </c>
      <c r="K22" s="7">
        <f>(Deviation_sequence!$B$233 + 0.5 *Deviation_sequence!$B$232) / (Deviation_sequence!K22 + 0.5 * Deviation_sequence!$B$232)</f>
        <v>0.8408121666</v>
      </c>
      <c r="L22" s="7">
        <f>(Deviation_sequence!$B$233 + 0.5 *Deviation_sequence!$B$232) / (Deviation_sequence!L22 + 0.5 * Deviation_sequence!$B$232)</f>
        <v>0.865359931</v>
      </c>
      <c r="M22" s="7">
        <f>(Deviation_sequence!$B$233 + 0.5 *Deviation_sequence!$B$232) / (Deviation_sequence!M22 + 0.5 * Deviation_sequence!$B$232)</f>
        <v>0.3450268475</v>
      </c>
      <c r="O22" s="7">
        <f t="shared" si="1"/>
        <v>0.7606817407</v>
      </c>
    </row>
    <row r="23">
      <c r="A23" s="10" t="s">
        <v>24</v>
      </c>
      <c r="B23" s="7">
        <f>(Deviation_sequence!$B$233 + 0.5 *Deviation_sequence!$B$232) / (Deviation_sequence!B23 + 0.5 * Deviation_sequence!$B$232)</f>
        <v>0.6961580372</v>
      </c>
      <c r="C23" s="7">
        <f>(Deviation_sequence!$B$233 + 0.5 *Deviation_sequence!$B$232) / (Deviation_sequence!C23 + 0.5 * Deviation_sequence!$B$232)</f>
        <v>0.7662359553</v>
      </c>
      <c r="D23" s="7">
        <f>(Deviation_sequence!$B$233 + 0.5 *Deviation_sequence!$B$232) / (Deviation_sequence!D23 + 0.5 * Deviation_sequence!$B$232)</f>
        <v>0.7541632632</v>
      </c>
      <c r="E23" s="7">
        <f>(Deviation_sequence!$B$233 + 0.5 *Deviation_sequence!$B$232) / (Deviation_sequence!E23 + 0.5 * Deviation_sequence!$B$232)</f>
        <v>0.952085343</v>
      </c>
      <c r="F23" s="7">
        <f>(Deviation_sequence!$B$233 + 0.5 *Deviation_sequence!$B$232) / (Deviation_sequence!F23 + 0.5 * Deviation_sequence!$B$232)</f>
        <v>0.9812122567</v>
      </c>
      <c r="G23" s="7">
        <f>(Deviation_sequence!$B$233 + 0.5 *Deviation_sequence!$B$232) / (Deviation_sequence!G23 + 0.5 * Deviation_sequence!$B$232)</f>
        <v>0.8488732756</v>
      </c>
      <c r="H23" s="7">
        <f>(Deviation_sequence!$B$233 + 0.5 *Deviation_sequence!$B$232) / (Deviation_sequence!H23 + 0.5 * Deviation_sequence!$B$232)</f>
        <v>0.9229650332</v>
      </c>
      <c r="I23" s="7">
        <f>(Deviation_sequence!$B$233 + 0.5 *Deviation_sequence!$B$232) / (Deviation_sequence!I23 + 0.5 * Deviation_sequence!$B$232)</f>
        <v>0.8951284746</v>
      </c>
      <c r="J23" s="7">
        <f>(Deviation_sequence!$B$233 + 0.5 *Deviation_sequence!$B$232) / (Deviation_sequence!J23 + 0.5 * Deviation_sequence!$B$232)</f>
        <v>0.7647096491</v>
      </c>
      <c r="K23" s="7">
        <f>(Deviation_sequence!$B$233 + 0.5 *Deviation_sequence!$B$232) / (Deviation_sequence!K23 + 0.5 * Deviation_sequence!$B$232)</f>
        <v>0.8389298773</v>
      </c>
      <c r="L23" s="7">
        <f>(Deviation_sequence!$B$233 + 0.5 *Deviation_sequence!$B$232) / (Deviation_sequence!L23 + 0.5 * Deviation_sequence!$B$232)</f>
        <v>0.9224770772</v>
      </c>
      <c r="M23" s="7">
        <f>(Deviation_sequence!$B$233 + 0.5 *Deviation_sequence!$B$232) / (Deviation_sequence!M23 + 0.5 * Deviation_sequence!$B$232)</f>
        <v>0.9326013189</v>
      </c>
      <c r="O23" s="7">
        <f t="shared" si="1"/>
        <v>0.8562949634</v>
      </c>
    </row>
    <row r="24">
      <c r="A24" s="10" t="s">
        <v>25</v>
      </c>
      <c r="B24" s="7">
        <f>(Deviation_sequence!$B$233 + 0.5 *Deviation_sequence!$B$232) / (Deviation_sequence!B24 + 0.5 * Deviation_sequence!$B$232)</f>
        <v>0.6121734673</v>
      </c>
      <c r="C24" s="7">
        <f>(Deviation_sequence!$B$233 + 0.5 *Deviation_sequence!$B$232) / (Deviation_sequence!C24 + 0.5 * Deviation_sequence!$B$232)</f>
        <v>0.8029662531</v>
      </c>
      <c r="D24" s="7">
        <f>(Deviation_sequence!$B$233 + 0.5 *Deviation_sequence!$B$232) / (Deviation_sequence!D24 + 0.5 * Deviation_sequence!$B$232)</f>
        <v>0.8469068565</v>
      </c>
      <c r="E24" s="7">
        <f>(Deviation_sequence!$B$233 + 0.5 *Deviation_sequence!$B$232) / (Deviation_sequence!E24 + 0.5 * Deviation_sequence!$B$232)</f>
        <v>0.7462525191</v>
      </c>
      <c r="F24" s="7">
        <f>(Deviation_sequence!$B$233 + 0.5 *Deviation_sequence!$B$232) / (Deviation_sequence!F24 + 0.5 * Deviation_sequence!$B$232)</f>
        <v>0.4895901499</v>
      </c>
      <c r="G24" s="7">
        <f>(Deviation_sequence!$B$233 + 0.5 *Deviation_sequence!$B$232) / (Deviation_sequence!G24 + 0.5 * Deviation_sequence!$B$232)</f>
        <v>0.9232673908</v>
      </c>
      <c r="H24" s="7">
        <f>(Deviation_sequence!$B$233 + 0.5 *Deviation_sequence!$B$232) / (Deviation_sequence!H24 + 0.5 * Deviation_sequence!$B$232)</f>
        <v>0.8974630787</v>
      </c>
      <c r="I24" s="7">
        <f>(Deviation_sequence!$B$233 + 0.5 *Deviation_sequence!$B$232) / (Deviation_sequence!I24 + 0.5 * Deviation_sequence!$B$232)</f>
        <v>0.9156589002</v>
      </c>
      <c r="J24" s="7">
        <f>(Deviation_sequence!$B$233 + 0.5 *Deviation_sequence!$B$232) / (Deviation_sequence!J24 + 0.5 * Deviation_sequence!$B$232)</f>
        <v>0.9262782921</v>
      </c>
      <c r="K24" s="7">
        <f>(Deviation_sequence!$B$233 + 0.5 *Deviation_sequence!$B$232) / (Deviation_sequence!K24 + 0.5 * Deviation_sequence!$B$232)</f>
        <v>0.8532834436</v>
      </c>
      <c r="L24" s="7">
        <f>(Deviation_sequence!$B$233 + 0.5 *Deviation_sequence!$B$232) / (Deviation_sequence!L24 + 0.5 * Deviation_sequence!$B$232)</f>
        <v>0.9118840692</v>
      </c>
      <c r="M24" s="7">
        <f>(Deviation_sequence!$B$233 + 0.5 *Deviation_sequence!$B$232) / (Deviation_sequence!M24 + 0.5 * Deviation_sequence!$B$232)</f>
        <v>0.9322196987</v>
      </c>
      <c r="O24" s="7">
        <f t="shared" si="1"/>
        <v>0.8214953433</v>
      </c>
    </row>
    <row r="25">
      <c r="A25" s="10" t="s">
        <v>26</v>
      </c>
      <c r="B25" s="7">
        <f>(Deviation_sequence!$B$233 + 0.5 *Deviation_sequence!$B$232) / (Deviation_sequence!B25 + 0.5 * Deviation_sequence!$B$232)</f>
        <v>0.9871980164</v>
      </c>
      <c r="C25" s="7">
        <f>(Deviation_sequence!$B$233 + 0.5 *Deviation_sequence!$B$232) / (Deviation_sequence!C25 + 0.5 * Deviation_sequence!$B$232)</f>
        <v>0.9397753651</v>
      </c>
      <c r="D25" s="7">
        <f>(Deviation_sequence!$B$233 + 0.5 *Deviation_sequence!$B$232) / (Deviation_sequence!D25 + 0.5 * Deviation_sequence!$B$232)</f>
        <v>0.9333087307</v>
      </c>
      <c r="E25" s="7">
        <f>(Deviation_sequence!$B$233 + 0.5 *Deviation_sequence!$B$232) / (Deviation_sequence!E25 + 0.5 * Deviation_sequence!$B$232)</f>
        <v>0.3554094743</v>
      </c>
      <c r="F25" s="7">
        <f>(Deviation_sequence!$B$233 + 0.5 *Deviation_sequence!$B$232) / (Deviation_sequence!F25 + 0.5 * Deviation_sequence!$B$232)</f>
        <v>0.6968334997</v>
      </c>
      <c r="G25" s="7">
        <f>(Deviation_sequence!$B$233 + 0.5 *Deviation_sequence!$B$232) / (Deviation_sequence!G25 + 0.5 * Deviation_sequence!$B$232)</f>
        <v>0.8494805466</v>
      </c>
      <c r="H25" s="7">
        <f>(Deviation_sequence!$B$233 + 0.5 *Deviation_sequence!$B$232) / (Deviation_sequence!H25 + 0.5 * Deviation_sequence!$B$232)</f>
        <v>0.5266261736</v>
      </c>
      <c r="I25" s="7">
        <f>(Deviation_sequence!$B$233 + 0.5 *Deviation_sequence!$B$232) / (Deviation_sequence!I25 + 0.5 * Deviation_sequence!$B$232)</f>
        <v>0.4438011395</v>
      </c>
      <c r="J25" s="7">
        <f>(Deviation_sequence!$B$233 + 0.5 *Deviation_sequence!$B$232) / (Deviation_sequence!J25 + 0.5 * Deviation_sequence!$B$232)</f>
        <v>0.9362592153</v>
      </c>
      <c r="K25" s="7">
        <f>(Deviation_sequence!$B$233 + 0.5 *Deviation_sequence!$B$232) / (Deviation_sequence!K25 + 0.5 * Deviation_sequence!$B$232)</f>
        <v>0.9818885731</v>
      </c>
      <c r="L25" s="7">
        <f>(Deviation_sequence!$B$233 + 0.5 *Deviation_sequence!$B$232) / (Deviation_sequence!L25 + 0.5 * Deviation_sequence!$B$232)</f>
        <v>0.9752831149</v>
      </c>
      <c r="M25" s="7">
        <f>(Deviation_sequence!$B$233 + 0.5 *Deviation_sequence!$B$232) / (Deviation_sequence!M25 + 0.5 * Deviation_sequence!$B$232)</f>
        <v>0.7792239578</v>
      </c>
      <c r="O25" s="7">
        <f t="shared" si="1"/>
        <v>0.7837573172</v>
      </c>
    </row>
    <row r="26">
      <c r="A26" s="10" t="s">
        <v>27</v>
      </c>
      <c r="B26" s="7">
        <f>(Deviation_sequence!$B$233 + 0.5 *Deviation_sequence!$B$232) / (Deviation_sequence!B26 + 0.5 * Deviation_sequence!$B$232)</f>
        <v>0.4243845882</v>
      </c>
      <c r="C26" s="7">
        <f>(Deviation_sequence!$B$233 + 0.5 *Deviation_sequence!$B$232) / (Deviation_sequence!C26 + 0.5 * Deviation_sequence!$B$232)</f>
        <v>0.4471511857</v>
      </c>
      <c r="D26" s="7">
        <f>(Deviation_sequence!$B$233 + 0.5 *Deviation_sequence!$B$232) / (Deviation_sequence!D26 + 0.5 * Deviation_sequence!$B$232)</f>
        <v>0.4592138185</v>
      </c>
      <c r="E26" s="7">
        <f>(Deviation_sequence!$B$233 + 0.5 *Deviation_sequence!$B$232) / (Deviation_sequence!E26 + 0.5 * Deviation_sequence!$B$232)</f>
        <v>0.4967632042</v>
      </c>
      <c r="F26" s="7">
        <f>(Deviation_sequence!$B$233 + 0.5 *Deviation_sequence!$B$232) / (Deviation_sequence!F26 + 0.5 * Deviation_sequence!$B$232)</f>
        <v>0.5637742841</v>
      </c>
      <c r="G26" s="7">
        <f>(Deviation_sequence!$B$233 + 0.5 *Deviation_sequence!$B$232) / (Deviation_sequence!G26 + 0.5 * Deviation_sequence!$B$232)</f>
        <v>0.5337030809</v>
      </c>
      <c r="H26" s="7">
        <f>(Deviation_sequence!$B$233 + 0.5 *Deviation_sequence!$B$232) / (Deviation_sequence!H26 + 0.5 * Deviation_sequence!$B$232)</f>
        <v>0.5645630459</v>
      </c>
      <c r="I26" s="7">
        <f>(Deviation_sequence!$B$233 + 0.5 *Deviation_sequence!$B$232) / (Deviation_sequence!I26 + 0.5 * Deviation_sequence!$B$232)</f>
        <v>0.4311219193</v>
      </c>
      <c r="J26" s="7">
        <f>(Deviation_sequence!$B$233 + 0.5 *Deviation_sequence!$B$232) / (Deviation_sequence!J26 + 0.5 * Deviation_sequence!$B$232)</f>
        <v>0.4259878021</v>
      </c>
      <c r="K26" s="7">
        <f>(Deviation_sequence!$B$233 + 0.5 *Deviation_sequence!$B$232) / (Deviation_sequence!K26 + 0.5 * Deviation_sequence!$B$232)</f>
        <v>0.4465852175</v>
      </c>
      <c r="L26" s="7">
        <f>(Deviation_sequence!$B$233 + 0.5 *Deviation_sequence!$B$232) / (Deviation_sequence!L26 + 0.5 * Deviation_sequence!$B$232)</f>
        <v>0.503960742</v>
      </c>
      <c r="M26" s="7">
        <f>(Deviation_sequence!$B$233 + 0.5 *Deviation_sequence!$B$232) / (Deviation_sequence!M26 + 0.5 * Deviation_sequence!$B$232)</f>
        <v>0.5221215567</v>
      </c>
      <c r="O26" s="7">
        <f t="shared" si="1"/>
        <v>0.4849442038</v>
      </c>
    </row>
    <row r="27">
      <c r="A27" s="10" t="s">
        <v>28</v>
      </c>
      <c r="B27" s="7">
        <f>(Deviation_sequence!$B$233 + 0.5 *Deviation_sequence!$B$232) / (Deviation_sequence!B27 + 0.5 * Deviation_sequence!$B$232)</f>
        <v>0.6917036169</v>
      </c>
      <c r="C27" s="7">
        <f>(Deviation_sequence!$B$233 + 0.5 *Deviation_sequence!$B$232) / (Deviation_sequence!C27 + 0.5 * Deviation_sequence!$B$232)</f>
        <v>0.8157787021</v>
      </c>
      <c r="D27" s="7">
        <f>(Deviation_sequence!$B$233 + 0.5 *Deviation_sequence!$B$232) / (Deviation_sequence!D27 + 0.5 * Deviation_sequence!$B$232)</f>
        <v>0.6352742162</v>
      </c>
      <c r="E27" s="7">
        <f>(Deviation_sequence!$B$233 + 0.5 *Deviation_sequence!$B$232) / (Deviation_sequence!E27 + 0.5 * Deviation_sequence!$B$232)</f>
        <v>0.6472387822</v>
      </c>
      <c r="F27" s="7">
        <f>(Deviation_sequence!$B$233 + 0.5 *Deviation_sequence!$B$232) / (Deviation_sequence!F27 + 0.5 * Deviation_sequence!$B$232)</f>
        <v>0.7186717846</v>
      </c>
      <c r="G27" s="7">
        <f>(Deviation_sequence!$B$233 + 0.5 *Deviation_sequence!$B$232) / (Deviation_sequence!G27 + 0.5 * Deviation_sequence!$B$232)</f>
        <v>0.6710240594</v>
      </c>
      <c r="H27" s="7">
        <f>(Deviation_sequence!$B$233 + 0.5 *Deviation_sequence!$B$232) / (Deviation_sequence!H27 + 0.5 * Deviation_sequence!$B$232)</f>
        <v>0.6983979315</v>
      </c>
      <c r="I27" s="7">
        <f>(Deviation_sequence!$B$233 + 0.5 *Deviation_sequence!$B$232) / (Deviation_sequence!I27 + 0.5 * Deviation_sequence!$B$232)</f>
        <v>0.7342362706</v>
      </c>
      <c r="J27" s="7">
        <f>(Deviation_sequence!$B$233 + 0.5 *Deviation_sequence!$B$232) / (Deviation_sequence!J27 + 0.5 * Deviation_sequence!$B$232)</f>
        <v>0.7716229543</v>
      </c>
      <c r="K27" s="7">
        <f>(Deviation_sequence!$B$233 + 0.5 *Deviation_sequence!$B$232) / (Deviation_sequence!K27 + 0.5 * Deviation_sequence!$B$232)</f>
        <v>0.735418968</v>
      </c>
      <c r="L27" s="7">
        <f>(Deviation_sequence!$B$233 + 0.5 *Deviation_sequence!$B$232) / (Deviation_sequence!L27 + 0.5 * Deviation_sequence!$B$232)</f>
        <v>0.8405515078</v>
      </c>
      <c r="M27" s="7">
        <f>(Deviation_sequence!$B$233 + 0.5 *Deviation_sequence!$B$232) / (Deviation_sequence!M27 + 0.5 * Deviation_sequence!$B$232)</f>
        <v>0.4575195789</v>
      </c>
      <c r="O27" s="7">
        <f t="shared" si="1"/>
        <v>0.7014531977</v>
      </c>
    </row>
    <row r="28">
      <c r="A28" s="10" t="s">
        <v>29</v>
      </c>
      <c r="B28" s="7">
        <f>(Deviation_sequence!$B$233 + 0.5 *Deviation_sequence!$B$232) / (Deviation_sequence!B28 + 0.5 * Deviation_sequence!$B$232)</f>
        <v>0.7147253835</v>
      </c>
      <c r="C28" s="7">
        <f>(Deviation_sequence!$B$233 + 0.5 *Deviation_sequence!$B$232) / (Deviation_sequence!C28 + 0.5 * Deviation_sequence!$B$232)</f>
        <v>0.7576625935</v>
      </c>
      <c r="D28" s="7">
        <f>(Deviation_sequence!$B$233 + 0.5 *Deviation_sequence!$B$232) / (Deviation_sequence!D28 + 0.5 * Deviation_sequence!$B$232)</f>
        <v>0.7421101907</v>
      </c>
      <c r="E28" s="7">
        <f>(Deviation_sequence!$B$233 + 0.5 *Deviation_sequence!$B$232) / (Deviation_sequence!E28 + 0.5 * Deviation_sequence!$B$232)</f>
        <v>0.8664243206</v>
      </c>
      <c r="F28" s="7">
        <f>(Deviation_sequence!$B$233 + 0.5 *Deviation_sequence!$B$232) / (Deviation_sequence!F28 + 0.5 * Deviation_sequence!$B$232)</f>
        <v>0.9959733239</v>
      </c>
      <c r="G28" s="7">
        <f>(Deviation_sequence!$B$233 + 0.5 *Deviation_sequence!$B$232) / (Deviation_sequence!G28 + 0.5 * Deviation_sequence!$B$232)</f>
        <v>0.8566558571</v>
      </c>
      <c r="H28" s="7">
        <f>(Deviation_sequence!$B$233 + 0.5 *Deviation_sequence!$B$232) / (Deviation_sequence!H28 + 0.5 * Deviation_sequence!$B$232)</f>
        <v>0.8991975299</v>
      </c>
      <c r="I28" s="7">
        <f>(Deviation_sequence!$B$233 + 0.5 *Deviation_sequence!$B$232) / (Deviation_sequence!I28 + 0.5 * Deviation_sequence!$B$232)</f>
        <v>0.9933035121</v>
      </c>
      <c r="J28" s="7">
        <f>(Deviation_sequence!$B$233 + 0.5 *Deviation_sequence!$B$232) / (Deviation_sequence!J28 + 0.5 * Deviation_sequence!$B$232)</f>
        <v>0.9858859783</v>
      </c>
      <c r="K28" s="7">
        <f>(Deviation_sequence!$B$233 + 0.5 *Deviation_sequence!$B$232) / (Deviation_sequence!K28 + 0.5 * Deviation_sequence!$B$232)</f>
        <v>0.945922788</v>
      </c>
      <c r="L28" s="7">
        <f>(Deviation_sequence!$B$233 + 0.5 *Deviation_sequence!$B$232) / (Deviation_sequence!L28 + 0.5 * Deviation_sequence!$B$232)</f>
        <v>0.9895222479</v>
      </c>
      <c r="M28" s="7">
        <f>(Deviation_sequence!$B$233 + 0.5 *Deviation_sequence!$B$232) / (Deviation_sequence!M28 + 0.5 * Deviation_sequence!$B$232)</f>
        <v>0.9612683894</v>
      </c>
      <c r="O28" s="7">
        <f t="shared" si="1"/>
        <v>0.8923876762</v>
      </c>
    </row>
    <row r="29">
      <c r="A29" s="10" t="s">
        <v>30</v>
      </c>
      <c r="B29" s="7">
        <f>(Deviation_sequence!$B$233 + 0.5 *Deviation_sequence!$B$232) / (Deviation_sequence!B29 + 0.5 * Deviation_sequence!$B$232)</f>
        <v>0.7268150386</v>
      </c>
      <c r="C29" s="7">
        <f>(Deviation_sequence!$B$233 + 0.5 *Deviation_sequence!$B$232) / (Deviation_sequence!C29 + 0.5 * Deviation_sequence!$B$232)</f>
        <v>0.8121442796</v>
      </c>
      <c r="D29" s="7">
        <f>(Deviation_sequence!$B$233 + 0.5 *Deviation_sequence!$B$232) / (Deviation_sequence!D29 + 0.5 * Deviation_sequence!$B$232)</f>
        <v>0.9165634783</v>
      </c>
      <c r="E29" s="7">
        <f>(Deviation_sequence!$B$233 + 0.5 *Deviation_sequence!$B$232) / (Deviation_sequence!E29 + 0.5 * Deviation_sequence!$B$232)</f>
        <v>0.9281692475</v>
      </c>
      <c r="F29" s="7">
        <f>(Deviation_sequence!$B$233 + 0.5 *Deviation_sequence!$B$232) / (Deviation_sequence!F29 + 0.5 * Deviation_sequence!$B$232)</f>
        <v>0.9252590443</v>
      </c>
      <c r="G29" s="7">
        <f>(Deviation_sequence!$B$233 + 0.5 *Deviation_sequence!$B$232) / (Deviation_sequence!G29 + 0.5 * Deviation_sequence!$B$232)</f>
        <v>0.9527724597</v>
      </c>
      <c r="H29" s="7">
        <f>(Deviation_sequence!$B$233 + 0.5 *Deviation_sequence!$B$232) / (Deviation_sequence!H29 + 0.5 * Deviation_sequence!$B$232)</f>
        <v>0.9986585263</v>
      </c>
      <c r="I29" s="7">
        <f>(Deviation_sequence!$B$233 + 0.5 *Deviation_sequence!$B$232) / (Deviation_sequence!I29 + 0.5 * Deviation_sequence!$B$232)</f>
        <v>0.9783448919</v>
      </c>
      <c r="J29" s="7">
        <f>(Deviation_sequence!$B$233 + 0.5 *Deviation_sequence!$B$232) / (Deviation_sequence!J29 + 0.5 * Deviation_sequence!$B$232)</f>
        <v>0.9331490733</v>
      </c>
      <c r="K29" s="7">
        <f>(Deviation_sequence!$B$233 + 0.5 *Deviation_sequence!$B$232) / (Deviation_sequence!K29 + 0.5 * Deviation_sequence!$B$232)</f>
        <v>0.9835084375</v>
      </c>
      <c r="L29" s="7">
        <f>(Deviation_sequence!$B$233 + 0.5 *Deviation_sequence!$B$232) / (Deviation_sequence!L29 + 0.5 * Deviation_sequence!$B$232)</f>
        <v>0.7631955974</v>
      </c>
      <c r="M29" s="7">
        <f>(Deviation_sequence!$B$233 + 0.5 *Deviation_sequence!$B$232) / (Deviation_sequence!M29 + 0.5 * Deviation_sequence!$B$232)</f>
        <v>0.9893716974</v>
      </c>
      <c r="O29" s="7">
        <f t="shared" si="1"/>
        <v>0.908995981</v>
      </c>
    </row>
    <row r="30">
      <c r="A30" s="10" t="s">
        <v>31</v>
      </c>
      <c r="B30" s="7">
        <f>(Deviation_sequence!$B$233 + 0.5 *Deviation_sequence!$B$232) / (Deviation_sequence!B30 + 0.5 * Deviation_sequence!$B$232)</f>
        <v>0.3477199891</v>
      </c>
      <c r="C30" s="7">
        <f>(Deviation_sequence!$B$233 + 0.5 *Deviation_sequence!$B$232) / (Deviation_sequence!C30 + 0.5 * Deviation_sequence!$B$232)</f>
        <v>0.3495297732</v>
      </c>
      <c r="D30" s="7">
        <f>(Deviation_sequence!$B$233 + 0.5 *Deviation_sequence!$B$232) / (Deviation_sequence!D30 + 0.5 * Deviation_sequence!$B$232)</f>
        <v>0.3638500894</v>
      </c>
      <c r="E30" s="7">
        <f>(Deviation_sequence!$B$233 + 0.5 *Deviation_sequence!$B$232) / (Deviation_sequence!E30 + 0.5 * Deviation_sequence!$B$232)</f>
        <v>0.3445405515</v>
      </c>
      <c r="F30" s="7">
        <f>(Deviation_sequence!$B$233 + 0.5 *Deviation_sequence!$B$232) / (Deviation_sequence!F30 + 0.5 * Deviation_sequence!$B$232)</f>
        <v>0.3599886895</v>
      </c>
      <c r="G30" s="7">
        <f>(Deviation_sequence!$B$233 + 0.5 *Deviation_sequence!$B$232) / (Deviation_sequence!G30 + 0.5 * Deviation_sequence!$B$232)</f>
        <v>0.3428321606</v>
      </c>
      <c r="H30" s="7">
        <f>(Deviation_sequence!$B$233 + 0.5 *Deviation_sequence!$B$232) / (Deviation_sequence!H30 + 0.5 * Deviation_sequence!$B$232)</f>
        <v>0.5427922346</v>
      </c>
      <c r="I30" s="7">
        <f>(Deviation_sequence!$B$233 + 0.5 *Deviation_sequence!$B$232) / (Deviation_sequence!I30 + 0.5 * Deviation_sequence!$B$232)</f>
        <v>0.5516091</v>
      </c>
      <c r="J30" s="7">
        <f>(Deviation_sequence!$B$233 + 0.5 *Deviation_sequence!$B$232) / (Deviation_sequence!J30 + 0.5 * Deviation_sequence!$B$232)</f>
        <v>0.5110834911</v>
      </c>
      <c r="K30" s="7">
        <f>(Deviation_sequence!$B$233 + 0.5 *Deviation_sequence!$B$232) / (Deviation_sequence!K30 + 0.5 * Deviation_sequence!$B$232)</f>
        <v>0.5318816785</v>
      </c>
      <c r="L30" s="7">
        <f>(Deviation_sequence!$B$233 + 0.5 *Deviation_sequence!$B$232) / (Deviation_sequence!L30 + 0.5 * Deviation_sequence!$B$232)</f>
        <v>0.5816521725</v>
      </c>
      <c r="M30" s="7">
        <f>(Deviation_sequence!$B$233 + 0.5 *Deviation_sequence!$B$232) / (Deviation_sequence!M30 + 0.5 * Deviation_sequence!$B$232)</f>
        <v>0.5656647391</v>
      </c>
      <c r="O30" s="7">
        <f t="shared" si="1"/>
        <v>0.4494287224</v>
      </c>
    </row>
    <row r="31">
      <c r="N31" s="10" t="s">
        <v>114</v>
      </c>
      <c r="O31" s="7">
        <f>AVERAGE(O2:O30)</f>
        <v>0.7401443492</v>
      </c>
    </row>
    <row r="34">
      <c r="A34" s="9" t="s">
        <v>32</v>
      </c>
      <c r="B34" s="10" t="s">
        <v>33</v>
      </c>
      <c r="C34" s="10" t="s">
        <v>34</v>
      </c>
      <c r="D34" s="10" t="s">
        <v>35</v>
      </c>
      <c r="E34" s="10" t="s">
        <v>36</v>
      </c>
      <c r="F34" s="10" t="s">
        <v>37</v>
      </c>
      <c r="G34" s="10" t="s">
        <v>38</v>
      </c>
      <c r="H34" s="10" t="s">
        <v>39</v>
      </c>
      <c r="I34" s="10" t="s">
        <v>40</v>
      </c>
      <c r="J34" s="10" t="s">
        <v>41</v>
      </c>
      <c r="K34" s="10" t="s">
        <v>42</v>
      </c>
      <c r="L34" s="10" t="s">
        <v>43</v>
      </c>
      <c r="M34" s="10" t="s">
        <v>44</v>
      </c>
    </row>
    <row r="35">
      <c r="A35" s="10" t="s">
        <v>3</v>
      </c>
      <c r="B35" s="7">
        <f>(Deviation_sequence!$B$233 + 0.5 *Deviation_sequence!$B$232) / (Deviation_sequence!B35 + 0.5 * Deviation_sequence!$B$232)</f>
        <v>0.7772298906</v>
      </c>
      <c r="C35" s="7">
        <f>(Deviation_sequence!$B$233 + 0.5 *Deviation_sequence!$B$232) / (Deviation_sequence!C35 + 0.5 * Deviation_sequence!$B$232)</f>
        <v>0.8592513132</v>
      </c>
      <c r="D35" s="7">
        <f>(Deviation_sequence!$B$233 + 0.5 *Deviation_sequence!$B$232) / (Deviation_sequence!D35 + 0.5 * Deviation_sequence!$B$232)</f>
        <v>0.6877489467</v>
      </c>
      <c r="E35" s="7">
        <f>(Deviation_sequence!$B$233 + 0.5 *Deviation_sequence!$B$232) / (Deviation_sequence!E35 + 0.5 * Deviation_sequence!$B$232)</f>
        <v>0.6866460746</v>
      </c>
      <c r="F35" s="7">
        <f>(Deviation_sequence!$B$233 + 0.5 *Deviation_sequence!$B$232) / (Deviation_sequence!F35 + 0.5 * Deviation_sequence!$B$232)</f>
        <v>0.8445249387</v>
      </c>
      <c r="G35" s="7">
        <f>(Deviation_sequence!$B$233 + 0.5 *Deviation_sequence!$B$232) / (Deviation_sequence!G35 + 0.5 * Deviation_sequence!$B$232)</f>
        <v>0.6900310361</v>
      </c>
      <c r="H35" s="7">
        <f>(Deviation_sequence!$B$233 + 0.5 *Deviation_sequence!$B$232) / (Deviation_sequence!H35 + 0.5 * Deviation_sequence!$B$232)</f>
        <v>0.8276453067</v>
      </c>
      <c r="I35" s="7">
        <f>(Deviation_sequence!$B$233 + 0.5 *Deviation_sequence!$B$232) / (Deviation_sequence!I35 + 0.5 * Deviation_sequence!$B$232)</f>
        <v>0.8687493184</v>
      </c>
      <c r="J35" s="7">
        <f>(Deviation_sequence!$B$233 + 0.5 *Deviation_sequence!$B$232) / (Deviation_sequence!J35 + 0.5 * Deviation_sequence!$B$232)</f>
        <v>0.9484210238</v>
      </c>
      <c r="K35" s="7">
        <f>(Deviation_sequence!$B$233 + 0.5 *Deviation_sequence!$B$232) / (Deviation_sequence!K35 + 0.5 * Deviation_sequence!$B$232)</f>
        <v>0.7327572648</v>
      </c>
      <c r="L35" s="7">
        <f>(Deviation_sequence!$B$233 + 0.5 *Deviation_sequence!$B$232) / (Deviation_sequence!L35 + 0.5 * Deviation_sequence!$B$232)</f>
        <v>0.8885201293</v>
      </c>
      <c r="M35" s="7">
        <f>(Deviation_sequence!$B$233 + 0.5 *Deviation_sequence!$B$232) / (Deviation_sequence!M35 + 0.5 * Deviation_sequence!$B$232)</f>
        <v>0.8249798564</v>
      </c>
      <c r="O35" s="7">
        <f t="shared" ref="O35:O63" si="2">AVERAGE(B35:M35)</f>
        <v>0.8030420916</v>
      </c>
    </row>
    <row r="36">
      <c r="A36" s="10" t="s">
        <v>4</v>
      </c>
      <c r="B36" s="7">
        <f>(Deviation_sequence!$B$233 + 0.5 *Deviation_sequence!$B$232) / (Deviation_sequence!B36 + 0.5 * Deviation_sequence!$B$232)</f>
        <v>0.3500437188</v>
      </c>
      <c r="C36" s="7">
        <f>(Deviation_sequence!$B$233 + 0.5 *Deviation_sequence!$B$232) / (Deviation_sequence!C36 + 0.5 * Deviation_sequence!$B$232)</f>
        <v>0.5016635468</v>
      </c>
      <c r="D36" s="7">
        <f>(Deviation_sequence!$B$233 + 0.5 *Deviation_sequence!$B$232) / (Deviation_sequence!D36 + 0.5 * Deviation_sequence!$B$232)</f>
        <v>0.4973258173</v>
      </c>
      <c r="E36" s="7">
        <f>(Deviation_sequence!$B$233 + 0.5 *Deviation_sequence!$B$232) / (Deviation_sequence!E36 + 0.5 * Deviation_sequence!$B$232)</f>
        <v>0.4535049794</v>
      </c>
      <c r="F36" s="7">
        <f>(Deviation_sequence!$B$233 + 0.5 *Deviation_sequence!$B$232) / (Deviation_sequence!F36 + 0.5 * Deviation_sequence!$B$232)</f>
        <v>0.8661174417</v>
      </c>
      <c r="G36" s="7">
        <f>(Deviation_sequence!$B$233 + 0.5 *Deviation_sequence!$B$232) / (Deviation_sequence!G36 + 0.5 * Deviation_sequence!$B$232)</f>
        <v>0.4221307701</v>
      </c>
      <c r="H36" s="7">
        <f>(Deviation_sequence!$B$233 + 0.5 *Deviation_sequence!$B$232) / (Deviation_sequence!H36 + 0.5 * Deviation_sequence!$B$232)</f>
        <v>0.5537099101</v>
      </c>
      <c r="I36" s="7">
        <f>(Deviation_sequence!$B$233 + 0.5 *Deviation_sequence!$B$232) / (Deviation_sequence!I36 + 0.5 * Deviation_sequence!$B$232)</f>
        <v>0.4901901385</v>
      </c>
      <c r="J36" s="7">
        <f>(Deviation_sequence!$B$233 + 0.5 *Deviation_sequence!$B$232) / (Deviation_sequence!J36 + 0.5 * Deviation_sequence!$B$232)</f>
        <v>0.5516729913</v>
      </c>
      <c r="K36" s="7">
        <f>(Deviation_sequence!$B$233 + 0.5 *Deviation_sequence!$B$232) / (Deviation_sequence!K36 + 0.5 * Deviation_sequence!$B$232)</f>
        <v>0.5684371666</v>
      </c>
      <c r="L36" s="7">
        <f>(Deviation_sequence!$B$233 + 0.5 *Deviation_sequence!$B$232) / (Deviation_sequence!L36 + 0.5 * Deviation_sequence!$B$232)</f>
        <v>0.5446744035</v>
      </c>
      <c r="M36" s="7">
        <f>(Deviation_sequence!$B$233 + 0.5 *Deviation_sequence!$B$232) / (Deviation_sequence!M36 + 0.5 * Deviation_sequence!$B$232)</f>
        <v>0.5340242944</v>
      </c>
      <c r="O36" s="7">
        <f t="shared" si="2"/>
        <v>0.5277912649</v>
      </c>
    </row>
    <row r="37">
      <c r="A37" s="10" t="s">
        <v>5</v>
      </c>
      <c r="B37" s="7">
        <f>(Deviation_sequence!$B$233 + 0.5 *Deviation_sequence!$B$232) / (Deviation_sequence!B37 + 0.5 * Deviation_sequence!$B$232)</f>
        <v>0.9808424709</v>
      </c>
      <c r="C37" s="7">
        <f>(Deviation_sequence!$B$233 + 0.5 *Deviation_sequence!$B$232) / (Deviation_sequence!C37 + 0.5 * Deviation_sequence!$B$232)</f>
        <v>0.9974486134</v>
      </c>
      <c r="D37" s="7">
        <f>(Deviation_sequence!$B$233 + 0.5 *Deviation_sequence!$B$232) / (Deviation_sequence!D37 + 0.5 * Deviation_sequence!$B$232)</f>
        <v>0.9627307549</v>
      </c>
      <c r="E37" s="7">
        <f>(Deviation_sequence!$B$233 + 0.5 *Deviation_sequence!$B$232) / (Deviation_sequence!E37 + 0.5 * Deviation_sequence!$B$232)</f>
        <v>0.9847539435</v>
      </c>
      <c r="F37" s="7">
        <f>(Deviation_sequence!$B$233 + 0.5 *Deviation_sequence!$B$232) / (Deviation_sequence!F37 + 0.5 * Deviation_sequence!$B$232)</f>
        <v>0.9336117086</v>
      </c>
      <c r="G37" s="7">
        <f>(Deviation_sequence!$B$233 + 0.5 *Deviation_sequence!$B$232) / (Deviation_sequence!G37 + 0.5 * Deviation_sequence!$B$232)</f>
        <v>0.9010612121</v>
      </c>
      <c r="H37" s="7">
        <f>(Deviation_sequence!$B$233 + 0.5 *Deviation_sequence!$B$232) / (Deviation_sequence!H37 + 0.5 * Deviation_sequence!$B$232)</f>
        <v>0.9796073357</v>
      </c>
      <c r="I37" s="7">
        <f>(Deviation_sequence!$B$233 + 0.5 *Deviation_sequence!$B$232) / (Deviation_sequence!I37 + 0.5 * Deviation_sequence!$B$232)</f>
        <v>0.9775324785</v>
      </c>
      <c r="J37" s="7">
        <f>(Deviation_sequence!$B$233 + 0.5 *Deviation_sequence!$B$232) / (Deviation_sequence!J37 + 0.5 * Deviation_sequence!$B$232)</f>
        <v>0.9812737776</v>
      </c>
      <c r="K37" s="7">
        <f>(Deviation_sequence!$B$233 + 0.5 *Deviation_sequence!$B$232) / (Deviation_sequence!K37 + 0.5 * Deviation_sequence!$B$232)</f>
        <v>0.9451413897</v>
      </c>
      <c r="L37" s="7">
        <f>(Deviation_sequence!$B$233 + 0.5 *Deviation_sequence!$B$232) / (Deviation_sequence!L37 + 0.5 * Deviation_sequence!$B$232)</f>
        <v>0.9315203326</v>
      </c>
      <c r="M37" s="7">
        <f>(Deviation_sequence!$B$233 + 0.5 *Deviation_sequence!$B$232) / (Deviation_sequence!M37 + 0.5 * Deviation_sequence!$B$232)</f>
        <v>0.9892369762</v>
      </c>
      <c r="O37" s="7">
        <f t="shared" si="2"/>
        <v>0.9637300828</v>
      </c>
    </row>
    <row r="38">
      <c r="A38" s="10" t="s">
        <v>6</v>
      </c>
      <c r="B38" s="7">
        <f>(Deviation_sequence!$B$233 + 0.5 *Deviation_sequence!$B$232) / (Deviation_sequence!B38 + 0.5 * Deviation_sequence!$B$232)</f>
        <v>0.9869114591</v>
      </c>
      <c r="C38" s="7">
        <f>(Deviation_sequence!$B$233 + 0.5 *Deviation_sequence!$B$232) / (Deviation_sequence!C38 + 0.5 * Deviation_sequence!$B$232)</f>
        <v>0.9939473481</v>
      </c>
      <c r="D38" s="7">
        <f>(Deviation_sequence!$B$233 + 0.5 *Deviation_sequence!$B$232) / (Deviation_sequence!D38 + 0.5 * Deviation_sequence!$B$232)</f>
        <v>0.9513348281</v>
      </c>
      <c r="E38" s="7">
        <f>(Deviation_sequence!$B$233 + 0.5 *Deviation_sequence!$B$232) / (Deviation_sequence!E38 + 0.5 * Deviation_sequence!$B$232)</f>
        <v>0.9326974822</v>
      </c>
      <c r="F38" s="7">
        <f>(Deviation_sequence!$B$233 + 0.5 *Deviation_sequence!$B$232) / (Deviation_sequence!F38 + 0.5 * Deviation_sequence!$B$232)</f>
        <v>0.8759689906</v>
      </c>
      <c r="G38" s="7">
        <f>(Deviation_sequence!$B$233 + 0.5 *Deviation_sequence!$B$232) / (Deviation_sequence!G38 + 0.5 * Deviation_sequence!$B$232)</f>
        <v>0.9074108792</v>
      </c>
      <c r="H38" s="7">
        <f>(Deviation_sequence!$B$233 + 0.5 *Deviation_sequence!$B$232) / (Deviation_sequence!H38 + 0.5 * Deviation_sequence!$B$232)</f>
        <v>0.9694548209</v>
      </c>
      <c r="I38" s="7">
        <f>(Deviation_sequence!$B$233 + 0.5 *Deviation_sequence!$B$232) / (Deviation_sequence!I38 + 0.5 * Deviation_sequence!$B$232)</f>
        <v>0.9821619189</v>
      </c>
      <c r="J38" s="7">
        <f>(Deviation_sequence!$B$233 + 0.5 *Deviation_sequence!$B$232) / (Deviation_sequence!J38 + 0.5 * Deviation_sequence!$B$232)</f>
        <v>0.8767169241</v>
      </c>
      <c r="K38" s="7">
        <f>(Deviation_sequence!$B$233 + 0.5 *Deviation_sequence!$B$232) / (Deviation_sequence!K38 + 0.5 * Deviation_sequence!$B$232)</f>
        <v>0.9989680602</v>
      </c>
      <c r="L38" s="7">
        <f>(Deviation_sequence!$B$233 + 0.5 *Deviation_sequence!$B$232) / (Deviation_sequence!L38 + 0.5 * Deviation_sequence!$B$232)</f>
        <v>0.9368293394</v>
      </c>
      <c r="M38" s="7">
        <f>(Deviation_sequence!$B$233 + 0.5 *Deviation_sequence!$B$232) / (Deviation_sequence!M38 + 0.5 * Deviation_sequence!$B$232)</f>
        <v>0.9730398951</v>
      </c>
      <c r="O38" s="7">
        <f t="shared" si="2"/>
        <v>0.9487868288</v>
      </c>
    </row>
    <row r="39">
      <c r="A39" s="10" t="s">
        <v>7</v>
      </c>
      <c r="B39" s="7">
        <f>(Deviation_sequence!$B$233 + 0.5 *Deviation_sequence!$B$232) / (Deviation_sequence!B39 + 0.5 * Deviation_sequence!$B$232)</f>
        <v>0.7949061634</v>
      </c>
      <c r="C39" s="7">
        <f>(Deviation_sequence!$B$233 + 0.5 *Deviation_sequence!$B$232) / (Deviation_sequence!C39 + 0.5 * Deviation_sequence!$B$232)</f>
        <v>0.8128949329</v>
      </c>
      <c r="D39" s="7">
        <f>(Deviation_sequence!$B$233 + 0.5 *Deviation_sequence!$B$232) / (Deviation_sequence!D39 + 0.5 * Deviation_sequence!$B$232)</f>
        <v>0.7990158173</v>
      </c>
      <c r="E39" s="7">
        <f>(Deviation_sequence!$B$233 + 0.5 *Deviation_sequence!$B$232) / (Deviation_sequence!E39 + 0.5 * Deviation_sequence!$B$232)</f>
        <v>0.8880516895</v>
      </c>
      <c r="F39" s="7">
        <f>(Deviation_sequence!$B$233 + 0.5 *Deviation_sequence!$B$232) / (Deviation_sequence!F39 + 0.5 * Deviation_sequence!$B$232)</f>
        <v>0.8602249865</v>
      </c>
      <c r="G39" s="7">
        <f>(Deviation_sequence!$B$233 + 0.5 *Deviation_sequence!$B$232) / (Deviation_sequence!G39 + 0.5 * Deviation_sequence!$B$232)</f>
        <v>0.715657215</v>
      </c>
      <c r="H39" s="7">
        <f>(Deviation_sequence!$B$233 + 0.5 *Deviation_sequence!$B$232) / (Deviation_sequence!H39 + 0.5 * Deviation_sequence!$B$232)</f>
        <v>0.9670915623</v>
      </c>
      <c r="I39" s="7">
        <f>(Deviation_sequence!$B$233 + 0.5 *Deviation_sequence!$B$232) / (Deviation_sequence!I39 + 0.5 * Deviation_sequence!$B$232)</f>
        <v>0.912944011</v>
      </c>
      <c r="J39" s="7">
        <f>(Deviation_sequence!$B$233 + 0.5 *Deviation_sequence!$B$232) / (Deviation_sequence!J39 + 0.5 * Deviation_sequence!$B$232)</f>
        <v>0.9217167195</v>
      </c>
      <c r="K39" s="7">
        <f>(Deviation_sequence!$B$233 + 0.5 *Deviation_sequence!$B$232) / (Deviation_sequence!K39 + 0.5 * Deviation_sequence!$B$232)</f>
        <v>0.8663900328</v>
      </c>
      <c r="L39" s="7">
        <f>(Deviation_sequence!$B$233 + 0.5 *Deviation_sequence!$B$232) / (Deviation_sequence!L39 + 0.5 * Deviation_sequence!$B$232)</f>
        <v>0.9097713612</v>
      </c>
      <c r="M39" s="7">
        <f>(Deviation_sequence!$B$233 + 0.5 *Deviation_sequence!$B$232) / (Deviation_sequence!M39 + 0.5 * Deviation_sequence!$B$232)</f>
        <v>0.8631799864</v>
      </c>
      <c r="O39" s="7">
        <f t="shared" si="2"/>
        <v>0.8593203731</v>
      </c>
    </row>
    <row r="40">
      <c r="A40" s="10" t="s">
        <v>8</v>
      </c>
      <c r="B40" s="7">
        <f>(Deviation_sequence!$B$233 + 0.5 *Deviation_sequence!$B$232) / (Deviation_sequence!B40 + 0.5 * Deviation_sequence!$B$232)</f>
        <v>0.6141515228</v>
      </c>
      <c r="C40" s="7">
        <f>(Deviation_sequence!$B$233 + 0.5 *Deviation_sequence!$B$232) / (Deviation_sequence!C40 + 0.5 * Deviation_sequence!$B$232)</f>
        <v>0.5962337554</v>
      </c>
      <c r="D40" s="7">
        <f>(Deviation_sequence!$B$233 + 0.5 *Deviation_sequence!$B$232) / (Deviation_sequence!D40 + 0.5 * Deviation_sequence!$B$232)</f>
        <v>0.5425737803</v>
      </c>
      <c r="E40" s="7">
        <f>(Deviation_sequence!$B$233 + 0.5 *Deviation_sequence!$B$232) / (Deviation_sequence!E40 + 0.5 * Deviation_sequence!$B$232)</f>
        <v>0.5445371753</v>
      </c>
      <c r="F40" s="7">
        <f>(Deviation_sequence!$B$233 + 0.5 *Deviation_sequence!$B$232) / (Deviation_sequence!F40 + 0.5 * Deviation_sequence!$B$232)</f>
        <v>0.5118913856</v>
      </c>
      <c r="G40" s="7">
        <f>(Deviation_sequence!$B$233 + 0.5 *Deviation_sequence!$B$232) / (Deviation_sequence!G40 + 0.5 * Deviation_sequence!$B$232)</f>
        <v>0.5248544422</v>
      </c>
      <c r="H40" s="7">
        <f>(Deviation_sequence!$B$233 + 0.5 *Deviation_sequence!$B$232) / (Deviation_sequence!H40 + 0.5 * Deviation_sequence!$B$232)</f>
        <v>0.6076555053</v>
      </c>
      <c r="I40" s="7">
        <f>(Deviation_sequence!$B$233 + 0.5 *Deviation_sequence!$B$232) / (Deviation_sequence!I40 + 0.5 * Deviation_sequence!$B$232)</f>
        <v>0.5124371384</v>
      </c>
      <c r="J40" s="7">
        <f>(Deviation_sequence!$B$233 + 0.5 *Deviation_sequence!$B$232) / (Deviation_sequence!J40 + 0.5 * Deviation_sequence!$B$232)</f>
        <v>0.5462669018</v>
      </c>
      <c r="K40" s="7">
        <f>(Deviation_sequence!$B$233 + 0.5 *Deviation_sequence!$B$232) / (Deviation_sequence!K40 + 0.5 * Deviation_sequence!$B$232)</f>
        <v>0.730019299</v>
      </c>
      <c r="L40" s="7">
        <f>(Deviation_sequence!$B$233 + 0.5 *Deviation_sequence!$B$232) / (Deviation_sequence!L40 + 0.5 * Deviation_sequence!$B$232)</f>
        <v>0.8177477104</v>
      </c>
      <c r="M40" s="7">
        <f>(Deviation_sequence!$B$233 + 0.5 *Deviation_sequence!$B$232) / (Deviation_sequence!M40 + 0.5 * Deviation_sequence!$B$232)</f>
        <v>0.7088560138</v>
      </c>
      <c r="O40" s="7">
        <f t="shared" si="2"/>
        <v>0.6047687192</v>
      </c>
    </row>
    <row r="41">
      <c r="A41" s="10" t="s">
        <v>9</v>
      </c>
      <c r="B41" s="7">
        <f>(Deviation_sequence!$B$233 + 0.5 *Deviation_sequence!$B$232) / (Deviation_sequence!B41 + 0.5 * Deviation_sequence!$B$232)</f>
        <v>0.8022026332</v>
      </c>
      <c r="C41" s="7">
        <f>(Deviation_sequence!$B$233 + 0.5 *Deviation_sequence!$B$232) / (Deviation_sequence!C41 + 0.5 * Deviation_sequence!$B$232)</f>
        <v>0.6371131055</v>
      </c>
      <c r="D41" s="7">
        <f>(Deviation_sequence!$B$233 + 0.5 *Deviation_sequence!$B$232) / (Deviation_sequence!D41 + 0.5 * Deviation_sequence!$B$232)</f>
        <v>0.6945747274</v>
      </c>
      <c r="E41" s="7">
        <f>(Deviation_sequence!$B$233 + 0.5 *Deviation_sequence!$B$232) / (Deviation_sequence!E41 + 0.5 * Deviation_sequence!$B$232)</f>
        <v>0.9420063162</v>
      </c>
      <c r="F41" s="7">
        <f>(Deviation_sequence!$B$233 + 0.5 *Deviation_sequence!$B$232) / (Deviation_sequence!F41 + 0.5 * Deviation_sequence!$B$232)</f>
        <v>0.9765340486</v>
      </c>
      <c r="G41" s="7">
        <f>(Deviation_sequence!$B$233 + 0.5 *Deviation_sequence!$B$232) / (Deviation_sequence!G41 + 0.5 * Deviation_sequence!$B$232)</f>
        <v>0.9480132268</v>
      </c>
      <c r="H41" s="7">
        <f>(Deviation_sequence!$B$233 + 0.5 *Deviation_sequence!$B$232) / (Deviation_sequence!H41 + 0.5 * Deviation_sequence!$B$232)</f>
        <v>0.3417822972</v>
      </c>
      <c r="I41" s="7">
        <f>(Deviation_sequence!$B$233 + 0.5 *Deviation_sequence!$B$232) / (Deviation_sequence!I41 + 0.5 * Deviation_sequence!$B$232)</f>
        <v>0.3479625537</v>
      </c>
      <c r="J41" s="7">
        <f>(Deviation_sequence!$B$233 + 0.5 *Deviation_sequence!$B$232) / (Deviation_sequence!J41 + 0.5 * Deviation_sequence!$B$232)</f>
        <v>0.7323269641</v>
      </c>
      <c r="K41" s="7">
        <f>(Deviation_sequence!$B$233 + 0.5 *Deviation_sequence!$B$232) / (Deviation_sequence!K41 + 0.5 * Deviation_sequence!$B$232)</f>
        <v>0.7224214083</v>
      </c>
      <c r="L41" s="7">
        <f>(Deviation_sequence!$B$233 + 0.5 *Deviation_sequence!$B$232) / (Deviation_sequence!L41 + 0.5 * Deviation_sequence!$B$232)</f>
        <v>0.5952175011</v>
      </c>
      <c r="M41" s="7">
        <f>(Deviation_sequence!$B$233 + 0.5 *Deviation_sequence!$B$232) / (Deviation_sequence!M41 + 0.5 * Deviation_sequence!$B$232)</f>
        <v>0.9751786075</v>
      </c>
      <c r="O41" s="7">
        <f t="shared" si="2"/>
        <v>0.7262777825</v>
      </c>
    </row>
    <row r="42">
      <c r="A42" s="10" t="s">
        <v>10</v>
      </c>
      <c r="B42" s="7">
        <f>(Deviation_sequence!$B$233 + 0.5 *Deviation_sequence!$B$232) / (Deviation_sequence!B42 + 0.5 * Deviation_sequence!$B$232)</f>
        <v>0.3465020476</v>
      </c>
      <c r="C42" s="7">
        <f>(Deviation_sequence!$B$233 + 0.5 *Deviation_sequence!$B$232) / (Deviation_sequence!C42 + 0.5 * Deviation_sequence!$B$232)</f>
        <v>0.3527866629</v>
      </c>
      <c r="D42" s="7">
        <f>(Deviation_sequence!$B$233 + 0.5 *Deviation_sequence!$B$232) / (Deviation_sequence!D42 + 0.5 * Deviation_sequence!$B$232)</f>
        <v>0.3465095065</v>
      </c>
      <c r="E42" s="7">
        <f>(Deviation_sequence!$B$233 + 0.5 *Deviation_sequence!$B$232) / (Deviation_sequence!E42 + 0.5 * Deviation_sequence!$B$232)</f>
        <v>0.358943279</v>
      </c>
      <c r="F42" s="7">
        <f>(Deviation_sequence!$B$233 + 0.5 *Deviation_sequence!$B$232) / (Deviation_sequence!F42 + 0.5 * Deviation_sequence!$B$232)</f>
        <v>0.6728322522</v>
      </c>
      <c r="G42" s="7">
        <f>(Deviation_sequence!$B$233 + 0.5 *Deviation_sequence!$B$232) / (Deviation_sequence!G42 + 0.5 * Deviation_sequence!$B$232)</f>
        <v>0.7722259718</v>
      </c>
      <c r="H42" s="7">
        <f>(Deviation_sequence!$B$233 + 0.5 *Deviation_sequence!$B$232) / (Deviation_sequence!H42 + 0.5 * Deviation_sequence!$B$232)</f>
        <v>0.824326265</v>
      </c>
      <c r="I42" s="7">
        <f>(Deviation_sequence!$B$233 + 0.5 *Deviation_sequence!$B$232) / (Deviation_sequence!I42 + 0.5 * Deviation_sequence!$B$232)</f>
        <v>0.7152736157</v>
      </c>
      <c r="J42" s="7">
        <f>(Deviation_sequence!$B$233 + 0.5 *Deviation_sequence!$B$232) / (Deviation_sequence!J42 + 0.5 * Deviation_sequence!$B$232)</f>
        <v>0.5445268026</v>
      </c>
      <c r="K42" s="7">
        <f>(Deviation_sequence!$B$233 + 0.5 *Deviation_sequence!$B$232) / (Deviation_sequence!K42 + 0.5 * Deviation_sequence!$B$232)</f>
        <v>0.4928659573</v>
      </c>
      <c r="L42" s="7">
        <f>(Deviation_sequence!$B$233 + 0.5 *Deviation_sequence!$B$232) / (Deviation_sequence!L42 + 0.5 * Deviation_sequence!$B$232)</f>
        <v>0.6063346422</v>
      </c>
      <c r="M42" s="7">
        <f>(Deviation_sequence!$B$233 + 0.5 *Deviation_sequence!$B$232) / (Deviation_sequence!M42 + 0.5 * Deviation_sequence!$B$232)</f>
        <v>0.8823083628</v>
      </c>
      <c r="O42" s="7">
        <f t="shared" si="2"/>
        <v>0.5762862805</v>
      </c>
    </row>
    <row r="43">
      <c r="A43" s="10" t="s">
        <v>11</v>
      </c>
      <c r="B43" s="7">
        <f>(Deviation_sequence!$B$233 + 0.5 *Deviation_sequence!$B$232) / (Deviation_sequence!B43 + 0.5 * Deviation_sequence!$B$232)</f>
        <v>0.6624624328</v>
      </c>
      <c r="C43" s="7">
        <f>(Deviation_sequence!$B$233 + 0.5 *Deviation_sequence!$B$232) / (Deviation_sequence!C43 + 0.5 * Deviation_sequence!$B$232)</f>
        <v>0.6507543253</v>
      </c>
      <c r="D43" s="7">
        <f>(Deviation_sequence!$B$233 + 0.5 *Deviation_sequence!$B$232) / (Deviation_sequence!D43 + 0.5 * Deviation_sequence!$B$232)</f>
        <v>0.6667281046</v>
      </c>
      <c r="E43" s="7">
        <f>(Deviation_sequence!$B$233 + 0.5 *Deviation_sequence!$B$232) / (Deviation_sequence!E43 + 0.5 * Deviation_sequence!$B$232)</f>
        <v>0.6673850962</v>
      </c>
      <c r="F43" s="7">
        <f>(Deviation_sequence!$B$233 + 0.5 *Deviation_sequence!$B$232) / (Deviation_sequence!F43 + 0.5 * Deviation_sequence!$B$232)</f>
        <v>0.8616210132</v>
      </c>
      <c r="G43" s="7">
        <f>(Deviation_sequence!$B$233 + 0.5 *Deviation_sequence!$B$232) / (Deviation_sequence!G43 + 0.5 * Deviation_sequence!$B$232)</f>
        <v>0.9643707335</v>
      </c>
      <c r="H43" s="7">
        <f>(Deviation_sequence!$B$233 + 0.5 *Deviation_sequence!$B$232) / (Deviation_sequence!H43 + 0.5 * Deviation_sequence!$B$232)</f>
        <v>0.7312068125</v>
      </c>
      <c r="I43" s="7">
        <f>(Deviation_sequence!$B$233 + 0.5 *Deviation_sequence!$B$232) / (Deviation_sequence!I43 + 0.5 * Deviation_sequence!$B$232)</f>
        <v>0.7285191811</v>
      </c>
      <c r="J43" s="7">
        <f>(Deviation_sequence!$B$233 + 0.5 *Deviation_sequence!$B$232) / (Deviation_sequence!J43 + 0.5 * Deviation_sequence!$B$232)</f>
        <v>0.7139193303</v>
      </c>
      <c r="K43" s="7">
        <f>(Deviation_sequence!$B$233 + 0.5 *Deviation_sequence!$B$232) / (Deviation_sequence!K43 + 0.5 * Deviation_sequence!$B$232)</f>
        <v>0.6964540762</v>
      </c>
      <c r="L43" s="7">
        <f>(Deviation_sequence!$B$233 + 0.5 *Deviation_sequence!$B$232) / (Deviation_sequence!L43 + 0.5 * Deviation_sequence!$B$232)</f>
        <v>0.9514830145</v>
      </c>
      <c r="M43" s="7">
        <f>(Deviation_sequence!$B$233 + 0.5 *Deviation_sequence!$B$232) / (Deviation_sequence!M43 + 0.5 * Deviation_sequence!$B$232)</f>
        <v>0.9700659263</v>
      </c>
      <c r="O43" s="7">
        <f t="shared" si="2"/>
        <v>0.7720808372</v>
      </c>
    </row>
    <row r="44">
      <c r="A44" s="10" t="s">
        <v>12</v>
      </c>
      <c r="B44" s="7">
        <f>(Deviation_sequence!$B$233 + 0.5 *Deviation_sequence!$B$232) / (Deviation_sequence!B44 + 0.5 * Deviation_sequence!$B$232)</f>
        <v>0.3456393518</v>
      </c>
      <c r="C44" s="7">
        <f>(Deviation_sequence!$B$233 + 0.5 *Deviation_sequence!$B$232) / (Deviation_sequence!C44 + 0.5 * Deviation_sequence!$B$232)</f>
        <v>0.3428706381</v>
      </c>
      <c r="D44" s="7">
        <f>(Deviation_sequence!$B$233 + 0.5 *Deviation_sequence!$B$232) / (Deviation_sequence!D44 + 0.5 * Deviation_sequence!$B$232)</f>
        <v>0.361623226</v>
      </c>
      <c r="E44" s="7">
        <f>(Deviation_sequence!$B$233 + 0.5 *Deviation_sequence!$B$232) / (Deviation_sequence!E44 + 0.5 * Deviation_sequence!$B$232)</f>
        <v>0.3506395464</v>
      </c>
      <c r="F44" s="7">
        <f>(Deviation_sequence!$B$233 + 0.5 *Deviation_sequence!$B$232) / (Deviation_sequence!F44 + 0.5 * Deviation_sequence!$B$232)</f>
        <v>0.3466092323</v>
      </c>
      <c r="G44" s="7">
        <f>(Deviation_sequence!$B$233 + 0.5 *Deviation_sequence!$B$232) / (Deviation_sequence!G44 + 0.5 * Deviation_sequence!$B$232)</f>
        <v>0.3827386475</v>
      </c>
      <c r="H44" s="7">
        <f>(Deviation_sequence!$B$233 + 0.5 *Deviation_sequence!$B$232) / (Deviation_sequence!H44 + 0.5 * Deviation_sequence!$B$232)</f>
        <v>0.3879107182</v>
      </c>
      <c r="I44" s="7">
        <f>(Deviation_sequence!$B$233 + 0.5 *Deviation_sequence!$B$232) / (Deviation_sequence!I44 + 0.5 * Deviation_sequence!$B$232)</f>
        <v>0.3923659656</v>
      </c>
      <c r="J44" s="7">
        <f>(Deviation_sequence!$B$233 + 0.5 *Deviation_sequence!$B$232) / (Deviation_sequence!J44 + 0.5 * Deviation_sequence!$B$232)</f>
        <v>0.3684581983</v>
      </c>
      <c r="K44" s="7">
        <f>(Deviation_sequence!$B$233 + 0.5 *Deviation_sequence!$B$232) / (Deviation_sequence!K44 + 0.5 * Deviation_sequence!$B$232)</f>
        <v>0.3645103037</v>
      </c>
      <c r="L44" s="7">
        <f>(Deviation_sequence!$B$233 + 0.5 *Deviation_sequence!$B$232) / (Deviation_sequence!L44 + 0.5 * Deviation_sequence!$B$232)</f>
        <v>0.3936373577</v>
      </c>
      <c r="M44" s="7">
        <f>(Deviation_sequence!$B$233 + 0.5 *Deviation_sequence!$B$232) / (Deviation_sequence!M44 + 0.5 * Deviation_sequence!$B$232)</f>
        <v>0.4025740674</v>
      </c>
      <c r="O44" s="7">
        <f t="shared" si="2"/>
        <v>0.3699647711</v>
      </c>
    </row>
    <row r="45">
      <c r="A45" s="10" t="s">
        <v>13</v>
      </c>
      <c r="B45" s="7">
        <f>(Deviation_sequence!$B$233 + 0.5 *Deviation_sequence!$B$232) / (Deviation_sequence!B45 + 0.5 * Deviation_sequence!$B$232)</f>
        <v>0.767508527</v>
      </c>
      <c r="C45" s="7">
        <f>(Deviation_sequence!$B$233 + 0.5 *Deviation_sequence!$B$232) / (Deviation_sequence!C45 + 0.5 * Deviation_sequence!$B$232)</f>
        <v>0.7641044219</v>
      </c>
      <c r="D45" s="7">
        <f>(Deviation_sequence!$B$233 + 0.5 *Deviation_sequence!$B$232) / (Deviation_sequence!D45 + 0.5 * Deviation_sequence!$B$232)</f>
        <v>0.759415024</v>
      </c>
      <c r="E45" s="7">
        <f>(Deviation_sequence!$B$233 + 0.5 *Deviation_sequence!$B$232) / (Deviation_sequence!E45 + 0.5 * Deviation_sequence!$B$232)</f>
        <v>0.7964719437</v>
      </c>
      <c r="F45" s="7">
        <f>(Deviation_sequence!$B$233 + 0.5 *Deviation_sequence!$B$232) / (Deviation_sequence!F45 + 0.5 * Deviation_sequence!$B$232)</f>
        <v>0.9317641374</v>
      </c>
      <c r="G45" s="7">
        <f>(Deviation_sequence!$B$233 + 0.5 *Deviation_sequence!$B$232) / (Deviation_sequence!G45 + 0.5 * Deviation_sequence!$B$232)</f>
        <v>0.9850074647</v>
      </c>
      <c r="H45" s="7">
        <f>(Deviation_sequence!$B$233 + 0.5 *Deviation_sequence!$B$232) / (Deviation_sequence!H45 + 0.5 * Deviation_sequence!$B$232)</f>
        <v>0.7919025145</v>
      </c>
      <c r="I45" s="7">
        <f>(Deviation_sequence!$B$233 + 0.5 *Deviation_sequence!$B$232) / (Deviation_sequence!I45 + 0.5 * Deviation_sequence!$B$232)</f>
        <v>0.8059132595</v>
      </c>
      <c r="J45" s="7">
        <f>(Deviation_sequence!$B$233 + 0.5 *Deviation_sequence!$B$232) / (Deviation_sequence!J45 + 0.5 * Deviation_sequence!$B$232)</f>
        <v>0.7928028309</v>
      </c>
      <c r="K45" s="7">
        <f>(Deviation_sequence!$B$233 + 0.5 *Deviation_sequence!$B$232) / (Deviation_sequence!K45 + 0.5 * Deviation_sequence!$B$232)</f>
        <v>0.6006347682</v>
      </c>
      <c r="L45" s="7">
        <f>(Deviation_sequence!$B$233 + 0.5 *Deviation_sequence!$B$232) / (Deviation_sequence!L45 + 0.5 * Deviation_sequence!$B$232)</f>
        <v>0.6761565983</v>
      </c>
      <c r="M45" s="7">
        <f>(Deviation_sequence!$B$233 + 0.5 *Deviation_sequence!$B$232) / (Deviation_sequence!M45 + 0.5 * Deviation_sequence!$B$232)</f>
        <v>0.6769001882</v>
      </c>
      <c r="O45" s="7">
        <f t="shared" si="2"/>
        <v>0.7790484732</v>
      </c>
    </row>
    <row r="46">
      <c r="A46" s="10" t="s">
        <v>14</v>
      </c>
      <c r="B46" s="7">
        <f>(Deviation_sequence!$B$233 + 0.5 *Deviation_sequence!$B$232) / (Deviation_sequence!B46 + 0.5 * Deviation_sequence!$B$232)</f>
        <v>0.3810134815</v>
      </c>
      <c r="C46" s="7">
        <f>(Deviation_sequence!$B$233 + 0.5 *Deviation_sequence!$B$232) / (Deviation_sequence!C46 + 0.5 * Deviation_sequence!$B$232)</f>
        <v>0.4559594295</v>
      </c>
      <c r="D46" s="7">
        <f>(Deviation_sequence!$B$233 + 0.5 *Deviation_sequence!$B$232) / (Deviation_sequence!D46 + 0.5 * Deviation_sequence!$B$232)</f>
        <v>0.4430334293</v>
      </c>
      <c r="E46" s="7">
        <f>(Deviation_sequence!$B$233 + 0.5 *Deviation_sequence!$B$232) / (Deviation_sequence!E46 + 0.5 * Deviation_sequence!$B$232)</f>
        <v>0.4589652411</v>
      </c>
      <c r="F46" s="7">
        <f>(Deviation_sequence!$B$233 + 0.5 *Deviation_sequence!$B$232) / (Deviation_sequence!F46 + 0.5 * Deviation_sequence!$B$232)</f>
        <v>0.5315595655</v>
      </c>
      <c r="G46" s="7">
        <f>(Deviation_sequence!$B$233 + 0.5 *Deviation_sequence!$B$232) / (Deviation_sequence!G46 + 0.5 * Deviation_sequence!$B$232)</f>
        <v>0.4437407593</v>
      </c>
      <c r="H46" s="7">
        <f>(Deviation_sequence!$B$233 + 0.5 *Deviation_sequence!$B$232) / (Deviation_sequence!H46 + 0.5 * Deviation_sequence!$B$232)</f>
        <v>0.3504832566</v>
      </c>
      <c r="I46" s="7">
        <f>(Deviation_sequence!$B$233 + 0.5 *Deviation_sequence!$B$232) / (Deviation_sequence!I46 + 0.5 * Deviation_sequence!$B$232)</f>
        <v>0.5037741767</v>
      </c>
      <c r="J46" s="7">
        <f>(Deviation_sequence!$B$233 + 0.5 *Deviation_sequence!$B$232) / (Deviation_sequence!J46 + 0.5 * Deviation_sequence!$B$232)</f>
        <v>0.4838010149</v>
      </c>
      <c r="K46" s="7">
        <f>(Deviation_sequence!$B$233 + 0.5 *Deviation_sequence!$B$232) / (Deviation_sequence!K46 + 0.5 * Deviation_sequence!$B$232)</f>
        <v>0.4832628286</v>
      </c>
      <c r="L46" s="7">
        <f>(Deviation_sequence!$B$233 + 0.5 *Deviation_sequence!$B$232) / (Deviation_sequence!L46 + 0.5 * Deviation_sequence!$B$232)</f>
        <v>0.5449406915</v>
      </c>
      <c r="M46" s="7">
        <f>(Deviation_sequence!$B$233 + 0.5 *Deviation_sequence!$B$232) / (Deviation_sequence!M46 + 0.5 * Deviation_sequence!$B$232)</f>
        <v>0.5879870128</v>
      </c>
      <c r="O46" s="7">
        <f t="shared" si="2"/>
        <v>0.4723767406</v>
      </c>
    </row>
    <row r="47">
      <c r="A47" s="10" t="s">
        <v>15</v>
      </c>
      <c r="B47" s="7">
        <f>(Deviation_sequence!$B$233 + 0.5 *Deviation_sequence!$B$232) / (Deviation_sequence!B47 + 0.5 * Deviation_sequence!$B$232)</f>
        <v>0.6653503373</v>
      </c>
      <c r="C47" s="7">
        <f>(Deviation_sequence!$B$233 + 0.5 *Deviation_sequence!$B$232) / (Deviation_sequence!C47 + 0.5 * Deviation_sequence!$B$232)</f>
        <v>0.5373638555</v>
      </c>
      <c r="D47" s="7">
        <f>(Deviation_sequence!$B$233 + 0.5 *Deviation_sequence!$B$232) / (Deviation_sequence!D47 + 0.5 * Deviation_sequence!$B$232)</f>
        <v>0.5684369435</v>
      </c>
      <c r="E47" s="7">
        <f>(Deviation_sequence!$B$233 + 0.5 *Deviation_sequence!$B$232) / (Deviation_sequence!E47 + 0.5 * Deviation_sequence!$B$232)</f>
        <v>0.531102045</v>
      </c>
      <c r="F47" s="7">
        <f>(Deviation_sequence!$B$233 + 0.5 *Deviation_sequence!$B$232) / (Deviation_sequence!F47 + 0.5 * Deviation_sequence!$B$232)</f>
        <v>0.5094543214</v>
      </c>
      <c r="G47" s="7">
        <f>(Deviation_sequence!$B$233 + 0.5 *Deviation_sequence!$B$232) / (Deviation_sequence!G47 + 0.5 * Deviation_sequence!$B$232)</f>
        <v>0.4849556519</v>
      </c>
      <c r="H47" s="7">
        <f>(Deviation_sequence!$B$233 + 0.5 *Deviation_sequence!$B$232) / (Deviation_sequence!H47 + 0.5 * Deviation_sequence!$B$232)</f>
        <v>0.4874949771</v>
      </c>
      <c r="I47" s="7">
        <f>(Deviation_sequence!$B$233 + 0.5 *Deviation_sequence!$B$232) / (Deviation_sequence!I47 + 0.5 * Deviation_sequence!$B$232)</f>
        <v>0.4698697525</v>
      </c>
      <c r="J47" s="7">
        <f>(Deviation_sequence!$B$233 + 0.5 *Deviation_sequence!$B$232) / (Deviation_sequence!J47 + 0.5 * Deviation_sequence!$B$232)</f>
        <v>0.4186284369</v>
      </c>
      <c r="K47" s="7">
        <f>(Deviation_sequence!$B$233 + 0.5 *Deviation_sequence!$B$232) / (Deviation_sequence!K47 + 0.5 * Deviation_sequence!$B$232)</f>
        <v>0.4649754017</v>
      </c>
      <c r="L47" s="7">
        <f>(Deviation_sequence!$B$233 + 0.5 *Deviation_sequence!$B$232) / (Deviation_sequence!L47 + 0.5 * Deviation_sequence!$B$232)</f>
        <v>0.4733931201</v>
      </c>
      <c r="M47" s="7">
        <f>(Deviation_sequence!$B$233 + 0.5 *Deviation_sequence!$B$232) / (Deviation_sequence!M47 + 0.5 * Deviation_sequence!$B$232)</f>
        <v>0.4693649931</v>
      </c>
      <c r="O47" s="7">
        <f t="shared" si="2"/>
        <v>0.506699153</v>
      </c>
    </row>
    <row r="48">
      <c r="A48" s="10" t="s">
        <v>16</v>
      </c>
      <c r="B48" s="7">
        <f>(Deviation_sequence!$B$233 + 0.5 *Deviation_sequence!$B$232) / (Deviation_sequence!B48 + 0.5 * Deviation_sequence!$B$232)</f>
        <v>0.7671531701</v>
      </c>
      <c r="C48" s="7">
        <f>(Deviation_sequence!$B$233 + 0.5 *Deviation_sequence!$B$232) / (Deviation_sequence!C48 + 0.5 * Deviation_sequence!$B$232)</f>
        <v>0.7400213048</v>
      </c>
      <c r="D48" s="7">
        <f>(Deviation_sequence!$B$233 + 0.5 *Deviation_sequence!$B$232) / (Deviation_sequence!D48 + 0.5 * Deviation_sequence!$B$232)</f>
        <v>0.7684490967</v>
      </c>
      <c r="E48" s="7">
        <f>(Deviation_sequence!$B$233 + 0.5 *Deviation_sequence!$B$232) / (Deviation_sequence!E48 + 0.5 * Deviation_sequence!$B$232)</f>
        <v>0.7469435792</v>
      </c>
      <c r="F48" s="7">
        <f>(Deviation_sequence!$B$233 + 0.5 *Deviation_sequence!$B$232) / (Deviation_sequence!F48 + 0.5 * Deviation_sequence!$B$232)</f>
        <v>0.7862158622</v>
      </c>
      <c r="G48" s="7">
        <f>(Deviation_sequence!$B$233 + 0.5 *Deviation_sequence!$B$232) / (Deviation_sequence!G48 + 0.5 * Deviation_sequence!$B$232)</f>
        <v>0.7693234609</v>
      </c>
      <c r="H48" s="7">
        <f>(Deviation_sequence!$B$233 + 0.5 *Deviation_sequence!$B$232) / (Deviation_sequence!H48 + 0.5 * Deviation_sequence!$B$232)</f>
        <v>0.7600283927</v>
      </c>
      <c r="I48" s="7">
        <f>(Deviation_sequence!$B$233 + 0.5 *Deviation_sequence!$B$232) / (Deviation_sequence!I48 + 0.5 * Deviation_sequence!$B$232)</f>
        <v>0.7827733649</v>
      </c>
      <c r="J48" s="7">
        <f>(Deviation_sequence!$B$233 + 0.5 *Deviation_sequence!$B$232) / (Deviation_sequence!J48 + 0.5 * Deviation_sequence!$B$232)</f>
        <v>0.7810937174</v>
      </c>
      <c r="K48" s="7">
        <f>(Deviation_sequence!$B$233 + 0.5 *Deviation_sequence!$B$232) / (Deviation_sequence!K48 + 0.5 * Deviation_sequence!$B$232)</f>
        <v>0.7700504845</v>
      </c>
      <c r="L48" s="7">
        <f>(Deviation_sequence!$B$233 + 0.5 *Deviation_sequence!$B$232) / (Deviation_sequence!L48 + 0.5 * Deviation_sequence!$B$232)</f>
        <v>0.79877558</v>
      </c>
      <c r="M48" s="7">
        <f>(Deviation_sequence!$B$233 + 0.5 *Deviation_sequence!$B$232) / (Deviation_sequence!M48 + 0.5 * Deviation_sequence!$B$232)</f>
        <v>0.7775160053</v>
      </c>
      <c r="O48" s="7">
        <f t="shared" si="2"/>
        <v>0.7706953349</v>
      </c>
    </row>
    <row r="49">
      <c r="A49" s="10" t="s">
        <v>17</v>
      </c>
      <c r="B49" s="7">
        <f>(Deviation_sequence!$B$233 + 0.5 *Deviation_sequence!$B$232) / (Deviation_sequence!B49 + 0.5 * Deviation_sequence!$B$232)</f>
        <v>0.6385359185</v>
      </c>
      <c r="C49" s="7">
        <f>(Deviation_sequence!$B$233 + 0.5 *Deviation_sequence!$B$232) / (Deviation_sequence!C49 + 0.5 * Deviation_sequence!$B$232)</f>
        <v>0.6214215997</v>
      </c>
      <c r="D49" s="7">
        <f>(Deviation_sequence!$B$233 + 0.5 *Deviation_sequence!$B$232) / (Deviation_sequence!D49 + 0.5 * Deviation_sequence!$B$232)</f>
        <v>0.6263039822</v>
      </c>
      <c r="E49" s="7">
        <f>(Deviation_sequence!$B$233 + 0.5 *Deviation_sequence!$B$232) / (Deviation_sequence!E49 + 0.5 * Deviation_sequence!$B$232)</f>
        <v>0.6291823752</v>
      </c>
      <c r="F49" s="7">
        <f>(Deviation_sequence!$B$233 + 0.5 *Deviation_sequence!$B$232) / (Deviation_sequence!F49 + 0.5 * Deviation_sequence!$B$232)</f>
        <v>0.6303362559</v>
      </c>
      <c r="G49" s="7">
        <f>(Deviation_sequence!$B$233 + 0.5 *Deviation_sequence!$B$232) / (Deviation_sequence!G49 + 0.5 * Deviation_sequence!$B$232)</f>
        <v>0.5130700855</v>
      </c>
      <c r="H49" s="7">
        <f>(Deviation_sequence!$B$233 + 0.5 *Deviation_sequence!$B$232) / (Deviation_sequence!H49 + 0.5 * Deviation_sequence!$B$232)</f>
        <v>0.997760041</v>
      </c>
      <c r="I49" s="7">
        <f>(Deviation_sequence!$B$233 + 0.5 *Deviation_sequence!$B$232) / (Deviation_sequence!I49 + 0.5 * Deviation_sequence!$B$232)</f>
        <v>0.9670617972</v>
      </c>
      <c r="J49" s="7">
        <f>(Deviation_sequence!$B$233 + 0.5 *Deviation_sequence!$B$232) / (Deviation_sequence!J49 + 0.5 * Deviation_sequence!$B$232)</f>
        <v>0.9564828483</v>
      </c>
      <c r="K49" s="7">
        <f>(Deviation_sequence!$B$233 + 0.5 *Deviation_sequence!$B$232) / (Deviation_sequence!K49 + 0.5 * Deviation_sequence!$B$232)</f>
        <v>0.9532375322</v>
      </c>
      <c r="L49" s="7">
        <f>(Deviation_sequence!$B$233 + 0.5 *Deviation_sequence!$B$232) / (Deviation_sequence!L49 + 0.5 * Deviation_sequence!$B$232)</f>
        <v>0.611284765</v>
      </c>
      <c r="M49" s="7">
        <f>(Deviation_sequence!$B$233 + 0.5 *Deviation_sequence!$B$232) / (Deviation_sequence!M49 + 0.5 * Deviation_sequence!$B$232)</f>
        <v>0.6617060886</v>
      </c>
      <c r="O49" s="7">
        <f t="shared" si="2"/>
        <v>0.7338652741</v>
      </c>
    </row>
    <row r="50">
      <c r="A50" s="10" t="s">
        <v>18</v>
      </c>
      <c r="B50" s="7">
        <f>(Deviation_sequence!$B$233 + 0.5 *Deviation_sequence!$B$232) / (Deviation_sequence!B50 + 0.5 * Deviation_sequence!$B$232)</f>
        <v>0.7429260622</v>
      </c>
      <c r="C50" s="7">
        <f>(Deviation_sequence!$B$233 + 0.5 *Deviation_sequence!$B$232) / (Deviation_sequence!C50 + 0.5 * Deviation_sequence!$B$232)</f>
        <v>0.7886026407</v>
      </c>
      <c r="D50" s="7">
        <f>(Deviation_sequence!$B$233 + 0.5 *Deviation_sequence!$B$232) / (Deviation_sequence!D50 + 0.5 * Deviation_sequence!$B$232)</f>
        <v>0.8279867635</v>
      </c>
      <c r="E50" s="7">
        <f>(Deviation_sequence!$B$233 + 0.5 *Deviation_sequence!$B$232) / (Deviation_sequence!E50 + 0.5 * Deviation_sequence!$B$232)</f>
        <v>0.7609642842</v>
      </c>
      <c r="F50" s="7">
        <f>(Deviation_sequence!$B$233 + 0.5 *Deviation_sequence!$B$232) / (Deviation_sequence!F50 + 0.5 * Deviation_sequence!$B$232)</f>
        <v>0.8816314716</v>
      </c>
      <c r="G50" s="7">
        <f>(Deviation_sequence!$B$233 + 0.5 *Deviation_sequence!$B$232) / (Deviation_sequence!G50 + 0.5 * Deviation_sequence!$B$232)</f>
        <v>0.3333882737</v>
      </c>
      <c r="H50" s="7">
        <f>(Deviation_sequence!$B$233 + 0.5 *Deviation_sequence!$B$232) / (Deviation_sequence!H50 + 0.5 * Deviation_sequence!$B$232)</f>
        <v>0.712553851</v>
      </c>
      <c r="I50" s="7">
        <f>(Deviation_sequence!$B$233 + 0.5 *Deviation_sequence!$B$232) / (Deviation_sequence!I50 + 0.5 * Deviation_sequence!$B$232)</f>
        <v>0.8157923677</v>
      </c>
      <c r="J50" s="7">
        <f>(Deviation_sequence!$B$233 + 0.5 *Deviation_sequence!$B$232) / (Deviation_sequence!J50 + 0.5 * Deviation_sequence!$B$232)</f>
        <v>0.6943313296</v>
      </c>
      <c r="K50" s="7">
        <f>(Deviation_sequence!$B$233 + 0.5 *Deviation_sequence!$B$232) / (Deviation_sequence!K50 + 0.5 * Deviation_sequence!$B$232)</f>
        <v>0.6574562162</v>
      </c>
      <c r="L50" s="7">
        <f>(Deviation_sequence!$B$233 + 0.5 *Deviation_sequence!$B$232) / (Deviation_sequence!L50 + 0.5 * Deviation_sequence!$B$232)</f>
        <v>0.6791743169</v>
      </c>
      <c r="M50" s="7">
        <f>(Deviation_sequence!$B$233 + 0.5 *Deviation_sequence!$B$232) / (Deviation_sequence!M50 + 0.5 * Deviation_sequence!$B$232)</f>
        <v>0.7330486188</v>
      </c>
      <c r="O50" s="7">
        <f t="shared" si="2"/>
        <v>0.7189880163</v>
      </c>
    </row>
    <row r="51">
      <c r="A51" s="10" t="s">
        <v>19</v>
      </c>
      <c r="B51" s="7">
        <f>(Deviation_sequence!$B$233 + 0.5 *Deviation_sequence!$B$232) / (Deviation_sequence!B51 + 0.5 * Deviation_sequence!$B$232)</f>
        <v>0.6247854702</v>
      </c>
      <c r="C51" s="7">
        <f>(Deviation_sequence!$B$233 + 0.5 *Deviation_sequence!$B$232) / (Deviation_sequence!C51 + 0.5 * Deviation_sequence!$B$232)</f>
        <v>0.7316880785</v>
      </c>
      <c r="D51" s="7">
        <f>(Deviation_sequence!$B$233 + 0.5 *Deviation_sequence!$B$232) / (Deviation_sequence!D51 + 0.5 * Deviation_sequence!$B$232)</f>
        <v>0.6844972248</v>
      </c>
      <c r="E51" s="7">
        <f>(Deviation_sequence!$B$233 + 0.5 *Deviation_sequence!$B$232) / (Deviation_sequence!E51 + 0.5 * Deviation_sequence!$B$232)</f>
        <v>0.5763705244</v>
      </c>
      <c r="F51" s="7">
        <f>(Deviation_sequence!$B$233 + 0.5 *Deviation_sequence!$B$232) / (Deviation_sequence!F51 + 0.5 * Deviation_sequence!$B$232)</f>
        <v>0.5507462289</v>
      </c>
      <c r="G51" s="7">
        <f>(Deviation_sequence!$B$233 + 0.5 *Deviation_sequence!$B$232) / (Deviation_sequence!G51 + 0.5 * Deviation_sequence!$B$232)</f>
        <v>0.5090397396</v>
      </c>
      <c r="H51" s="7">
        <f>(Deviation_sequence!$B$233 + 0.5 *Deviation_sequence!$B$232) / (Deviation_sequence!H51 + 0.5 * Deviation_sequence!$B$232)</f>
        <v>0.5786119033</v>
      </c>
      <c r="I51" s="7">
        <f>(Deviation_sequence!$B$233 + 0.5 *Deviation_sequence!$B$232) / (Deviation_sequence!I51 + 0.5 * Deviation_sequence!$B$232)</f>
        <v>0.6382858111</v>
      </c>
      <c r="J51" s="7">
        <f>(Deviation_sequence!$B$233 + 0.5 *Deviation_sequence!$B$232) / (Deviation_sequence!J51 + 0.5 * Deviation_sequence!$B$232)</f>
        <v>0.8125762274</v>
      </c>
      <c r="K51" s="7">
        <f>(Deviation_sequence!$B$233 + 0.5 *Deviation_sequence!$B$232) / (Deviation_sequence!K51 + 0.5 * Deviation_sequence!$B$232)</f>
        <v>0.7735883451</v>
      </c>
      <c r="L51" s="7">
        <f>(Deviation_sequence!$B$233 + 0.5 *Deviation_sequence!$B$232) / (Deviation_sequence!L51 + 0.5 * Deviation_sequence!$B$232)</f>
        <v>0.757445856</v>
      </c>
      <c r="M51" s="7">
        <f>(Deviation_sequence!$B$233 + 0.5 *Deviation_sequence!$B$232) / (Deviation_sequence!M51 + 0.5 * Deviation_sequence!$B$232)</f>
        <v>0.845043406</v>
      </c>
      <c r="O51" s="7">
        <f t="shared" si="2"/>
        <v>0.6735565679</v>
      </c>
    </row>
    <row r="52">
      <c r="A52" s="10" t="s">
        <v>20</v>
      </c>
      <c r="B52" s="7">
        <f>(Deviation_sequence!$B$233 + 0.5 *Deviation_sequence!$B$232) / (Deviation_sequence!B52 + 0.5 * Deviation_sequence!$B$232)</f>
        <v>0.5757557589</v>
      </c>
      <c r="C52" s="7">
        <f>(Deviation_sequence!$B$233 + 0.5 *Deviation_sequence!$B$232) / (Deviation_sequence!C52 + 0.5 * Deviation_sequence!$B$232)</f>
        <v>0.609495537</v>
      </c>
      <c r="D52" s="7">
        <f>(Deviation_sequence!$B$233 + 0.5 *Deviation_sequence!$B$232) / (Deviation_sequence!D52 + 0.5 * Deviation_sequence!$B$232)</f>
        <v>0.6773980985</v>
      </c>
      <c r="E52" s="7">
        <f>(Deviation_sequence!$B$233 + 0.5 *Deviation_sequence!$B$232) / (Deviation_sequence!E52 + 0.5 * Deviation_sequence!$B$232)</f>
        <v>0.6875001876</v>
      </c>
      <c r="F52" s="7">
        <f>(Deviation_sequence!$B$233 + 0.5 *Deviation_sequence!$B$232) / (Deviation_sequence!F52 + 0.5 * Deviation_sequence!$B$232)</f>
        <v>0.5683744702</v>
      </c>
      <c r="G52" s="7">
        <f>(Deviation_sequence!$B$233 + 0.5 *Deviation_sequence!$B$232) / (Deviation_sequence!G52 + 0.5 * Deviation_sequence!$B$232)</f>
        <v>0.8632139706</v>
      </c>
      <c r="H52" s="7">
        <f>(Deviation_sequence!$B$233 + 0.5 *Deviation_sequence!$B$232) / (Deviation_sequence!H52 + 0.5 * Deviation_sequence!$B$232)</f>
        <v>0.6796516071</v>
      </c>
      <c r="I52" s="7">
        <f>(Deviation_sequence!$B$233 + 0.5 *Deviation_sequence!$B$232) / (Deviation_sequence!I52 + 0.5 * Deviation_sequence!$B$232)</f>
        <v>0.5501817965</v>
      </c>
      <c r="J52" s="7">
        <f>(Deviation_sequence!$B$233 + 0.5 *Deviation_sequence!$B$232) / (Deviation_sequence!J52 + 0.5 * Deviation_sequence!$B$232)</f>
        <v>0.5963535497</v>
      </c>
      <c r="K52" s="7">
        <f>(Deviation_sequence!$B$233 + 0.5 *Deviation_sequence!$B$232) / (Deviation_sequence!K52 + 0.5 * Deviation_sequence!$B$232)</f>
        <v>0.6398750471</v>
      </c>
      <c r="L52" s="7">
        <f>(Deviation_sequence!$B$233 + 0.5 *Deviation_sequence!$B$232) / (Deviation_sequence!L52 + 0.5 * Deviation_sequence!$B$232)</f>
        <v>0.7138089258</v>
      </c>
      <c r="M52" s="7">
        <f>(Deviation_sequence!$B$233 + 0.5 *Deviation_sequence!$B$232) / (Deviation_sequence!M52 + 0.5 * Deviation_sequence!$B$232)</f>
        <v>0.5207124739</v>
      </c>
      <c r="O52" s="7">
        <f t="shared" si="2"/>
        <v>0.6401934519</v>
      </c>
    </row>
    <row r="53">
      <c r="A53" s="10" t="s">
        <v>21</v>
      </c>
      <c r="B53" s="7">
        <f>(Deviation_sequence!$B$233 + 0.5 *Deviation_sequence!$B$232) / (Deviation_sequence!B53 + 0.5 * Deviation_sequence!$B$232)</f>
        <v>0.5001051841</v>
      </c>
      <c r="C53" s="7">
        <f>(Deviation_sequence!$B$233 + 0.5 *Deviation_sequence!$B$232) / (Deviation_sequence!C53 + 0.5 * Deviation_sequence!$B$232)</f>
        <v>0.4983787728</v>
      </c>
      <c r="D53" s="7">
        <f>(Deviation_sequence!$B$233 + 0.5 *Deviation_sequence!$B$232) / (Deviation_sequence!D53 + 0.5 * Deviation_sequence!$B$232)</f>
        <v>0.5099417329</v>
      </c>
      <c r="E53" s="7">
        <f>(Deviation_sequence!$B$233 + 0.5 *Deviation_sequence!$B$232) / (Deviation_sequence!E53 + 0.5 * Deviation_sequence!$B$232)</f>
        <v>0.4855310161</v>
      </c>
      <c r="F53" s="7">
        <f>(Deviation_sequence!$B$233 + 0.5 *Deviation_sequence!$B$232) / (Deviation_sequence!F53 + 0.5 * Deviation_sequence!$B$232)</f>
        <v>0.4614806846</v>
      </c>
      <c r="G53" s="7">
        <f>(Deviation_sequence!$B$233 + 0.5 *Deviation_sequence!$B$232) / (Deviation_sequence!G53 + 0.5 * Deviation_sequence!$B$232)</f>
        <v>0.6116456704</v>
      </c>
      <c r="H53" s="7">
        <f>(Deviation_sequence!$B$233 + 0.5 *Deviation_sequence!$B$232) / (Deviation_sequence!H53 + 0.5 * Deviation_sequence!$B$232)</f>
        <v>0.5113640515</v>
      </c>
      <c r="I53" s="7">
        <f>(Deviation_sequence!$B$233 + 0.5 *Deviation_sequence!$B$232) / (Deviation_sequence!I53 + 0.5 * Deviation_sequence!$B$232)</f>
        <v>0.5561006748</v>
      </c>
      <c r="J53" s="7">
        <f>(Deviation_sequence!$B$233 + 0.5 *Deviation_sequence!$B$232) / (Deviation_sequence!J53 + 0.5 * Deviation_sequence!$B$232)</f>
        <v>0.9138732774</v>
      </c>
      <c r="K53" s="7">
        <f>(Deviation_sequence!$B$233 + 0.5 *Deviation_sequence!$B$232) / (Deviation_sequence!K53 + 0.5 * Deviation_sequence!$B$232)</f>
        <v>0.7121724414</v>
      </c>
      <c r="L53" s="7">
        <f>(Deviation_sequence!$B$233 + 0.5 *Deviation_sequence!$B$232) / (Deviation_sequence!L53 + 0.5 * Deviation_sequence!$B$232)</f>
        <v>0.704458943</v>
      </c>
      <c r="M53" s="7">
        <f>(Deviation_sequence!$B$233 + 0.5 *Deviation_sequence!$B$232) / (Deviation_sequence!M53 + 0.5 * Deviation_sequence!$B$232)</f>
        <v>0.6059253664</v>
      </c>
      <c r="O53" s="7">
        <f t="shared" si="2"/>
        <v>0.5892481513</v>
      </c>
    </row>
    <row r="54">
      <c r="A54" s="10" t="s">
        <v>22</v>
      </c>
      <c r="B54" s="7">
        <f>(Deviation_sequence!$B$233 + 0.5 *Deviation_sequence!$B$232) / (Deviation_sequence!B54 + 0.5 * Deviation_sequence!$B$232)</f>
        <v>0.8073806449</v>
      </c>
      <c r="C54" s="7">
        <f>(Deviation_sequence!$B$233 + 0.5 *Deviation_sequence!$B$232) / (Deviation_sequence!C54 + 0.5 * Deviation_sequence!$B$232)</f>
        <v>0.8789819055</v>
      </c>
      <c r="D54" s="7">
        <f>(Deviation_sequence!$B$233 + 0.5 *Deviation_sequence!$B$232) / (Deviation_sequence!D54 + 0.5 * Deviation_sequence!$B$232)</f>
        <v>0.8454224572</v>
      </c>
      <c r="E54" s="7">
        <f>(Deviation_sequence!$B$233 + 0.5 *Deviation_sequence!$B$232) / (Deviation_sequence!E54 + 0.5 * Deviation_sequence!$B$232)</f>
        <v>0.9033571349</v>
      </c>
      <c r="F54" s="7">
        <f>(Deviation_sequence!$B$233 + 0.5 *Deviation_sequence!$B$232) / (Deviation_sequence!F54 + 0.5 * Deviation_sequence!$B$232)</f>
        <v>0.9352620104</v>
      </c>
      <c r="G54" s="7">
        <f>(Deviation_sequence!$B$233 + 0.5 *Deviation_sequence!$B$232) / (Deviation_sequence!G54 + 0.5 * Deviation_sequence!$B$232)</f>
        <v>0.8068918724</v>
      </c>
      <c r="H54" s="7">
        <f>(Deviation_sequence!$B$233 + 0.5 *Deviation_sequence!$B$232) / (Deviation_sequence!H54 + 0.5 * Deviation_sequence!$B$232)</f>
        <v>0.8908882996</v>
      </c>
      <c r="I54" s="7">
        <f>(Deviation_sequence!$B$233 + 0.5 *Deviation_sequence!$B$232) / (Deviation_sequence!I54 + 0.5 * Deviation_sequence!$B$232)</f>
        <v>0.8691783579</v>
      </c>
      <c r="J54" s="7">
        <f>(Deviation_sequence!$B$233 + 0.5 *Deviation_sequence!$B$232) / (Deviation_sequence!J54 + 0.5 * Deviation_sequence!$B$232)</f>
        <v>0.9610936902</v>
      </c>
      <c r="K54" s="7">
        <f>(Deviation_sequence!$B$233 + 0.5 *Deviation_sequence!$B$232) / (Deviation_sequence!K54 + 0.5 * Deviation_sequence!$B$232)</f>
        <v>0.717633465</v>
      </c>
      <c r="L54" s="7">
        <f>(Deviation_sequence!$B$233 + 0.5 *Deviation_sequence!$B$232) / (Deviation_sequence!L54 + 0.5 * Deviation_sequence!$B$232)</f>
        <v>0.7771864114</v>
      </c>
      <c r="M54" s="7">
        <f>(Deviation_sequence!$B$233 + 0.5 *Deviation_sequence!$B$232) / (Deviation_sequence!M54 + 0.5 * Deviation_sequence!$B$232)</f>
        <v>0.8114090538</v>
      </c>
      <c r="O54" s="7">
        <f t="shared" si="2"/>
        <v>0.8503904419</v>
      </c>
    </row>
    <row r="55">
      <c r="A55" s="10" t="s">
        <v>23</v>
      </c>
      <c r="B55" s="7">
        <f>(Deviation_sequence!$B$233 + 0.5 *Deviation_sequence!$B$232) / (Deviation_sequence!B55 + 0.5 * Deviation_sequence!$B$232)</f>
        <v>0.6986198719</v>
      </c>
      <c r="C55" s="7">
        <f>(Deviation_sequence!$B$233 + 0.5 *Deviation_sequence!$B$232) / (Deviation_sequence!C55 + 0.5 * Deviation_sequence!$B$232)</f>
        <v>0.7302697486</v>
      </c>
      <c r="D55" s="7">
        <f>(Deviation_sequence!$B$233 + 0.5 *Deviation_sequence!$B$232) / (Deviation_sequence!D55 + 0.5 * Deviation_sequence!$B$232)</f>
        <v>0.7061900736</v>
      </c>
      <c r="E55" s="7">
        <f>(Deviation_sequence!$B$233 + 0.5 *Deviation_sequence!$B$232) / (Deviation_sequence!E55 + 0.5 * Deviation_sequence!$B$232)</f>
        <v>0.7258315954</v>
      </c>
      <c r="F55" s="7">
        <f>(Deviation_sequence!$B$233 + 0.5 *Deviation_sequence!$B$232) / (Deviation_sequence!F55 + 0.5 * Deviation_sequence!$B$232)</f>
        <v>0.7913522434</v>
      </c>
      <c r="G55" s="7">
        <f>(Deviation_sequence!$B$233 + 0.5 *Deviation_sequence!$B$232) / (Deviation_sequence!G55 + 0.5 * Deviation_sequence!$B$232)</f>
        <v>0.9500361969</v>
      </c>
      <c r="H55" s="7">
        <f>(Deviation_sequence!$B$233 + 0.5 *Deviation_sequence!$B$232) / (Deviation_sequence!H55 + 0.5 * Deviation_sequence!$B$232)</f>
        <v>0.9632395373</v>
      </c>
      <c r="I55" s="7">
        <f>(Deviation_sequence!$B$233 + 0.5 *Deviation_sequence!$B$232) / (Deviation_sequence!I55 + 0.5 * Deviation_sequence!$B$232)</f>
        <v>0.9783521977</v>
      </c>
      <c r="J55" s="7">
        <f>(Deviation_sequence!$B$233 + 0.5 *Deviation_sequence!$B$232) / (Deviation_sequence!J55 + 0.5 * Deviation_sequence!$B$232)</f>
        <v>0.7305012934</v>
      </c>
      <c r="K55" s="7">
        <f>(Deviation_sequence!$B$233 + 0.5 *Deviation_sequence!$B$232) / (Deviation_sequence!K55 + 0.5 * Deviation_sequence!$B$232)</f>
        <v>0.6734396841</v>
      </c>
      <c r="L55" s="7">
        <f>(Deviation_sequence!$B$233 + 0.5 *Deviation_sequence!$B$232) / (Deviation_sequence!L55 + 0.5 * Deviation_sequence!$B$232)</f>
        <v>0.7246649137</v>
      </c>
      <c r="M55" s="7">
        <f>(Deviation_sequence!$B$233 + 0.5 *Deviation_sequence!$B$232) / (Deviation_sequence!M55 + 0.5 * Deviation_sequence!$B$232)</f>
        <v>0.6923741099</v>
      </c>
      <c r="O55" s="7">
        <f t="shared" si="2"/>
        <v>0.7804059555</v>
      </c>
    </row>
    <row r="56">
      <c r="A56" s="10" t="s">
        <v>24</v>
      </c>
      <c r="B56" s="7">
        <f>(Deviation_sequence!$B$233 + 0.5 *Deviation_sequence!$B$232) / (Deviation_sequence!B56 + 0.5 * Deviation_sequence!$B$232)</f>
        <v>0.5868153699</v>
      </c>
      <c r="C56" s="7">
        <f>(Deviation_sequence!$B$233 + 0.5 *Deviation_sequence!$B$232) / (Deviation_sequence!C56 + 0.5 * Deviation_sequence!$B$232)</f>
        <v>0.6366554973</v>
      </c>
      <c r="D56" s="7">
        <f>(Deviation_sequence!$B$233 + 0.5 *Deviation_sequence!$B$232) / (Deviation_sequence!D56 + 0.5 * Deviation_sequence!$B$232)</f>
        <v>0.6145287745</v>
      </c>
      <c r="E56" s="7">
        <f>(Deviation_sequence!$B$233 + 0.5 *Deviation_sequence!$B$232) / (Deviation_sequence!E56 + 0.5 * Deviation_sequence!$B$232)</f>
        <v>0.4246069415</v>
      </c>
      <c r="F56" s="7">
        <f>(Deviation_sequence!$B$233 + 0.5 *Deviation_sequence!$B$232) / (Deviation_sequence!F56 + 0.5 * Deviation_sequence!$B$232)</f>
        <v>0.4820523501</v>
      </c>
      <c r="G56" s="7">
        <f>(Deviation_sequence!$B$233 + 0.5 *Deviation_sequence!$B$232) / (Deviation_sequence!G56 + 0.5 * Deviation_sequence!$B$232)</f>
        <v>0.5468748102</v>
      </c>
      <c r="H56" s="7">
        <f>(Deviation_sequence!$B$233 + 0.5 *Deviation_sequence!$B$232) / (Deviation_sequence!H56 + 0.5 * Deviation_sequence!$B$232)</f>
        <v>0.7252226263</v>
      </c>
      <c r="I56" s="7">
        <f>(Deviation_sequence!$B$233 + 0.5 *Deviation_sequence!$B$232) / (Deviation_sequence!I56 + 0.5 * Deviation_sequence!$B$232)</f>
        <v>0.5427912605</v>
      </c>
      <c r="J56" s="7">
        <f>(Deviation_sequence!$B$233 + 0.5 *Deviation_sequence!$B$232) / (Deviation_sequence!J56 + 0.5 * Deviation_sequence!$B$232)</f>
        <v>0.9035775486</v>
      </c>
      <c r="K56" s="7">
        <f>(Deviation_sequence!$B$233 + 0.5 *Deviation_sequence!$B$232) / (Deviation_sequence!K56 + 0.5 * Deviation_sequence!$B$232)</f>
        <v>0.7339504592</v>
      </c>
      <c r="L56" s="7">
        <f>(Deviation_sequence!$B$233 + 0.5 *Deviation_sequence!$B$232) / (Deviation_sequence!L56 + 0.5 * Deviation_sequence!$B$232)</f>
        <v>0.796835515</v>
      </c>
      <c r="M56" s="7">
        <f>(Deviation_sequence!$B$233 + 0.5 *Deviation_sequence!$B$232) / (Deviation_sequence!M56 + 0.5 * Deviation_sequence!$B$232)</f>
        <v>0.8686238382</v>
      </c>
      <c r="O56" s="7">
        <f t="shared" si="2"/>
        <v>0.6552112493</v>
      </c>
    </row>
    <row r="57">
      <c r="A57" s="10" t="s">
        <v>25</v>
      </c>
      <c r="B57" s="7">
        <f>(Deviation_sequence!$B$233 + 0.5 *Deviation_sequence!$B$232) / (Deviation_sequence!B57 + 0.5 * Deviation_sequence!$B$232)</f>
        <v>0.9729302749</v>
      </c>
      <c r="C57" s="7">
        <f>(Deviation_sequence!$B$233 + 0.5 *Deviation_sequence!$B$232) / (Deviation_sequence!C57 + 0.5 * Deviation_sequence!$B$232)</f>
        <v>0.6586766449</v>
      </c>
      <c r="D57" s="7">
        <f>(Deviation_sequence!$B$233 + 0.5 *Deviation_sequence!$B$232) / (Deviation_sequence!D57 + 0.5 * Deviation_sequence!$B$232)</f>
        <v>0.8172286056</v>
      </c>
      <c r="E57" s="7">
        <f>(Deviation_sequence!$B$233 + 0.5 *Deviation_sequence!$B$232) / (Deviation_sequence!E57 + 0.5 * Deviation_sequence!$B$232)</f>
        <v>0.7462525191</v>
      </c>
      <c r="F57" s="7">
        <f>(Deviation_sequence!$B$233 + 0.5 *Deviation_sequence!$B$232) / (Deviation_sequence!F57 + 0.5 * Deviation_sequence!$B$232)</f>
        <v>0.4895901499</v>
      </c>
      <c r="G57" s="7">
        <f>(Deviation_sequence!$B$233 + 0.5 *Deviation_sequence!$B$232) / (Deviation_sequence!G57 + 0.5 * Deviation_sequence!$B$232)</f>
        <v>0.9232673908</v>
      </c>
      <c r="H57" s="7">
        <f>(Deviation_sequence!$B$233 + 0.5 *Deviation_sequence!$B$232) / (Deviation_sequence!H57 + 0.5 * Deviation_sequence!$B$232)</f>
        <v>0.8974630787</v>
      </c>
      <c r="I57" s="7">
        <f>(Deviation_sequence!$B$233 + 0.5 *Deviation_sequence!$B$232) / (Deviation_sequence!I57 + 0.5 * Deviation_sequence!$B$232)</f>
        <v>0.8644295536</v>
      </c>
      <c r="J57" s="7">
        <f>(Deviation_sequence!$B$233 + 0.5 *Deviation_sequence!$B$232) / (Deviation_sequence!J57 + 0.5 * Deviation_sequence!$B$232)</f>
        <v>0.7796744863</v>
      </c>
      <c r="K57" s="7">
        <f>(Deviation_sequence!$B$233 + 0.5 *Deviation_sequence!$B$232) / (Deviation_sequence!K57 + 0.5 * Deviation_sequence!$B$232)</f>
        <v>0.8644911549</v>
      </c>
      <c r="L57" s="7">
        <f>(Deviation_sequence!$B$233 + 0.5 *Deviation_sequence!$B$232) / (Deviation_sequence!L57 + 0.5 * Deviation_sequence!$B$232)</f>
        <v>0.754064337</v>
      </c>
      <c r="M57" s="7">
        <f>(Deviation_sequence!$B$233 + 0.5 *Deviation_sequence!$B$232) / (Deviation_sequence!M57 + 0.5 * Deviation_sequence!$B$232)</f>
        <v>0.7994028575</v>
      </c>
      <c r="O57" s="7">
        <f t="shared" si="2"/>
        <v>0.7972892544</v>
      </c>
    </row>
    <row r="58">
      <c r="A58" s="10" t="s">
        <v>26</v>
      </c>
      <c r="B58" s="7">
        <f>(Deviation_sequence!$B$233 + 0.5 *Deviation_sequence!$B$232) / (Deviation_sequence!B58 + 0.5 * Deviation_sequence!$B$232)</f>
        <v>0.3443700483</v>
      </c>
      <c r="C58" s="7">
        <f>(Deviation_sequence!$B$233 + 0.5 *Deviation_sequence!$B$232) / (Deviation_sequence!C58 + 0.5 * Deviation_sequence!$B$232)</f>
        <v>0.9397753651</v>
      </c>
      <c r="D58" s="7">
        <f>(Deviation_sequence!$B$233 + 0.5 *Deviation_sequence!$B$232) / (Deviation_sequence!D58 + 0.5 * Deviation_sequence!$B$232)</f>
        <v>0.3917731524</v>
      </c>
      <c r="E58" s="7">
        <f>(Deviation_sequence!$B$233 + 0.5 *Deviation_sequence!$B$232) / (Deviation_sequence!E58 + 0.5 * Deviation_sequence!$B$232)</f>
        <v>0.9280312438</v>
      </c>
      <c r="F58" s="7">
        <f>(Deviation_sequence!$B$233 + 0.5 *Deviation_sequence!$B$232) / (Deviation_sequence!F58 + 0.5 * Deviation_sequence!$B$232)</f>
        <v>0.8824939258</v>
      </c>
      <c r="G58" s="7">
        <f>(Deviation_sequence!$B$233 + 0.5 *Deviation_sequence!$B$232) / (Deviation_sequence!G58 + 0.5 * Deviation_sequence!$B$232)</f>
        <v>0.3361674977</v>
      </c>
      <c r="H58" s="7">
        <f>(Deviation_sequence!$B$233 + 0.5 *Deviation_sequence!$B$232) / (Deviation_sequence!H58 + 0.5 * Deviation_sequence!$B$232)</f>
        <v>0.7913365874</v>
      </c>
      <c r="I58" s="7">
        <f>(Deviation_sequence!$B$233 + 0.5 *Deviation_sequence!$B$232) / (Deviation_sequence!I58 + 0.5 * Deviation_sequence!$B$232)</f>
        <v>0.860776549</v>
      </c>
      <c r="J58" s="7">
        <f>(Deviation_sequence!$B$233 + 0.5 *Deviation_sequence!$B$232) / (Deviation_sequence!J58 + 0.5 * Deviation_sequence!$B$232)</f>
        <v>0.9362592153</v>
      </c>
      <c r="K58" s="7">
        <f>(Deviation_sequence!$B$233 + 0.5 *Deviation_sequence!$B$232) / (Deviation_sequence!K58 + 0.5 * Deviation_sequence!$B$232)</f>
        <v>0.9818885731</v>
      </c>
      <c r="L58" s="7">
        <f>(Deviation_sequence!$B$233 + 0.5 *Deviation_sequence!$B$232) / (Deviation_sequence!L58 + 0.5 * Deviation_sequence!$B$232)</f>
        <v>0.9752831149</v>
      </c>
      <c r="M58" s="7">
        <f>(Deviation_sequence!$B$233 + 0.5 *Deviation_sequence!$B$232) / (Deviation_sequence!M58 + 0.5 * Deviation_sequence!$B$232)</f>
        <v>0.6548427126</v>
      </c>
      <c r="O58" s="7">
        <f t="shared" si="2"/>
        <v>0.7519164988</v>
      </c>
    </row>
    <row r="59">
      <c r="A59" s="10" t="s">
        <v>27</v>
      </c>
      <c r="B59" s="7">
        <f>(Deviation_sequence!$B$233 + 0.5 *Deviation_sequence!$B$232) / (Deviation_sequence!B59 + 0.5 * Deviation_sequence!$B$232)</f>
        <v>0.3446495287</v>
      </c>
      <c r="C59" s="7">
        <f>(Deviation_sequence!$B$233 + 0.5 *Deviation_sequence!$B$232) / (Deviation_sequence!C59 + 0.5 * Deviation_sequence!$B$232)</f>
        <v>0.465131126</v>
      </c>
      <c r="D59" s="7">
        <f>(Deviation_sequence!$B$233 + 0.5 *Deviation_sequence!$B$232) / (Deviation_sequence!D59 + 0.5 * Deviation_sequence!$B$232)</f>
        <v>0.3427832627</v>
      </c>
      <c r="E59" s="7">
        <f>(Deviation_sequence!$B$233 + 0.5 *Deviation_sequence!$B$232) / (Deviation_sequence!E59 + 0.5 * Deviation_sequence!$B$232)</f>
        <v>0.5804059305</v>
      </c>
      <c r="F59" s="7">
        <f>(Deviation_sequence!$B$233 + 0.5 *Deviation_sequence!$B$232) / (Deviation_sequence!F59 + 0.5 * Deviation_sequence!$B$232)</f>
        <v>0.6138892381</v>
      </c>
      <c r="G59" s="7">
        <f>(Deviation_sequence!$B$233 + 0.5 *Deviation_sequence!$B$232) / (Deviation_sequence!G59 + 0.5 * Deviation_sequence!$B$232)</f>
        <v>0.3436126739</v>
      </c>
      <c r="H59" s="7">
        <f>(Deviation_sequence!$B$233 + 0.5 *Deviation_sequence!$B$232) / (Deviation_sequence!H59 + 0.5 * Deviation_sequence!$B$232)</f>
        <v>0.6122476763</v>
      </c>
      <c r="I59" s="7">
        <f>(Deviation_sequence!$B$233 + 0.5 *Deviation_sequence!$B$232) / (Deviation_sequence!I59 + 0.5 * Deviation_sequence!$B$232)</f>
        <v>0.5739393546</v>
      </c>
      <c r="J59" s="7">
        <f>(Deviation_sequence!$B$233 + 0.5 *Deviation_sequence!$B$232) / (Deviation_sequence!J59 + 0.5 * Deviation_sequence!$B$232)</f>
        <v>0.5698726284</v>
      </c>
      <c r="K59" s="7">
        <f>(Deviation_sequence!$B$233 + 0.5 *Deviation_sequence!$B$232) / (Deviation_sequence!K59 + 0.5 * Deviation_sequence!$B$232)</f>
        <v>0.5848530151</v>
      </c>
      <c r="L59" s="7">
        <f>(Deviation_sequence!$B$233 + 0.5 *Deviation_sequence!$B$232) / (Deviation_sequence!L59 + 0.5 * Deviation_sequence!$B$232)</f>
        <v>0.3774889296</v>
      </c>
      <c r="M59" s="7">
        <f>(Deviation_sequence!$B$233 + 0.5 *Deviation_sequence!$B$232) / (Deviation_sequence!M59 + 0.5 * Deviation_sequence!$B$232)</f>
        <v>0.6089829026</v>
      </c>
      <c r="O59" s="7">
        <f t="shared" si="2"/>
        <v>0.5014880222</v>
      </c>
    </row>
    <row r="60">
      <c r="A60" s="10" t="s">
        <v>28</v>
      </c>
      <c r="B60" s="7">
        <f>(Deviation_sequence!$B$233 + 0.5 *Deviation_sequence!$B$232) / (Deviation_sequence!B60 + 0.5 * Deviation_sequence!$B$232)</f>
        <v>0.3479282338</v>
      </c>
      <c r="C60" s="7">
        <f>(Deviation_sequence!$B$233 + 0.5 *Deviation_sequence!$B$232) / (Deviation_sequence!C60 + 0.5 * Deviation_sequence!$B$232)</f>
        <v>0.348111611</v>
      </c>
      <c r="D60" s="7">
        <f>(Deviation_sequence!$B$233 + 0.5 *Deviation_sequence!$B$232) / (Deviation_sequence!D60 + 0.5 * Deviation_sequence!$B$232)</f>
        <v>0.341012308</v>
      </c>
      <c r="E60" s="7">
        <f>(Deviation_sequence!$B$233 + 0.5 *Deviation_sequence!$B$232) / (Deviation_sequence!E60 + 0.5 * Deviation_sequence!$B$232)</f>
        <v>0.4055262729</v>
      </c>
      <c r="F60" s="7">
        <f>(Deviation_sequence!$B$233 + 0.5 *Deviation_sequence!$B$232) / (Deviation_sequence!F60 + 0.5 * Deviation_sequence!$B$232)</f>
        <v>0.5695557642</v>
      </c>
      <c r="G60" s="7">
        <f>(Deviation_sequence!$B$233 + 0.5 *Deviation_sequence!$B$232) / (Deviation_sequence!G60 + 0.5 * Deviation_sequence!$B$232)</f>
        <v>0.4210984862</v>
      </c>
      <c r="H60" s="7">
        <f>(Deviation_sequence!$B$233 + 0.5 *Deviation_sequence!$B$232) / (Deviation_sequence!H60 + 0.5 * Deviation_sequence!$B$232)</f>
        <v>0.5838597645</v>
      </c>
      <c r="I60" s="7">
        <f>(Deviation_sequence!$B$233 + 0.5 *Deviation_sequence!$B$232) / (Deviation_sequence!I60 + 0.5 * Deviation_sequence!$B$232)</f>
        <v>0.6746610331</v>
      </c>
      <c r="J60" s="7">
        <f>(Deviation_sequence!$B$233 + 0.5 *Deviation_sequence!$B$232) / (Deviation_sequence!J60 + 0.5 * Deviation_sequence!$B$232)</f>
        <v>0.5145200707</v>
      </c>
      <c r="K60" s="7">
        <f>(Deviation_sequence!$B$233 + 0.5 *Deviation_sequence!$B$232) / (Deviation_sequence!K60 + 0.5 * Deviation_sequence!$B$232)</f>
        <v>0.6964782258</v>
      </c>
      <c r="L60" s="7">
        <f>(Deviation_sequence!$B$233 + 0.5 *Deviation_sequence!$B$232) / (Deviation_sequence!L60 + 0.5 * Deviation_sequence!$B$232)</f>
        <v>0.7078267424</v>
      </c>
      <c r="M60" s="7">
        <f>(Deviation_sequence!$B$233 + 0.5 *Deviation_sequence!$B$232) / (Deviation_sequence!M60 + 0.5 * Deviation_sequence!$B$232)</f>
        <v>0.8053998692</v>
      </c>
      <c r="O60" s="7">
        <f t="shared" si="2"/>
        <v>0.5346648651</v>
      </c>
    </row>
    <row r="61">
      <c r="A61" s="10" t="s">
        <v>29</v>
      </c>
      <c r="B61" s="7">
        <f>(Deviation_sequence!$B$233 + 0.5 *Deviation_sequence!$B$232) / (Deviation_sequence!B61 + 0.5 * Deviation_sequence!$B$232)</f>
        <v>0.6001635131</v>
      </c>
      <c r="C61" s="7">
        <f>(Deviation_sequence!$B$233 + 0.5 *Deviation_sequence!$B$232) / (Deviation_sequence!C61 + 0.5 * Deviation_sequence!$B$232)</f>
        <v>0.6729532141</v>
      </c>
      <c r="D61" s="7">
        <f>(Deviation_sequence!$B$233 + 0.5 *Deviation_sequence!$B$232) / (Deviation_sequence!D61 + 0.5 * Deviation_sequence!$B$232)</f>
        <v>0.6963228667</v>
      </c>
      <c r="E61" s="7">
        <f>(Deviation_sequence!$B$233 + 0.5 *Deviation_sequence!$B$232) / (Deviation_sequence!E61 + 0.5 * Deviation_sequence!$B$232)</f>
        <v>0.7829993592</v>
      </c>
      <c r="F61" s="7">
        <f>(Deviation_sequence!$B$233 + 0.5 *Deviation_sequence!$B$232) / (Deviation_sequence!F61 + 0.5 * Deviation_sequence!$B$232)</f>
        <v>0.5882041203</v>
      </c>
      <c r="G61" s="7">
        <f>(Deviation_sequence!$B$233 + 0.5 *Deviation_sequence!$B$232) / (Deviation_sequence!G61 + 0.5 * Deviation_sequence!$B$232)</f>
        <v>0.6048785567</v>
      </c>
      <c r="H61" s="7">
        <f>(Deviation_sequence!$B$233 + 0.5 *Deviation_sequence!$B$232) / (Deviation_sequence!H61 + 0.5 * Deviation_sequence!$B$232)</f>
        <v>0.6744098206</v>
      </c>
      <c r="I61" s="7">
        <f>(Deviation_sequence!$B$233 + 0.5 *Deviation_sequence!$B$232) / (Deviation_sequence!I61 + 0.5 * Deviation_sequence!$B$232)</f>
        <v>0.7551180405</v>
      </c>
      <c r="J61" s="7">
        <f>(Deviation_sequence!$B$233 + 0.5 *Deviation_sequence!$B$232) / (Deviation_sequence!J61 + 0.5 * Deviation_sequence!$B$232)</f>
        <v>0.9546707489</v>
      </c>
      <c r="K61" s="7">
        <f>(Deviation_sequence!$B$233 + 0.5 *Deviation_sequence!$B$232) / (Deviation_sequence!K61 + 0.5 * Deviation_sequence!$B$232)</f>
        <v>0.438975527</v>
      </c>
      <c r="L61" s="7">
        <f>(Deviation_sequence!$B$233 + 0.5 *Deviation_sequence!$B$232) / (Deviation_sequence!L61 + 0.5 * Deviation_sequence!$B$232)</f>
        <v>0.6768686988</v>
      </c>
      <c r="M61" s="7">
        <f>(Deviation_sequence!$B$233 + 0.5 *Deviation_sequence!$B$232) / (Deviation_sequence!M61 + 0.5 * Deviation_sequence!$B$232)</f>
        <v>0.6561854758</v>
      </c>
      <c r="O61" s="7">
        <f t="shared" si="2"/>
        <v>0.6751458285</v>
      </c>
    </row>
    <row r="62">
      <c r="A62" s="10" t="s">
        <v>30</v>
      </c>
      <c r="B62" s="7">
        <f>(Deviation_sequence!$B$233 + 0.5 *Deviation_sequence!$B$232) / (Deviation_sequence!B62 + 0.5 * Deviation_sequence!$B$232)</f>
        <v>0.9005342723</v>
      </c>
      <c r="C62" s="7">
        <f>(Deviation_sequence!$B$233 + 0.5 *Deviation_sequence!$B$232) / (Deviation_sequence!C62 + 0.5 * Deviation_sequence!$B$232)</f>
        <v>0.9420205953</v>
      </c>
      <c r="D62" s="7">
        <f>(Deviation_sequence!$B$233 + 0.5 *Deviation_sequence!$B$232) / (Deviation_sequence!D62 + 0.5 * Deviation_sequence!$B$232)</f>
        <v>0.8517591965</v>
      </c>
      <c r="E62" s="7">
        <f>(Deviation_sequence!$B$233 + 0.5 *Deviation_sequence!$B$232) / (Deviation_sequence!E62 + 0.5 * Deviation_sequence!$B$232)</f>
        <v>0.5610389372</v>
      </c>
      <c r="F62" s="7">
        <f>(Deviation_sequence!$B$233 + 0.5 *Deviation_sequence!$B$232) / (Deviation_sequence!F62 + 0.5 * Deviation_sequence!$B$232)</f>
        <v>0.9252590443</v>
      </c>
      <c r="G62" s="7">
        <f>(Deviation_sequence!$B$233 + 0.5 *Deviation_sequence!$B$232) / (Deviation_sequence!G62 + 0.5 * Deviation_sequence!$B$232)</f>
        <v>0.5405105148</v>
      </c>
      <c r="H62" s="7">
        <f>(Deviation_sequence!$B$233 + 0.5 *Deviation_sequence!$B$232) / (Deviation_sequence!H62 + 0.5 * Deviation_sequence!$B$232)</f>
        <v>0.4963860694</v>
      </c>
      <c r="I62" s="7">
        <f>(Deviation_sequence!$B$233 + 0.5 *Deviation_sequence!$B$232) / (Deviation_sequence!I62 + 0.5 * Deviation_sequence!$B$232)</f>
        <v>0.509149316</v>
      </c>
      <c r="J62" s="7">
        <f>(Deviation_sequence!$B$233 + 0.5 *Deviation_sequence!$B$232) / (Deviation_sequence!J62 + 0.5 * Deviation_sequence!$B$232)</f>
        <v>0.9291679259</v>
      </c>
      <c r="K62" s="7">
        <f>(Deviation_sequence!$B$233 + 0.5 *Deviation_sequence!$B$232) / (Deviation_sequence!K62 + 0.5 * Deviation_sequence!$B$232)</f>
        <v>0.3471831559</v>
      </c>
      <c r="L62" s="7">
        <f>(Deviation_sequence!$B$233 + 0.5 *Deviation_sequence!$B$232) / (Deviation_sequence!L62 + 0.5 * Deviation_sequence!$B$232)</f>
        <v>0.6723220945</v>
      </c>
      <c r="M62" s="7">
        <f>(Deviation_sequence!$B$233 + 0.5 *Deviation_sequence!$B$232) / (Deviation_sequence!M62 + 0.5 * Deviation_sequence!$B$232)</f>
        <v>0.9893716974</v>
      </c>
      <c r="O62" s="7">
        <f t="shared" si="2"/>
        <v>0.7220585683</v>
      </c>
    </row>
    <row r="63">
      <c r="A63" s="10" t="s">
        <v>31</v>
      </c>
      <c r="B63" s="7">
        <f>(Deviation_sequence!$B$233 + 0.5 *Deviation_sequence!$B$232) / (Deviation_sequence!B63 + 0.5 * Deviation_sequence!$B$232)</f>
        <v>0.5886616219</v>
      </c>
      <c r="C63" s="7">
        <f>(Deviation_sequence!$B$233 + 0.5 *Deviation_sequence!$B$232) / (Deviation_sequence!C63 + 0.5 * Deviation_sequence!$B$232)</f>
        <v>0.7688489397</v>
      </c>
      <c r="D63" s="7">
        <f>(Deviation_sequence!$B$233 + 0.5 *Deviation_sequence!$B$232) / (Deviation_sequence!D63 + 0.5 * Deviation_sequence!$B$232)</f>
        <v>0.6954271406</v>
      </c>
      <c r="E63" s="7">
        <f>(Deviation_sequence!$B$233 + 0.5 *Deviation_sequence!$B$232) / (Deviation_sequence!E63 + 0.5 * Deviation_sequence!$B$232)</f>
        <v>0.7586468165</v>
      </c>
      <c r="F63" s="7">
        <f>(Deviation_sequence!$B$233 + 0.5 *Deviation_sequence!$B$232) / (Deviation_sequence!F63 + 0.5 * Deviation_sequence!$B$232)</f>
        <v>0.972395732</v>
      </c>
      <c r="G63" s="7">
        <f>(Deviation_sequence!$B$233 + 0.5 *Deviation_sequence!$B$232) / (Deviation_sequence!G63 + 0.5 * Deviation_sequence!$B$232)</f>
        <v>0.860577436</v>
      </c>
      <c r="H63" s="7">
        <f>(Deviation_sequence!$B$233 + 0.5 *Deviation_sequence!$B$232) / (Deviation_sequence!H63 + 0.5 * Deviation_sequence!$B$232)</f>
        <v>0.7600372308</v>
      </c>
      <c r="I63" s="7">
        <f>(Deviation_sequence!$B$233 + 0.5 *Deviation_sequence!$B$232) / (Deviation_sequence!I63 + 0.5 * Deviation_sequence!$B$232)</f>
        <v>0.7538999472</v>
      </c>
      <c r="J63" s="7">
        <f>(Deviation_sequence!$B$233 + 0.5 *Deviation_sequence!$B$232) / (Deviation_sequence!J63 + 0.5 * Deviation_sequence!$B$232)</f>
        <v>0.852603194</v>
      </c>
      <c r="K63" s="7">
        <f>(Deviation_sequence!$B$233 + 0.5 *Deviation_sequence!$B$232) / (Deviation_sequence!K63 + 0.5 * Deviation_sequence!$B$232)</f>
        <v>0.8111535318</v>
      </c>
      <c r="L63" s="7">
        <f>(Deviation_sequence!$B$233 + 0.5 *Deviation_sequence!$B$232) / (Deviation_sequence!L63 + 0.5 * Deviation_sequence!$B$232)</f>
        <v>0.8250665452</v>
      </c>
      <c r="M63" s="7">
        <f>(Deviation_sequence!$B$233 + 0.5 *Deviation_sequence!$B$232) / (Deviation_sequence!M63 + 0.5 * Deviation_sequence!$B$232)</f>
        <v>0.8284012209</v>
      </c>
      <c r="O63" s="7">
        <f t="shared" si="2"/>
        <v>0.7896432797</v>
      </c>
    </row>
    <row r="64">
      <c r="N64" s="10" t="s">
        <v>114</v>
      </c>
      <c r="O64" s="7">
        <f>AVERAGE(O35:O63)</f>
        <v>0.6929287641</v>
      </c>
    </row>
    <row r="67">
      <c r="A67" s="9" t="s">
        <v>45</v>
      </c>
      <c r="B67" s="10" t="s">
        <v>46</v>
      </c>
      <c r="C67" s="10" t="s">
        <v>47</v>
      </c>
      <c r="D67" s="10" t="s">
        <v>48</v>
      </c>
      <c r="E67" s="10" t="s">
        <v>49</v>
      </c>
      <c r="F67" s="10" t="s">
        <v>50</v>
      </c>
      <c r="G67" s="10" t="s">
        <v>51</v>
      </c>
      <c r="H67" s="10" t="s">
        <v>52</v>
      </c>
      <c r="I67" s="10" t="s">
        <v>53</v>
      </c>
      <c r="J67" s="10" t="s">
        <v>54</v>
      </c>
      <c r="K67" s="10" t="s">
        <v>55</v>
      </c>
      <c r="L67" s="10" t="s">
        <v>56</v>
      </c>
      <c r="M67" s="10" t="s">
        <v>57</v>
      </c>
    </row>
    <row r="68">
      <c r="A68" s="10" t="s">
        <v>3</v>
      </c>
      <c r="B68" s="7">
        <f>(Deviation_sequence!$B$233 + 0.5 *Deviation_sequence!$B$232) / (Deviation_sequence!B68 + 0.5 * Deviation_sequence!$B$232)</f>
        <v>0.3410468624</v>
      </c>
      <c r="C68" s="7">
        <f>(Deviation_sequence!$B$233 + 0.5 *Deviation_sequence!$B$232) / (Deviation_sequence!C68 + 0.5 * Deviation_sequence!$B$232)</f>
        <v>0.3685468905</v>
      </c>
      <c r="D68" s="7">
        <f>(Deviation_sequence!$B$233 + 0.5 *Deviation_sequence!$B$232) / (Deviation_sequence!D68 + 0.5 * Deviation_sequence!$B$232)</f>
        <v>0.3937416164</v>
      </c>
      <c r="E68" s="7">
        <f>(Deviation_sequence!$B$233 + 0.5 *Deviation_sequence!$B$232) / (Deviation_sequence!E68 + 0.5 * Deviation_sequence!$B$232)</f>
        <v>0.3700462819</v>
      </c>
      <c r="F68" s="7">
        <f>(Deviation_sequence!$B$233 + 0.5 *Deviation_sequence!$B$232) / (Deviation_sequence!F68 + 0.5 * Deviation_sequence!$B$232)</f>
        <v>0.3685963968</v>
      </c>
      <c r="G68" s="7">
        <f>(Deviation_sequence!$B$233 + 0.5 *Deviation_sequence!$B$232) / (Deviation_sequence!G68 + 0.5 * Deviation_sequence!$B$232)</f>
        <v>0.3391568958</v>
      </c>
      <c r="H68" s="7">
        <f>(Deviation_sequence!$B$233 + 0.5 *Deviation_sequence!$B$232) / (Deviation_sequence!H68 + 0.5 * Deviation_sequence!$B$232)</f>
        <v>0.3470040257</v>
      </c>
      <c r="I68" s="7">
        <f>(Deviation_sequence!$B$233 + 0.5 *Deviation_sequence!$B$232) / (Deviation_sequence!I68 + 0.5 * Deviation_sequence!$B$232)</f>
        <v>0.345944544</v>
      </c>
      <c r="J68" s="7">
        <f>(Deviation_sequence!$B$233 + 0.5 *Deviation_sequence!$B$232) / (Deviation_sequence!J68 + 0.5 * Deviation_sequence!$B$232)</f>
        <v>0.351777235</v>
      </c>
      <c r="K68" s="7">
        <f>(Deviation_sequence!$B$233 + 0.5 *Deviation_sequence!$B$232) / (Deviation_sequence!K68 + 0.5 * Deviation_sequence!$B$232)</f>
        <v>0.3421015748</v>
      </c>
      <c r="L68" s="7">
        <f>(Deviation_sequence!$B$233 + 0.5 *Deviation_sequence!$B$232) / (Deviation_sequence!L68 + 0.5 * Deviation_sequence!$B$232)</f>
        <v>0.3557589232</v>
      </c>
      <c r="M68" s="7">
        <f>(Deviation_sequence!$B$233 + 0.5 *Deviation_sequence!$B$232) / (Deviation_sequence!M68 + 0.5 * Deviation_sequence!$B$232)</f>
        <v>0.3515261227</v>
      </c>
      <c r="O68" s="7">
        <f t="shared" ref="O68:O96" si="3">AVERAGE(B68:M68)</f>
        <v>0.3562706141</v>
      </c>
    </row>
    <row r="69">
      <c r="A69" s="10" t="s">
        <v>4</v>
      </c>
      <c r="B69" s="7">
        <f>(Deviation_sequence!$B$233 + 0.5 *Deviation_sequence!$B$232) / (Deviation_sequence!B69 + 0.5 * Deviation_sequence!$B$232)</f>
        <v>0.614619745</v>
      </c>
      <c r="C69" s="7">
        <f>(Deviation_sequence!$B$233 + 0.5 *Deviation_sequence!$B$232) / (Deviation_sequence!C69 + 0.5 * Deviation_sequence!$B$232)</f>
        <v>0.5319484453</v>
      </c>
      <c r="D69" s="7">
        <f>(Deviation_sequence!$B$233 + 0.5 *Deviation_sequence!$B$232) / (Deviation_sequence!D69 + 0.5 * Deviation_sequence!$B$232)</f>
        <v>0.5919853425</v>
      </c>
      <c r="E69" s="7">
        <f>(Deviation_sequence!$B$233 + 0.5 *Deviation_sequence!$B$232) / (Deviation_sequence!E69 + 0.5 * Deviation_sequence!$B$232)</f>
        <v>0.6401135845</v>
      </c>
      <c r="F69" s="7">
        <f>(Deviation_sequence!$B$233 + 0.5 *Deviation_sequence!$B$232) / (Deviation_sequence!F69 + 0.5 * Deviation_sequence!$B$232)</f>
        <v>0.561462743</v>
      </c>
      <c r="G69" s="7">
        <f>(Deviation_sequence!$B$233 + 0.5 *Deviation_sequence!$B$232) / (Deviation_sequence!G69 + 0.5 * Deviation_sequence!$B$232)</f>
        <v>0.5688679655</v>
      </c>
      <c r="H69" s="7">
        <f>(Deviation_sequence!$B$233 + 0.5 *Deviation_sequence!$B$232) / (Deviation_sequence!H69 + 0.5 * Deviation_sequence!$B$232)</f>
        <v>0.6270192627</v>
      </c>
      <c r="I69" s="7">
        <f>(Deviation_sequence!$B$233 + 0.5 *Deviation_sequence!$B$232) / (Deviation_sequence!I69 + 0.5 * Deviation_sequence!$B$232)</f>
        <v>0.5902433939</v>
      </c>
      <c r="J69" s="7">
        <f>(Deviation_sequence!$B$233 + 0.5 *Deviation_sequence!$B$232) / (Deviation_sequence!J69 + 0.5 * Deviation_sequence!$B$232)</f>
        <v>0.582699712</v>
      </c>
      <c r="K69" s="7">
        <f>(Deviation_sequence!$B$233 + 0.5 *Deviation_sequence!$B$232) / (Deviation_sequence!K69 + 0.5 * Deviation_sequence!$B$232)</f>
        <v>0.5882099724</v>
      </c>
      <c r="L69" s="7">
        <f>(Deviation_sequence!$B$233 + 0.5 *Deviation_sequence!$B$232) / (Deviation_sequence!L69 + 0.5 * Deviation_sequence!$B$232)</f>
        <v>0.6659828842</v>
      </c>
      <c r="M69" s="7">
        <f>(Deviation_sequence!$B$233 + 0.5 *Deviation_sequence!$B$232) / (Deviation_sequence!M69 + 0.5 * Deviation_sequence!$B$232)</f>
        <v>0.651460459</v>
      </c>
      <c r="O69" s="7">
        <f t="shared" si="3"/>
        <v>0.6012177925</v>
      </c>
    </row>
    <row r="70">
      <c r="A70" s="10" t="s">
        <v>5</v>
      </c>
      <c r="B70" s="7">
        <f>(Deviation_sequence!$B$233 + 0.5 *Deviation_sequence!$B$232) / (Deviation_sequence!B70 + 0.5 * Deviation_sequence!$B$232)</f>
        <v>0.4362345375</v>
      </c>
      <c r="C70" s="7">
        <f>(Deviation_sequence!$B$233 + 0.5 *Deviation_sequence!$B$232) / (Deviation_sequence!C70 + 0.5 * Deviation_sequence!$B$232)</f>
        <v>0.4253255608</v>
      </c>
      <c r="D70" s="7">
        <f>(Deviation_sequence!$B$233 + 0.5 *Deviation_sequence!$B$232) / (Deviation_sequence!D70 + 0.5 * Deviation_sequence!$B$232)</f>
        <v>0.5948677681</v>
      </c>
      <c r="E70" s="7">
        <f>(Deviation_sequence!$B$233 + 0.5 *Deviation_sequence!$B$232) / (Deviation_sequence!E70 + 0.5 * Deviation_sequence!$B$232)</f>
        <v>0.4553288375</v>
      </c>
      <c r="F70" s="7">
        <f>(Deviation_sequence!$B$233 + 0.5 *Deviation_sequence!$B$232) / (Deviation_sequence!F70 + 0.5 * Deviation_sequence!$B$232)</f>
        <v>0.6515521631</v>
      </c>
      <c r="G70" s="7">
        <f>(Deviation_sequence!$B$233 + 0.5 *Deviation_sequence!$B$232) / (Deviation_sequence!G70 + 0.5 * Deviation_sequence!$B$232)</f>
        <v>0.8191732243</v>
      </c>
      <c r="H70" s="7">
        <f>(Deviation_sequence!$B$233 + 0.5 *Deviation_sequence!$B$232) / (Deviation_sequence!H70 + 0.5 * Deviation_sequence!$B$232)</f>
        <v>0.6972770374</v>
      </c>
      <c r="I70" s="7">
        <f>(Deviation_sequence!$B$233 + 0.5 *Deviation_sequence!$B$232) / (Deviation_sequence!I70 + 0.5 * Deviation_sequence!$B$232)</f>
        <v>0.9875542851</v>
      </c>
      <c r="J70" s="7">
        <f>(Deviation_sequence!$B$233 + 0.5 *Deviation_sequence!$B$232) / (Deviation_sequence!J70 + 0.5 * Deviation_sequence!$B$232)</f>
        <v>0.6764588104</v>
      </c>
      <c r="K70" s="7">
        <f>(Deviation_sequence!$B$233 + 0.5 *Deviation_sequence!$B$232) / (Deviation_sequence!K70 + 0.5 * Deviation_sequence!$B$232)</f>
        <v>0.4507854874</v>
      </c>
      <c r="L70" s="7">
        <f>(Deviation_sequence!$B$233 + 0.5 *Deviation_sequence!$B$232) / (Deviation_sequence!L70 + 0.5 * Deviation_sequence!$B$232)</f>
        <v>0.4698502229</v>
      </c>
      <c r="M70" s="7">
        <f>(Deviation_sequence!$B$233 + 0.5 *Deviation_sequence!$B$232) / (Deviation_sequence!M70 + 0.5 * Deviation_sequence!$B$232)</f>
        <v>0.4619440264</v>
      </c>
      <c r="O70" s="7">
        <f t="shared" si="3"/>
        <v>0.5938626634</v>
      </c>
    </row>
    <row r="71">
      <c r="A71" s="10" t="s">
        <v>6</v>
      </c>
      <c r="B71" s="7">
        <f>(Deviation_sequence!$B$233 + 0.5 *Deviation_sequence!$B$232) / (Deviation_sequence!B71 + 0.5 * Deviation_sequence!$B$232)</f>
        <v>0.5783878544</v>
      </c>
      <c r="C71" s="7">
        <f>(Deviation_sequence!$B$233 + 0.5 *Deviation_sequence!$B$232) / (Deviation_sequence!C71 + 0.5 * Deviation_sequence!$B$232)</f>
        <v>0.5630300903</v>
      </c>
      <c r="D71" s="7">
        <f>(Deviation_sequence!$B$233 + 0.5 *Deviation_sequence!$B$232) / (Deviation_sequence!D71 + 0.5 * Deviation_sequence!$B$232)</f>
        <v>0.5286889095</v>
      </c>
      <c r="E71" s="7">
        <f>(Deviation_sequence!$B$233 + 0.5 *Deviation_sequence!$B$232) / (Deviation_sequence!E71 + 0.5 * Deviation_sequence!$B$232)</f>
        <v>0.624323766</v>
      </c>
      <c r="F71" s="7">
        <f>(Deviation_sequence!$B$233 + 0.5 *Deviation_sequence!$B$232) / (Deviation_sequence!F71 + 0.5 * Deviation_sequence!$B$232)</f>
        <v>0.6431993126</v>
      </c>
      <c r="G71" s="7">
        <f>(Deviation_sequence!$B$233 + 0.5 *Deviation_sequence!$B$232) / (Deviation_sequence!G71 + 0.5 * Deviation_sequence!$B$232)</f>
        <v>0.6046725255</v>
      </c>
      <c r="H71" s="7">
        <f>(Deviation_sequence!$B$233 + 0.5 *Deviation_sequence!$B$232) / (Deviation_sequence!H71 + 0.5 * Deviation_sequence!$B$232)</f>
        <v>0.5973096025</v>
      </c>
      <c r="I71" s="7">
        <f>(Deviation_sequence!$B$233 + 0.5 *Deviation_sequence!$B$232) / (Deviation_sequence!I71 + 0.5 * Deviation_sequence!$B$232)</f>
        <v>0.5921077802</v>
      </c>
      <c r="J71" s="7">
        <f>(Deviation_sequence!$B$233 + 0.5 *Deviation_sequence!$B$232) / (Deviation_sequence!J71 + 0.5 * Deviation_sequence!$B$232)</f>
        <v>0.5980201443</v>
      </c>
      <c r="K71" s="7">
        <f>(Deviation_sequence!$B$233 + 0.5 *Deviation_sequence!$B$232) / (Deviation_sequence!K71 + 0.5 * Deviation_sequence!$B$232)</f>
        <v>0.3689692967</v>
      </c>
      <c r="L71" s="7">
        <f>(Deviation_sequence!$B$233 + 0.5 *Deviation_sequence!$B$232) / (Deviation_sequence!L71 + 0.5 * Deviation_sequence!$B$232)</f>
        <v>0.3593742348</v>
      </c>
      <c r="M71" s="7">
        <f>(Deviation_sequence!$B$233 + 0.5 *Deviation_sequence!$B$232) / (Deviation_sequence!M71 + 0.5 * Deviation_sequence!$B$232)</f>
        <v>0.3464631839</v>
      </c>
      <c r="O71" s="7">
        <f t="shared" si="3"/>
        <v>0.5337122251</v>
      </c>
    </row>
    <row r="72">
      <c r="A72" s="10" t="s">
        <v>7</v>
      </c>
      <c r="B72" s="7">
        <f>(Deviation_sequence!$B$233 + 0.5 *Deviation_sequence!$B$232) / (Deviation_sequence!B72 + 0.5 * Deviation_sequence!$B$232)</f>
        <v>0.4187511576</v>
      </c>
      <c r="C72" s="7">
        <f>(Deviation_sequence!$B$233 + 0.5 *Deviation_sequence!$B$232) / (Deviation_sequence!C72 + 0.5 * Deviation_sequence!$B$232)</f>
        <v>0.3979970343</v>
      </c>
      <c r="D72" s="7">
        <f>(Deviation_sequence!$B$233 + 0.5 *Deviation_sequence!$B$232) / (Deviation_sequence!D72 + 0.5 * Deviation_sequence!$B$232)</f>
        <v>0.3744186044</v>
      </c>
      <c r="E72" s="7">
        <f>(Deviation_sequence!$B$233 + 0.5 *Deviation_sequence!$B$232) / (Deviation_sequence!E72 + 0.5 * Deviation_sequence!$B$232)</f>
        <v>0.4447986626</v>
      </c>
      <c r="F72" s="7">
        <f>(Deviation_sequence!$B$233 + 0.5 *Deviation_sequence!$B$232) / (Deviation_sequence!F72 + 0.5 * Deviation_sequence!$B$232)</f>
        <v>0.5549429925</v>
      </c>
      <c r="G72" s="7">
        <f>(Deviation_sequence!$B$233 + 0.5 *Deviation_sequence!$B$232) / (Deviation_sequence!G72 + 0.5 * Deviation_sequence!$B$232)</f>
        <v>0.4591110173</v>
      </c>
      <c r="H72" s="7">
        <f>(Deviation_sequence!$B$233 + 0.5 *Deviation_sequence!$B$232) / (Deviation_sequence!H72 + 0.5 * Deviation_sequence!$B$232)</f>
        <v>0.4588548768</v>
      </c>
      <c r="I72" s="7">
        <f>(Deviation_sequence!$B$233 + 0.5 *Deviation_sequence!$B$232) / (Deviation_sequence!I72 + 0.5 * Deviation_sequence!$B$232)</f>
        <v>0.4757401459</v>
      </c>
      <c r="J72" s="7">
        <f>(Deviation_sequence!$B$233 + 0.5 *Deviation_sequence!$B$232) / (Deviation_sequence!J72 + 0.5 * Deviation_sequence!$B$232)</f>
        <v>0.5020641826</v>
      </c>
      <c r="K72" s="7">
        <f>(Deviation_sequence!$B$233 + 0.5 *Deviation_sequence!$B$232) / (Deviation_sequence!K72 + 0.5 * Deviation_sequence!$B$232)</f>
        <v>0.5158825838</v>
      </c>
      <c r="L72" s="7">
        <f>(Deviation_sequence!$B$233 + 0.5 *Deviation_sequence!$B$232) / (Deviation_sequence!L72 + 0.5 * Deviation_sequence!$B$232)</f>
        <v>0.539399689</v>
      </c>
      <c r="M72" s="7">
        <f>(Deviation_sequence!$B$233 + 0.5 *Deviation_sequence!$B$232) / (Deviation_sequence!M72 + 0.5 * Deviation_sequence!$B$232)</f>
        <v>0.5132501833</v>
      </c>
      <c r="O72" s="7">
        <f t="shared" si="3"/>
        <v>0.4712675942</v>
      </c>
    </row>
    <row r="73">
      <c r="A73" s="10" t="s">
        <v>8</v>
      </c>
      <c r="B73" s="7">
        <f>(Deviation_sequence!$B$233 + 0.5 *Deviation_sequence!$B$232) / (Deviation_sequence!B73 + 0.5 * Deviation_sequence!$B$232)</f>
        <v>0.4433066513</v>
      </c>
      <c r="C73" s="7">
        <f>(Deviation_sequence!$B$233 + 0.5 *Deviation_sequence!$B$232) / (Deviation_sequence!C73 + 0.5 * Deviation_sequence!$B$232)</f>
        <v>0.4937162088</v>
      </c>
      <c r="D73" s="7">
        <f>(Deviation_sequence!$B$233 + 0.5 *Deviation_sequence!$B$232) / (Deviation_sequence!D73 + 0.5 * Deviation_sequence!$B$232)</f>
        <v>0.5235419341</v>
      </c>
      <c r="E73" s="7">
        <f>(Deviation_sequence!$B$233 + 0.5 *Deviation_sequence!$B$232) / (Deviation_sequence!E73 + 0.5 * Deviation_sequence!$B$232)</f>
        <v>0.5538359908</v>
      </c>
      <c r="F73" s="7">
        <f>(Deviation_sequence!$B$233 + 0.5 *Deviation_sequence!$B$232) / (Deviation_sequence!F73 + 0.5 * Deviation_sequence!$B$232)</f>
        <v>0.5710659959</v>
      </c>
      <c r="G73" s="7">
        <f>(Deviation_sequence!$B$233 + 0.5 *Deviation_sequence!$B$232) / (Deviation_sequence!G73 + 0.5 * Deviation_sequence!$B$232)</f>
        <v>0.5524260271</v>
      </c>
      <c r="H73" s="7">
        <f>(Deviation_sequence!$B$233 + 0.5 *Deviation_sequence!$B$232) / (Deviation_sequence!H73 + 0.5 * Deviation_sequence!$B$232)</f>
        <v>0.5149666428</v>
      </c>
      <c r="I73" s="7">
        <f>(Deviation_sequence!$B$233 + 0.5 *Deviation_sequence!$B$232) / (Deviation_sequence!I73 + 0.5 * Deviation_sequence!$B$232)</f>
        <v>0.5597280953</v>
      </c>
      <c r="J73" s="7">
        <f>(Deviation_sequence!$B$233 + 0.5 *Deviation_sequence!$B$232) / (Deviation_sequence!J73 + 0.5 * Deviation_sequence!$B$232)</f>
        <v>0.5086590438</v>
      </c>
      <c r="K73" s="7">
        <f>(Deviation_sequence!$B$233 + 0.5 *Deviation_sequence!$B$232) / (Deviation_sequence!K73 + 0.5 * Deviation_sequence!$B$232)</f>
        <v>0.4978985237</v>
      </c>
      <c r="L73" s="7">
        <f>(Deviation_sequence!$B$233 + 0.5 *Deviation_sequence!$B$232) / (Deviation_sequence!L73 + 0.5 * Deviation_sequence!$B$232)</f>
        <v>0.5601874865</v>
      </c>
      <c r="M73" s="7">
        <f>(Deviation_sequence!$B$233 + 0.5 *Deviation_sequence!$B$232) / (Deviation_sequence!M73 + 0.5 * Deviation_sequence!$B$232)</f>
        <v>0.5453967312</v>
      </c>
      <c r="O73" s="7">
        <f t="shared" si="3"/>
        <v>0.5270607776</v>
      </c>
    </row>
    <row r="74">
      <c r="A74" s="10" t="s">
        <v>9</v>
      </c>
      <c r="B74" s="7">
        <f>(Deviation_sequence!$B$233 + 0.5 *Deviation_sequence!$B$232) / (Deviation_sequence!B74 + 0.5 * Deviation_sequence!$B$232)</f>
        <v>0.4777961798</v>
      </c>
      <c r="C74" s="7">
        <f>(Deviation_sequence!$B$233 + 0.5 *Deviation_sequence!$B$232) / (Deviation_sequence!C74 + 0.5 * Deviation_sequence!$B$232)</f>
        <v>0.9025362045</v>
      </c>
      <c r="D74" s="7">
        <f>(Deviation_sequence!$B$233 + 0.5 *Deviation_sequence!$B$232) / (Deviation_sequence!D74 + 0.5 * Deviation_sequence!$B$232)</f>
        <v>0.6832728774</v>
      </c>
      <c r="E74" s="7">
        <f>(Deviation_sequence!$B$233 + 0.5 *Deviation_sequence!$B$232) / (Deviation_sequence!E74 + 0.5 * Deviation_sequence!$B$232)</f>
        <v>0.8309736941</v>
      </c>
      <c r="F74" s="7">
        <f>(Deviation_sequence!$B$233 + 0.5 *Deviation_sequence!$B$232) / (Deviation_sequence!F74 + 0.5 * Deviation_sequence!$B$232)</f>
        <v>0.9765340486</v>
      </c>
      <c r="G74" s="7">
        <f>(Deviation_sequence!$B$233 + 0.5 *Deviation_sequence!$B$232) / (Deviation_sequence!G74 + 0.5 * Deviation_sequence!$B$232)</f>
        <v>0.9480132268</v>
      </c>
      <c r="H74" s="7">
        <f>(Deviation_sequence!$B$233 + 0.5 *Deviation_sequence!$B$232) / (Deviation_sequence!H74 + 0.5 * Deviation_sequence!$B$232)</f>
        <v>0.9195848106</v>
      </c>
      <c r="I74" s="7">
        <f>(Deviation_sequence!$B$233 + 0.5 *Deviation_sequence!$B$232) / (Deviation_sequence!I74 + 0.5 * Deviation_sequence!$B$232)</f>
        <v>0.983599862</v>
      </c>
      <c r="J74" s="7">
        <f>(Deviation_sequence!$B$233 + 0.5 *Deviation_sequence!$B$232) / (Deviation_sequence!J74 + 0.5 * Deviation_sequence!$B$232)</f>
        <v>0.8646626815</v>
      </c>
      <c r="K74" s="7">
        <f>(Deviation_sequence!$B$233 + 0.5 *Deviation_sequence!$B$232) / (Deviation_sequence!K74 + 0.5 * Deviation_sequence!$B$232)</f>
        <v>0.7514973172</v>
      </c>
      <c r="L74" s="7">
        <f>(Deviation_sequence!$B$233 + 0.5 *Deviation_sequence!$B$232) / (Deviation_sequence!L74 + 0.5 * Deviation_sequence!$B$232)</f>
        <v>0.8064887938</v>
      </c>
      <c r="M74" s="7">
        <f>(Deviation_sequence!$B$233 + 0.5 *Deviation_sequence!$B$232) / (Deviation_sequence!M74 + 0.5 * Deviation_sequence!$B$232)</f>
        <v>0.8720704599</v>
      </c>
      <c r="O74" s="7">
        <f t="shared" si="3"/>
        <v>0.834752513</v>
      </c>
    </row>
    <row r="75">
      <c r="A75" s="10" t="s">
        <v>10</v>
      </c>
      <c r="B75" s="7">
        <f>(Deviation_sequence!$B$233 + 0.5 *Deviation_sequence!$B$232) / (Deviation_sequence!B75 + 0.5 * Deviation_sequence!$B$232)</f>
        <v>0.5406501679</v>
      </c>
      <c r="C75" s="7">
        <f>(Deviation_sequence!$B$233 + 0.5 *Deviation_sequence!$B$232) / (Deviation_sequence!C75 + 0.5 * Deviation_sequence!$B$232)</f>
        <v>0.5670115298</v>
      </c>
      <c r="D75" s="7">
        <f>(Deviation_sequence!$B$233 + 0.5 *Deviation_sequence!$B$232) / (Deviation_sequence!D75 + 0.5 * Deviation_sequence!$B$232)</f>
        <v>0.5417169478</v>
      </c>
      <c r="E75" s="7">
        <f>(Deviation_sequence!$B$233 + 0.5 *Deviation_sequence!$B$232) / (Deviation_sequence!E75 + 0.5 * Deviation_sequence!$B$232)</f>
        <v>0.5310479244</v>
      </c>
      <c r="F75" s="7">
        <f>(Deviation_sequence!$B$233 + 0.5 *Deviation_sequence!$B$232) / (Deviation_sequence!F75 + 0.5 * Deviation_sequence!$B$232)</f>
        <v>0.5833912166</v>
      </c>
      <c r="G75" s="7">
        <f>(Deviation_sequence!$B$233 + 0.5 *Deviation_sequence!$B$232) / (Deviation_sequence!G75 + 0.5 * Deviation_sequence!$B$232)</f>
        <v>0.5158038505</v>
      </c>
      <c r="H75" s="7">
        <f>(Deviation_sequence!$B$233 + 0.5 *Deviation_sequence!$B$232) / (Deviation_sequence!H75 + 0.5 * Deviation_sequence!$B$232)</f>
        <v>0.5117093117</v>
      </c>
      <c r="I75" s="7">
        <f>(Deviation_sequence!$B$233 + 0.5 *Deviation_sequence!$B$232) / (Deviation_sequence!I75 + 0.5 * Deviation_sequence!$B$232)</f>
        <v>0.504053076</v>
      </c>
      <c r="J75" s="7">
        <f>(Deviation_sequence!$B$233 + 0.5 *Deviation_sequence!$B$232) / (Deviation_sequence!J75 + 0.5 * Deviation_sequence!$B$232)</f>
        <v>0.4891287063</v>
      </c>
      <c r="K75" s="7">
        <f>(Deviation_sequence!$B$233 + 0.5 *Deviation_sequence!$B$232) / (Deviation_sequence!K75 + 0.5 * Deviation_sequence!$B$232)</f>
        <v>0.4901307987</v>
      </c>
      <c r="L75" s="7">
        <f>(Deviation_sequence!$B$233 + 0.5 *Deviation_sequence!$B$232) / (Deviation_sequence!L75 + 0.5 * Deviation_sequence!$B$232)</f>
        <v>0.4733918838</v>
      </c>
      <c r="M75" s="7">
        <f>(Deviation_sequence!$B$233 + 0.5 *Deviation_sequence!$B$232) / (Deviation_sequence!M75 + 0.5 * Deviation_sequence!$B$232)</f>
        <v>0.4786961521</v>
      </c>
      <c r="O75" s="7">
        <f t="shared" si="3"/>
        <v>0.5188942971</v>
      </c>
    </row>
    <row r="76">
      <c r="A76" s="10" t="s">
        <v>11</v>
      </c>
      <c r="B76" s="7">
        <f>(Deviation_sequence!$B$233 + 0.5 *Deviation_sequence!$B$232) / (Deviation_sequence!B76 + 0.5 * Deviation_sequence!$B$232)</f>
        <v>0.4369886997</v>
      </c>
      <c r="C76" s="7">
        <f>(Deviation_sequence!$B$233 + 0.5 *Deviation_sequence!$B$232) / (Deviation_sequence!C76 + 0.5 * Deviation_sequence!$B$232)</f>
        <v>0.4170237596</v>
      </c>
      <c r="D76" s="7">
        <f>(Deviation_sequence!$B$233 + 0.5 *Deviation_sequence!$B$232) / (Deviation_sequence!D76 + 0.5 * Deviation_sequence!$B$232)</f>
        <v>0.3852190451</v>
      </c>
      <c r="E76" s="7">
        <f>(Deviation_sequence!$B$233 + 0.5 *Deviation_sequence!$B$232) / (Deviation_sequence!E76 + 0.5 * Deviation_sequence!$B$232)</f>
        <v>0.3688700254</v>
      </c>
      <c r="F76" s="7">
        <f>(Deviation_sequence!$B$233 + 0.5 *Deviation_sequence!$B$232) / (Deviation_sequence!F76 + 0.5 * Deviation_sequence!$B$232)</f>
        <v>0.4110393848</v>
      </c>
      <c r="G76" s="7">
        <f>(Deviation_sequence!$B$233 + 0.5 *Deviation_sequence!$B$232) / (Deviation_sequence!G76 + 0.5 * Deviation_sequence!$B$232)</f>
        <v>0.4195774266</v>
      </c>
      <c r="H76" s="7">
        <f>(Deviation_sequence!$B$233 + 0.5 *Deviation_sequence!$B$232) / (Deviation_sequence!H76 + 0.5 * Deviation_sequence!$B$232)</f>
        <v>0.4510643535</v>
      </c>
      <c r="I76" s="7">
        <f>(Deviation_sequence!$B$233 + 0.5 *Deviation_sequence!$B$232) / (Deviation_sequence!I76 + 0.5 * Deviation_sequence!$B$232)</f>
        <v>0.4469319392</v>
      </c>
      <c r="J76" s="7">
        <f>(Deviation_sequence!$B$233 + 0.5 *Deviation_sequence!$B$232) / (Deviation_sequence!J76 + 0.5 * Deviation_sequence!$B$232)</f>
        <v>0.4578266035</v>
      </c>
      <c r="K76" s="7">
        <f>(Deviation_sequence!$B$233 + 0.5 *Deviation_sequence!$B$232) / (Deviation_sequence!K76 + 0.5 * Deviation_sequence!$B$232)</f>
        <v>0.4570721797</v>
      </c>
      <c r="L76" s="7">
        <f>(Deviation_sequence!$B$233 + 0.5 *Deviation_sequence!$B$232) / (Deviation_sequence!L76 + 0.5 * Deviation_sequence!$B$232)</f>
        <v>0.4573543335</v>
      </c>
      <c r="M76" s="7">
        <f>(Deviation_sequence!$B$233 + 0.5 *Deviation_sequence!$B$232) / (Deviation_sequence!M76 + 0.5 * Deviation_sequence!$B$232)</f>
        <v>0.4589862755</v>
      </c>
      <c r="O76" s="7">
        <f t="shared" si="3"/>
        <v>0.4306628355</v>
      </c>
    </row>
    <row r="77">
      <c r="A77" s="10" t="s">
        <v>12</v>
      </c>
      <c r="B77" s="7">
        <f>(Deviation_sequence!$B$233 + 0.5 *Deviation_sequence!$B$232) / (Deviation_sequence!B77 + 0.5 * Deviation_sequence!$B$232)</f>
        <v>0.5047452334</v>
      </c>
      <c r="C77" s="7">
        <f>(Deviation_sequence!$B$233 + 0.5 *Deviation_sequence!$B$232) / (Deviation_sequence!C77 + 0.5 * Deviation_sequence!$B$232)</f>
        <v>0.5034334421</v>
      </c>
      <c r="D77" s="7">
        <f>(Deviation_sequence!$B$233 + 0.5 *Deviation_sequence!$B$232) / (Deviation_sequence!D77 + 0.5 * Deviation_sequence!$B$232)</f>
        <v>0.516017941</v>
      </c>
      <c r="E77" s="7">
        <f>(Deviation_sequence!$B$233 + 0.5 *Deviation_sequence!$B$232) / (Deviation_sequence!E77 + 0.5 * Deviation_sequence!$B$232)</f>
        <v>0.4966335727</v>
      </c>
      <c r="F77" s="7">
        <f>(Deviation_sequence!$B$233 + 0.5 *Deviation_sequence!$B$232) / (Deviation_sequence!F77 + 0.5 * Deviation_sequence!$B$232)</f>
        <v>0.5054175912</v>
      </c>
      <c r="G77" s="7">
        <f>(Deviation_sequence!$B$233 + 0.5 *Deviation_sequence!$B$232) / (Deviation_sequence!G77 + 0.5 * Deviation_sequence!$B$232)</f>
        <v>0.5149799116</v>
      </c>
      <c r="H77" s="7">
        <f>(Deviation_sequence!$B$233 + 0.5 *Deviation_sequence!$B$232) / (Deviation_sequence!H77 + 0.5 * Deviation_sequence!$B$232)</f>
        <v>0.5396858022</v>
      </c>
      <c r="I77" s="7">
        <f>(Deviation_sequence!$B$233 + 0.5 *Deviation_sequence!$B$232) / (Deviation_sequence!I77 + 0.5 * Deviation_sequence!$B$232)</f>
        <v>0.5591079196</v>
      </c>
      <c r="J77" s="7">
        <f>(Deviation_sequence!$B$233 + 0.5 *Deviation_sequence!$B$232) / (Deviation_sequence!J77 + 0.5 * Deviation_sequence!$B$232)</f>
        <v>0.5637526281</v>
      </c>
      <c r="K77" s="7">
        <f>(Deviation_sequence!$B$233 + 0.5 *Deviation_sequence!$B$232) / (Deviation_sequence!K77 + 0.5 * Deviation_sequence!$B$232)</f>
        <v>0.5749581774</v>
      </c>
      <c r="L77" s="7">
        <f>(Deviation_sequence!$B$233 + 0.5 *Deviation_sequence!$B$232) / (Deviation_sequence!L77 + 0.5 * Deviation_sequence!$B$232)</f>
        <v>0.5794471586</v>
      </c>
      <c r="M77" s="7">
        <f>(Deviation_sequence!$B$233 + 0.5 *Deviation_sequence!$B$232) / (Deviation_sequence!M77 + 0.5 * Deviation_sequence!$B$232)</f>
        <v>0.5787737803</v>
      </c>
      <c r="O77" s="7">
        <f t="shared" si="3"/>
        <v>0.5364127632</v>
      </c>
    </row>
    <row r="78">
      <c r="A78" s="10" t="s">
        <v>13</v>
      </c>
      <c r="B78" s="7">
        <f>(Deviation_sequence!$B$233 + 0.5 *Deviation_sequence!$B$232) / (Deviation_sequence!B78 + 0.5 * Deviation_sequence!$B$232)</f>
        <v>0.370118636</v>
      </c>
      <c r="C78" s="7">
        <f>(Deviation_sequence!$B$233 + 0.5 *Deviation_sequence!$B$232) / (Deviation_sequence!C78 + 0.5 * Deviation_sequence!$B$232)</f>
        <v>0.3792480796</v>
      </c>
      <c r="D78" s="7">
        <f>(Deviation_sequence!$B$233 + 0.5 *Deviation_sequence!$B$232) / (Deviation_sequence!D78 + 0.5 * Deviation_sequence!$B$232)</f>
        <v>0.3774636513</v>
      </c>
      <c r="E78" s="7">
        <f>(Deviation_sequence!$B$233 + 0.5 *Deviation_sequence!$B$232) / (Deviation_sequence!E78 + 0.5 * Deviation_sequence!$B$232)</f>
        <v>0.3911282591</v>
      </c>
      <c r="F78" s="7">
        <f>(Deviation_sequence!$B$233 + 0.5 *Deviation_sequence!$B$232) / (Deviation_sequence!F78 + 0.5 * Deviation_sequence!$B$232)</f>
        <v>0.445163873</v>
      </c>
      <c r="G78" s="7">
        <f>(Deviation_sequence!$B$233 + 0.5 *Deviation_sequence!$B$232) / (Deviation_sequence!G78 + 0.5 * Deviation_sequence!$B$232)</f>
        <v>0.5626218665</v>
      </c>
      <c r="H78" s="7">
        <f>(Deviation_sequence!$B$233 + 0.5 *Deviation_sequence!$B$232) / (Deviation_sequence!H78 + 0.5 * Deviation_sequence!$B$232)</f>
        <v>0.7256371324</v>
      </c>
      <c r="I78" s="7">
        <f>(Deviation_sequence!$B$233 + 0.5 *Deviation_sequence!$B$232) / (Deviation_sequence!I78 + 0.5 * Deviation_sequence!$B$232)</f>
        <v>0.5467049262</v>
      </c>
      <c r="J78" s="7">
        <f>(Deviation_sequence!$B$233 + 0.5 *Deviation_sequence!$B$232) / (Deviation_sequence!J78 + 0.5 * Deviation_sequence!$B$232)</f>
        <v>0.4884293512</v>
      </c>
      <c r="K78" s="7">
        <f>(Deviation_sequence!$B$233 + 0.5 *Deviation_sequence!$B$232) / (Deviation_sequence!K78 + 0.5 * Deviation_sequence!$B$232)</f>
        <v>0.4724731518</v>
      </c>
      <c r="L78" s="7">
        <f>(Deviation_sequence!$B$233 + 0.5 *Deviation_sequence!$B$232) / (Deviation_sequence!L78 + 0.5 * Deviation_sequence!$B$232)</f>
        <v>0.4257101912</v>
      </c>
      <c r="M78" s="7">
        <f>(Deviation_sequence!$B$233 + 0.5 *Deviation_sequence!$B$232) / (Deviation_sequence!M78 + 0.5 * Deviation_sequence!$B$232)</f>
        <v>0.4253452509</v>
      </c>
      <c r="O78" s="7">
        <f t="shared" si="3"/>
        <v>0.4675036974</v>
      </c>
    </row>
    <row r="79">
      <c r="A79" s="10" t="s">
        <v>14</v>
      </c>
      <c r="B79" s="7">
        <f>(Deviation_sequence!$B$233 + 0.5 *Deviation_sequence!$B$232) / (Deviation_sequence!B79 + 0.5 * Deviation_sequence!$B$232)</f>
        <v>0.5151224731</v>
      </c>
      <c r="C79" s="7">
        <f>(Deviation_sequence!$B$233 + 0.5 *Deviation_sequence!$B$232) / (Deviation_sequence!C79 + 0.5 * Deviation_sequence!$B$232)</f>
        <v>0.5047419602</v>
      </c>
      <c r="D79" s="7">
        <f>(Deviation_sequence!$B$233 + 0.5 *Deviation_sequence!$B$232) / (Deviation_sequence!D79 + 0.5 * Deviation_sequence!$B$232)</f>
        <v>0.5017901004</v>
      </c>
      <c r="E79" s="7">
        <f>(Deviation_sequence!$B$233 + 0.5 *Deviation_sequence!$B$232) / (Deviation_sequence!E79 + 0.5 * Deviation_sequence!$B$232)</f>
        <v>0.4979413488</v>
      </c>
      <c r="F79" s="7">
        <f>(Deviation_sequence!$B$233 + 0.5 *Deviation_sequence!$B$232) / (Deviation_sequence!F79 + 0.5 * Deviation_sequence!$B$232)</f>
        <v>0.5006756824</v>
      </c>
      <c r="G79" s="7">
        <f>(Deviation_sequence!$B$233 + 0.5 *Deviation_sequence!$B$232) / (Deviation_sequence!G79 + 0.5 * Deviation_sequence!$B$232)</f>
        <v>0.4789926567</v>
      </c>
      <c r="H79" s="7">
        <f>(Deviation_sequence!$B$233 + 0.5 *Deviation_sequence!$B$232) / (Deviation_sequence!H79 + 0.5 * Deviation_sequence!$B$232)</f>
        <v>0.4888635143</v>
      </c>
      <c r="I79" s="7">
        <f>(Deviation_sequence!$B$233 + 0.5 *Deviation_sequence!$B$232) / (Deviation_sequence!I79 + 0.5 * Deviation_sequence!$B$232)</f>
        <v>0.4302514971</v>
      </c>
      <c r="J79" s="7">
        <f>(Deviation_sequence!$B$233 + 0.5 *Deviation_sequence!$B$232) / (Deviation_sequence!J79 + 0.5 * Deviation_sequence!$B$232)</f>
        <v>0.4432479846</v>
      </c>
      <c r="K79" s="7">
        <f>(Deviation_sequence!$B$233 + 0.5 *Deviation_sequence!$B$232) / (Deviation_sequence!K79 + 0.5 * Deviation_sequence!$B$232)</f>
        <v>0.4444605901</v>
      </c>
      <c r="L79" s="7">
        <f>(Deviation_sequence!$B$233 + 0.5 *Deviation_sequence!$B$232) / (Deviation_sequence!L79 + 0.5 * Deviation_sequence!$B$232)</f>
        <v>0.4319919984</v>
      </c>
      <c r="M79" s="7">
        <f>(Deviation_sequence!$B$233 + 0.5 *Deviation_sequence!$B$232) / (Deviation_sequence!M79 + 0.5 * Deviation_sequence!$B$232)</f>
        <v>0.4504788031</v>
      </c>
      <c r="O79" s="7">
        <f t="shared" si="3"/>
        <v>0.4740465508</v>
      </c>
    </row>
    <row r="80">
      <c r="A80" s="10" t="s">
        <v>15</v>
      </c>
      <c r="B80" s="7">
        <f>(Deviation_sequence!$B$233 + 0.5 *Deviation_sequence!$B$232) / (Deviation_sequence!B80 + 0.5 * Deviation_sequence!$B$232)</f>
        <v>0.3453350263</v>
      </c>
      <c r="C80" s="7">
        <f>(Deviation_sequence!$B$233 + 0.5 *Deviation_sequence!$B$232) / (Deviation_sequence!C80 + 0.5 * Deviation_sequence!$B$232)</f>
        <v>0.3690609764</v>
      </c>
      <c r="D80" s="7">
        <f>(Deviation_sequence!$B$233 + 0.5 *Deviation_sequence!$B$232) / (Deviation_sequence!D80 + 0.5 * Deviation_sequence!$B$232)</f>
        <v>0.3932599504</v>
      </c>
      <c r="E80" s="7">
        <f>(Deviation_sequence!$B$233 + 0.5 *Deviation_sequence!$B$232) / (Deviation_sequence!E80 + 0.5 * Deviation_sequence!$B$232)</f>
        <v>0.4039773134</v>
      </c>
      <c r="F80" s="7">
        <f>(Deviation_sequence!$B$233 + 0.5 *Deviation_sequence!$B$232) / (Deviation_sequence!F80 + 0.5 * Deviation_sequence!$B$232)</f>
        <v>0.3902041656</v>
      </c>
      <c r="G80" s="7">
        <f>(Deviation_sequence!$B$233 + 0.5 *Deviation_sequence!$B$232) / (Deviation_sequence!G80 + 0.5 * Deviation_sequence!$B$232)</f>
        <v>0.3399140115</v>
      </c>
      <c r="H80" s="7">
        <f>(Deviation_sequence!$B$233 + 0.5 *Deviation_sequence!$B$232) / (Deviation_sequence!H80 + 0.5 * Deviation_sequence!$B$232)</f>
        <v>0.3931775265</v>
      </c>
      <c r="I80" s="7">
        <f>(Deviation_sequence!$B$233 + 0.5 *Deviation_sequence!$B$232) / (Deviation_sequence!I80 + 0.5 * Deviation_sequence!$B$232)</f>
        <v>0.3865090419</v>
      </c>
      <c r="J80" s="7">
        <f>(Deviation_sequence!$B$233 + 0.5 *Deviation_sequence!$B$232) / (Deviation_sequence!J80 + 0.5 * Deviation_sequence!$B$232)</f>
        <v>0.4167841361</v>
      </c>
      <c r="K80" s="7">
        <f>(Deviation_sequence!$B$233 + 0.5 *Deviation_sequence!$B$232) / (Deviation_sequence!K80 + 0.5 * Deviation_sequence!$B$232)</f>
        <v>0.4126439025</v>
      </c>
      <c r="L80" s="7">
        <f>(Deviation_sequence!$B$233 + 0.5 *Deviation_sequence!$B$232) / (Deviation_sequence!L80 + 0.5 * Deviation_sequence!$B$232)</f>
        <v>0.4033654082</v>
      </c>
      <c r="M80" s="7">
        <f>(Deviation_sequence!$B$233 + 0.5 *Deviation_sequence!$B$232) / (Deviation_sequence!M80 + 0.5 * Deviation_sequence!$B$232)</f>
        <v>0.4037423651</v>
      </c>
      <c r="O80" s="7">
        <f t="shared" si="3"/>
        <v>0.3881644853</v>
      </c>
    </row>
    <row r="81">
      <c r="A81" s="10" t="s">
        <v>16</v>
      </c>
      <c r="B81" s="7">
        <f>(Deviation_sequence!$B$233 + 0.5 *Deviation_sequence!$B$232) / (Deviation_sequence!B81 + 0.5 * Deviation_sequence!$B$232)</f>
        <v>0.3492051761</v>
      </c>
      <c r="C81" s="7">
        <f>(Deviation_sequence!$B$233 + 0.5 *Deviation_sequence!$B$232) / (Deviation_sequence!C81 + 0.5 * Deviation_sequence!$B$232)</f>
        <v>0.3466311114</v>
      </c>
      <c r="D81" s="7">
        <f>(Deviation_sequence!$B$233 + 0.5 *Deviation_sequence!$B$232) / (Deviation_sequence!D81 + 0.5 * Deviation_sequence!$B$232)</f>
        <v>0.3460309177</v>
      </c>
      <c r="E81" s="7">
        <f>(Deviation_sequence!$B$233 + 0.5 *Deviation_sequence!$B$232) / (Deviation_sequence!E81 + 0.5 * Deviation_sequence!$B$232)</f>
        <v>0.3450593845</v>
      </c>
      <c r="F81" s="7">
        <f>(Deviation_sequence!$B$233 + 0.5 *Deviation_sequence!$B$232) / (Deviation_sequence!F81 + 0.5 * Deviation_sequence!$B$232)</f>
        <v>0.3661115649</v>
      </c>
      <c r="G81" s="7">
        <f>(Deviation_sequence!$B$233 + 0.5 *Deviation_sequence!$B$232) / (Deviation_sequence!G81 + 0.5 * Deviation_sequence!$B$232)</f>
        <v>0.3980131901</v>
      </c>
      <c r="H81" s="7">
        <f>(Deviation_sequence!$B$233 + 0.5 *Deviation_sequence!$B$232) / (Deviation_sequence!H81 + 0.5 * Deviation_sequence!$B$232)</f>
        <v>0.4246674627</v>
      </c>
      <c r="I81" s="7">
        <f>(Deviation_sequence!$B$233 + 0.5 *Deviation_sequence!$B$232) / (Deviation_sequence!I81 + 0.5 * Deviation_sequence!$B$232)</f>
        <v>0.414159993</v>
      </c>
      <c r="J81" s="7">
        <f>(Deviation_sequence!$B$233 + 0.5 *Deviation_sequence!$B$232) / (Deviation_sequence!J81 + 0.5 * Deviation_sequence!$B$232)</f>
        <v>0.4409607008</v>
      </c>
      <c r="K81" s="7">
        <f>(Deviation_sequence!$B$233 + 0.5 *Deviation_sequence!$B$232) / (Deviation_sequence!K81 + 0.5 * Deviation_sequence!$B$232)</f>
        <v>0.5091715327</v>
      </c>
      <c r="L81" s="7">
        <f>(Deviation_sequence!$B$233 + 0.5 *Deviation_sequence!$B$232) / (Deviation_sequence!L81 + 0.5 * Deviation_sequence!$B$232)</f>
        <v>0.4392941965</v>
      </c>
      <c r="M81" s="7">
        <f>(Deviation_sequence!$B$233 + 0.5 *Deviation_sequence!$B$232) / (Deviation_sequence!M81 + 0.5 * Deviation_sequence!$B$232)</f>
        <v>0.4558688552</v>
      </c>
      <c r="O81" s="7">
        <f t="shared" si="3"/>
        <v>0.4029311738</v>
      </c>
    </row>
    <row r="82">
      <c r="A82" s="10" t="s">
        <v>17</v>
      </c>
      <c r="B82" s="7">
        <f>(Deviation_sequence!$B$233 + 0.5 *Deviation_sequence!$B$232) / (Deviation_sequence!B82 + 0.5 * Deviation_sequence!$B$232)</f>
        <v>0.7180109388</v>
      </c>
      <c r="C82" s="7">
        <f>(Deviation_sequence!$B$233 + 0.5 *Deviation_sequence!$B$232) / (Deviation_sequence!C82 + 0.5 * Deviation_sequence!$B$232)</f>
        <v>0.7695410744</v>
      </c>
      <c r="D82" s="7">
        <f>(Deviation_sequence!$B$233 + 0.5 *Deviation_sequence!$B$232) / (Deviation_sequence!D82 + 0.5 * Deviation_sequence!$B$232)</f>
        <v>0.7479639801</v>
      </c>
      <c r="E82" s="7">
        <f>(Deviation_sequence!$B$233 + 0.5 *Deviation_sequence!$B$232) / (Deviation_sequence!E82 + 0.5 * Deviation_sequence!$B$232)</f>
        <v>0.7583714203</v>
      </c>
      <c r="F82" s="7">
        <f>(Deviation_sequence!$B$233 + 0.5 *Deviation_sequence!$B$232) / (Deviation_sequence!F82 + 0.5 * Deviation_sequence!$B$232)</f>
        <v>0.6933969144</v>
      </c>
      <c r="G82" s="7">
        <f>(Deviation_sequence!$B$233 + 0.5 *Deviation_sequence!$B$232) / (Deviation_sequence!G82 + 0.5 * Deviation_sequence!$B$232)</f>
        <v>0.6791153626</v>
      </c>
      <c r="H82" s="7">
        <f>(Deviation_sequence!$B$233 + 0.5 *Deviation_sequence!$B$232) / (Deviation_sequence!H82 + 0.5 * Deviation_sequence!$B$232)</f>
        <v>0.7061066959</v>
      </c>
      <c r="I82" s="7">
        <f>(Deviation_sequence!$B$233 + 0.5 *Deviation_sequence!$B$232) / (Deviation_sequence!I82 + 0.5 * Deviation_sequence!$B$232)</f>
        <v>0.7391779992</v>
      </c>
      <c r="J82" s="7">
        <f>(Deviation_sequence!$B$233 + 0.5 *Deviation_sequence!$B$232) / (Deviation_sequence!J82 + 0.5 * Deviation_sequence!$B$232)</f>
        <v>0.7720162804</v>
      </c>
      <c r="K82" s="7">
        <f>(Deviation_sequence!$B$233 + 0.5 *Deviation_sequence!$B$232) / (Deviation_sequence!K82 + 0.5 * Deviation_sequence!$B$232)</f>
        <v>0.7460210057</v>
      </c>
      <c r="L82" s="7">
        <f>(Deviation_sequence!$B$233 + 0.5 *Deviation_sequence!$B$232) / (Deviation_sequence!L82 + 0.5 * Deviation_sequence!$B$232)</f>
        <v>0.8084316247</v>
      </c>
      <c r="M82" s="7">
        <f>(Deviation_sequence!$B$233 + 0.5 *Deviation_sequence!$B$232) / (Deviation_sequence!M82 + 0.5 * Deviation_sequence!$B$232)</f>
        <v>0.8093288196</v>
      </c>
      <c r="O82" s="7">
        <f t="shared" si="3"/>
        <v>0.7456235097</v>
      </c>
    </row>
    <row r="83">
      <c r="A83" s="10" t="s">
        <v>18</v>
      </c>
      <c r="B83" s="7">
        <f>(Deviation_sequence!$B$233 + 0.5 *Deviation_sequence!$B$232) / (Deviation_sequence!B83 + 0.5 * Deviation_sequence!$B$232)</f>
        <v>0.7184199822</v>
      </c>
      <c r="C83" s="7">
        <f>(Deviation_sequence!$B$233 + 0.5 *Deviation_sequence!$B$232) / (Deviation_sequence!C83 + 0.5 * Deviation_sequence!$B$232)</f>
        <v>0.7298045078</v>
      </c>
      <c r="D83" s="7">
        <f>(Deviation_sequence!$B$233 + 0.5 *Deviation_sequence!$B$232) / (Deviation_sequence!D83 + 0.5 * Deviation_sequence!$B$232)</f>
        <v>0.7188290656</v>
      </c>
      <c r="E83" s="7">
        <f>(Deviation_sequence!$B$233 + 0.5 *Deviation_sequence!$B$232) / (Deviation_sequence!E83 + 0.5 * Deviation_sequence!$B$232)</f>
        <v>0.7601411748</v>
      </c>
      <c r="F83" s="7">
        <f>(Deviation_sequence!$B$233 + 0.5 *Deviation_sequence!$B$232) / (Deviation_sequence!F83 + 0.5 * Deviation_sequence!$B$232)</f>
        <v>0.8494315794</v>
      </c>
      <c r="G83" s="7">
        <f>(Deviation_sequence!$B$233 + 0.5 *Deviation_sequence!$B$232) / (Deviation_sequence!G83 + 0.5 * Deviation_sequence!$B$232)</f>
        <v>0.9073719607</v>
      </c>
      <c r="H83" s="7">
        <f>(Deviation_sequence!$B$233 + 0.5 *Deviation_sequence!$B$232) / (Deviation_sequence!H83 + 0.5 * Deviation_sequence!$B$232)</f>
        <v>0.7986647972</v>
      </c>
      <c r="I83" s="7">
        <f>(Deviation_sequence!$B$233 + 0.5 *Deviation_sequence!$B$232) / (Deviation_sequence!I83 + 0.5 * Deviation_sequence!$B$232)</f>
        <v>0.718072743</v>
      </c>
      <c r="J83" s="7">
        <f>(Deviation_sequence!$B$233 + 0.5 *Deviation_sequence!$B$232) / (Deviation_sequence!J83 + 0.5 * Deviation_sequence!$B$232)</f>
        <v>0.8498238967</v>
      </c>
      <c r="K83" s="7">
        <f>(Deviation_sequence!$B$233 + 0.5 *Deviation_sequence!$B$232) / (Deviation_sequence!K83 + 0.5 * Deviation_sequence!$B$232)</f>
        <v>0.8571897531</v>
      </c>
      <c r="L83" s="7">
        <f>(Deviation_sequence!$B$233 + 0.5 *Deviation_sequence!$B$232) / (Deviation_sequence!L83 + 0.5 * Deviation_sequence!$B$232)</f>
        <v>0.8786447305</v>
      </c>
      <c r="M83" s="7">
        <f>(Deviation_sequence!$B$233 + 0.5 *Deviation_sequence!$B$232) / (Deviation_sequence!M83 + 0.5 * Deviation_sequence!$B$232)</f>
        <v>0.7814499046</v>
      </c>
      <c r="O83" s="7">
        <f t="shared" si="3"/>
        <v>0.7973203413</v>
      </c>
    </row>
    <row r="84">
      <c r="A84" s="10" t="s">
        <v>19</v>
      </c>
      <c r="B84" s="7">
        <f>(Deviation_sequence!$B$233 + 0.5 *Deviation_sequence!$B$232) / (Deviation_sequence!B84 + 0.5 * Deviation_sequence!$B$232)</f>
        <v>0.6489024555</v>
      </c>
      <c r="C84" s="7">
        <f>(Deviation_sequence!$B$233 + 0.5 *Deviation_sequence!$B$232) / (Deviation_sequence!C84 + 0.5 * Deviation_sequence!$B$232)</f>
        <v>0.6862935441</v>
      </c>
      <c r="D84" s="7">
        <f>(Deviation_sequence!$B$233 + 0.5 *Deviation_sequence!$B$232) / (Deviation_sequence!D84 + 0.5 * Deviation_sequence!$B$232)</f>
        <v>0.735913359</v>
      </c>
      <c r="E84" s="7">
        <f>(Deviation_sequence!$B$233 + 0.5 *Deviation_sequence!$B$232) / (Deviation_sequence!E84 + 0.5 * Deviation_sequence!$B$232)</f>
        <v>0.8377643745</v>
      </c>
      <c r="F84" s="7">
        <f>(Deviation_sequence!$B$233 + 0.5 *Deviation_sequence!$B$232) / (Deviation_sequence!F84 + 0.5 * Deviation_sequence!$B$232)</f>
        <v>0.8011646799</v>
      </c>
      <c r="G84" s="7">
        <f>(Deviation_sequence!$B$233 + 0.5 *Deviation_sequence!$B$232) / (Deviation_sequence!G84 + 0.5 * Deviation_sequence!$B$232)</f>
        <v>0.689063681</v>
      </c>
      <c r="H84" s="7">
        <f>(Deviation_sequence!$B$233 + 0.5 *Deviation_sequence!$B$232) / (Deviation_sequence!H84 + 0.5 * Deviation_sequence!$B$232)</f>
        <v>0.6517452844</v>
      </c>
      <c r="I84" s="7">
        <f>(Deviation_sequence!$B$233 + 0.5 *Deviation_sequence!$B$232) / (Deviation_sequence!I84 + 0.5 * Deviation_sequence!$B$232)</f>
        <v>0.6701275033</v>
      </c>
      <c r="J84" s="7">
        <f>(Deviation_sequence!$B$233 + 0.5 *Deviation_sequence!$B$232) / (Deviation_sequence!J84 + 0.5 * Deviation_sequence!$B$232)</f>
        <v>0.64928947</v>
      </c>
      <c r="K84" s="7">
        <f>(Deviation_sequence!$B$233 + 0.5 *Deviation_sequence!$B$232) / (Deviation_sequence!K84 + 0.5 * Deviation_sequence!$B$232)</f>
        <v>0.6570632603</v>
      </c>
      <c r="L84" s="7">
        <f>(Deviation_sequence!$B$233 + 0.5 *Deviation_sequence!$B$232) / (Deviation_sequence!L84 + 0.5 * Deviation_sequence!$B$232)</f>
        <v>0.7664685556</v>
      </c>
      <c r="M84" s="7">
        <f>(Deviation_sequence!$B$233 + 0.5 *Deviation_sequence!$B$232) / (Deviation_sequence!M84 + 0.5 * Deviation_sequence!$B$232)</f>
        <v>0.7965150082</v>
      </c>
      <c r="O84" s="7">
        <f t="shared" si="3"/>
        <v>0.7158592647</v>
      </c>
    </row>
    <row r="85">
      <c r="A85" s="10" t="s">
        <v>20</v>
      </c>
      <c r="B85" s="7">
        <f>(Deviation_sequence!$B$233 + 0.5 *Deviation_sequence!$B$232) / (Deviation_sequence!B85 + 0.5 * Deviation_sequence!$B$232)</f>
        <v>0.6021886034</v>
      </c>
      <c r="C85" s="7">
        <f>(Deviation_sequence!$B$233 + 0.5 *Deviation_sequence!$B$232) / (Deviation_sequence!C85 + 0.5 * Deviation_sequence!$B$232)</f>
        <v>0.659683643</v>
      </c>
      <c r="D85" s="7">
        <f>(Deviation_sequence!$B$233 + 0.5 *Deviation_sequence!$B$232) / (Deviation_sequence!D85 + 0.5 * Deviation_sequence!$B$232)</f>
        <v>0.6789745486</v>
      </c>
      <c r="E85" s="7">
        <f>(Deviation_sequence!$B$233 + 0.5 *Deviation_sequence!$B$232) / (Deviation_sequence!E85 + 0.5 * Deviation_sequence!$B$232)</f>
        <v>0.6092781978</v>
      </c>
      <c r="F85" s="7">
        <f>(Deviation_sequence!$B$233 + 0.5 *Deviation_sequence!$B$232) / (Deviation_sequence!F85 + 0.5 * Deviation_sequence!$B$232)</f>
        <v>0.5950613685</v>
      </c>
      <c r="G85" s="7">
        <f>(Deviation_sequence!$B$233 + 0.5 *Deviation_sequence!$B$232) / (Deviation_sequence!G85 + 0.5 * Deviation_sequence!$B$232)</f>
        <v>0.6012732388</v>
      </c>
      <c r="H85" s="7">
        <f>(Deviation_sequence!$B$233 + 0.5 *Deviation_sequence!$B$232) / (Deviation_sequence!H85 + 0.5 * Deviation_sequence!$B$232)</f>
        <v>0.5665890579</v>
      </c>
      <c r="I85" s="7">
        <f>(Deviation_sequence!$B$233 + 0.5 *Deviation_sequence!$B$232) / (Deviation_sequence!I85 + 0.5 * Deviation_sequence!$B$232)</f>
        <v>0.6085932508</v>
      </c>
      <c r="J85" s="7">
        <f>(Deviation_sequence!$B$233 + 0.5 *Deviation_sequence!$B$232) / (Deviation_sequence!J85 + 0.5 * Deviation_sequence!$B$232)</f>
        <v>0.6028146316</v>
      </c>
      <c r="K85" s="7">
        <f>(Deviation_sequence!$B$233 + 0.5 *Deviation_sequence!$B$232) / (Deviation_sequence!K85 + 0.5 * Deviation_sequence!$B$232)</f>
        <v>0.5405495085</v>
      </c>
      <c r="L85" s="7">
        <f>(Deviation_sequence!$B$233 + 0.5 *Deviation_sequence!$B$232) / (Deviation_sequence!L85 + 0.5 * Deviation_sequence!$B$232)</f>
        <v>0.5998734627</v>
      </c>
      <c r="M85" s="7">
        <f>(Deviation_sequence!$B$233 + 0.5 *Deviation_sequence!$B$232) / (Deviation_sequence!M85 + 0.5 * Deviation_sequence!$B$232)</f>
        <v>0.540532653</v>
      </c>
      <c r="O85" s="7">
        <f t="shared" si="3"/>
        <v>0.6004510137</v>
      </c>
    </row>
    <row r="86">
      <c r="A86" s="10" t="s">
        <v>21</v>
      </c>
      <c r="B86" s="7">
        <f>(Deviation_sequence!$B$233 + 0.5 *Deviation_sequence!$B$232) / (Deviation_sequence!B86 + 0.5 * Deviation_sequence!$B$232)</f>
        <v>0.345342108</v>
      </c>
      <c r="C86" s="7">
        <f>(Deviation_sequence!$B$233 + 0.5 *Deviation_sequence!$B$232) / (Deviation_sequence!C86 + 0.5 * Deviation_sequence!$B$232)</f>
        <v>0.3559701853</v>
      </c>
      <c r="D86" s="7">
        <f>(Deviation_sequence!$B$233 + 0.5 *Deviation_sequence!$B$232) / (Deviation_sequence!D86 + 0.5 * Deviation_sequence!$B$232)</f>
        <v>0.3468883203</v>
      </c>
      <c r="E86" s="7">
        <f>(Deviation_sequence!$B$233 + 0.5 *Deviation_sequence!$B$232) / (Deviation_sequence!E86 + 0.5 * Deviation_sequence!$B$232)</f>
        <v>0.3521798327</v>
      </c>
      <c r="F86" s="7">
        <f>(Deviation_sequence!$B$233 + 0.5 *Deviation_sequence!$B$232) / (Deviation_sequence!F86 + 0.5 * Deviation_sequence!$B$232)</f>
        <v>0.3685370336</v>
      </c>
      <c r="G86" s="7">
        <f>(Deviation_sequence!$B$233 + 0.5 *Deviation_sequence!$B$232) / (Deviation_sequence!G86 + 0.5 * Deviation_sequence!$B$232)</f>
        <v>0.3650683419</v>
      </c>
      <c r="H86" s="7">
        <f>(Deviation_sequence!$B$233 + 0.5 *Deviation_sequence!$B$232) / (Deviation_sequence!H86 + 0.5 * Deviation_sequence!$B$232)</f>
        <v>0.3761246877</v>
      </c>
      <c r="I86" s="7">
        <f>(Deviation_sequence!$B$233 + 0.5 *Deviation_sequence!$B$232) / (Deviation_sequence!I86 + 0.5 * Deviation_sequence!$B$232)</f>
        <v>0.385860272</v>
      </c>
      <c r="J86" s="7">
        <f>(Deviation_sequence!$B$233 + 0.5 *Deviation_sequence!$B$232) / (Deviation_sequence!J86 + 0.5 * Deviation_sequence!$B$232)</f>
        <v>0.3805492838</v>
      </c>
      <c r="K86" s="7">
        <f>(Deviation_sequence!$B$233 + 0.5 *Deviation_sequence!$B$232) / (Deviation_sequence!K86 + 0.5 * Deviation_sequence!$B$232)</f>
        <v>0.3730537388</v>
      </c>
      <c r="L86" s="7">
        <f>(Deviation_sequence!$B$233 + 0.5 *Deviation_sequence!$B$232) / (Deviation_sequence!L86 + 0.5 * Deviation_sequence!$B$232)</f>
        <v>0.3795873682</v>
      </c>
      <c r="M86" s="7">
        <f>(Deviation_sequence!$B$233 + 0.5 *Deviation_sequence!$B$232) / (Deviation_sequence!M86 + 0.5 * Deviation_sequence!$B$232)</f>
        <v>0.3698931419</v>
      </c>
      <c r="O86" s="7">
        <f t="shared" si="3"/>
        <v>0.3665878595</v>
      </c>
    </row>
    <row r="87">
      <c r="A87" s="10" t="s">
        <v>22</v>
      </c>
      <c r="B87" s="7">
        <f>(Deviation_sequence!$B$233 + 0.5 *Deviation_sequence!$B$232) / (Deviation_sequence!B87 + 0.5 * Deviation_sequence!$B$232)</f>
        <v>0.6682302165</v>
      </c>
      <c r="C87" s="7">
        <f>(Deviation_sequence!$B$233 + 0.5 *Deviation_sequence!$B$232) / (Deviation_sequence!C87 + 0.5 * Deviation_sequence!$B$232)</f>
        <v>0.6955312104</v>
      </c>
      <c r="D87" s="7">
        <f>(Deviation_sequence!$B$233 + 0.5 *Deviation_sequence!$B$232) / (Deviation_sequence!D87 + 0.5 * Deviation_sequence!$B$232)</f>
        <v>0.671379189</v>
      </c>
      <c r="E87" s="7">
        <f>(Deviation_sequence!$B$233 + 0.5 *Deviation_sequence!$B$232) / (Deviation_sequence!E87 + 0.5 * Deviation_sequence!$B$232)</f>
        <v>0.6668938745</v>
      </c>
      <c r="F87" s="7">
        <f>(Deviation_sequence!$B$233 + 0.5 *Deviation_sequence!$B$232) / (Deviation_sequence!F87 + 0.5 * Deviation_sequence!$B$232)</f>
        <v>0.6461354335</v>
      </c>
      <c r="G87" s="7">
        <f>(Deviation_sequence!$B$233 + 0.5 *Deviation_sequence!$B$232) / (Deviation_sequence!G87 + 0.5 * Deviation_sequence!$B$232)</f>
        <v>0.7187099266</v>
      </c>
      <c r="H87" s="7">
        <f>(Deviation_sequence!$B$233 + 0.5 *Deviation_sequence!$B$232) / (Deviation_sequence!H87 + 0.5 * Deviation_sequence!$B$232)</f>
        <v>0.7621818852</v>
      </c>
      <c r="I87" s="7">
        <f>(Deviation_sequence!$B$233 + 0.5 *Deviation_sequence!$B$232) / (Deviation_sequence!I87 + 0.5 * Deviation_sequence!$B$232)</f>
        <v>0.6788601691</v>
      </c>
      <c r="J87" s="7">
        <f>(Deviation_sequence!$B$233 + 0.5 *Deviation_sequence!$B$232) / (Deviation_sequence!J87 + 0.5 * Deviation_sequence!$B$232)</f>
        <v>0.6608206568</v>
      </c>
      <c r="K87" s="7">
        <f>(Deviation_sequence!$B$233 + 0.5 *Deviation_sequence!$B$232) / (Deviation_sequence!K87 + 0.5 * Deviation_sequence!$B$232)</f>
        <v>0.6365253954</v>
      </c>
      <c r="L87" s="7">
        <f>(Deviation_sequence!$B$233 + 0.5 *Deviation_sequence!$B$232) / (Deviation_sequence!L87 + 0.5 * Deviation_sequence!$B$232)</f>
        <v>0.7361244061</v>
      </c>
      <c r="M87" s="7">
        <f>(Deviation_sequence!$B$233 + 0.5 *Deviation_sequence!$B$232) / (Deviation_sequence!M87 + 0.5 * Deviation_sequence!$B$232)</f>
        <v>0.8073753559</v>
      </c>
      <c r="O87" s="7">
        <f t="shared" si="3"/>
        <v>0.6957306432</v>
      </c>
    </row>
    <row r="88">
      <c r="A88" s="10" t="s">
        <v>23</v>
      </c>
      <c r="B88" s="7">
        <f>(Deviation_sequence!$B$233 + 0.5 *Deviation_sequence!$B$232) / (Deviation_sequence!B88 + 0.5 * Deviation_sequence!$B$232)</f>
        <v>0.5166530186</v>
      </c>
      <c r="C88" s="7">
        <f>(Deviation_sequence!$B$233 + 0.5 *Deviation_sequence!$B$232) / (Deviation_sequence!C88 + 0.5 * Deviation_sequence!$B$232)</f>
        <v>0.544041423</v>
      </c>
      <c r="D88" s="7">
        <f>(Deviation_sequence!$B$233 + 0.5 *Deviation_sequence!$B$232) / (Deviation_sequence!D88 + 0.5 * Deviation_sequence!$B$232)</f>
        <v>0.5206974158</v>
      </c>
      <c r="E88" s="7">
        <f>(Deviation_sequence!$B$233 + 0.5 *Deviation_sequence!$B$232) / (Deviation_sequence!E88 + 0.5 * Deviation_sequence!$B$232)</f>
        <v>0.6002007973</v>
      </c>
      <c r="F88" s="7">
        <f>(Deviation_sequence!$B$233 + 0.5 *Deviation_sequence!$B$232) / (Deviation_sequence!F88 + 0.5 * Deviation_sequence!$B$232)</f>
        <v>0.7269387181</v>
      </c>
      <c r="G88" s="7">
        <f>(Deviation_sequence!$B$233 + 0.5 *Deviation_sequence!$B$232) / (Deviation_sequence!G88 + 0.5 * Deviation_sequence!$B$232)</f>
        <v>0.7040163772</v>
      </c>
      <c r="H88" s="7">
        <f>(Deviation_sequence!$B$233 + 0.5 *Deviation_sequence!$B$232) / (Deviation_sequence!H88 + 0.5 * Deviation_sequence!$B$232)</f>
        <v>0.994806467</v>
      </c>
      <c r="I88" s="7">
        <f>(Deviation_sequence!$B$233 + 0.5 *Deviation_sequence!$B$232) / (Deviation_sequence!I88 + 0.5 * Deviation_sequence!$B$232)</f>
        <v>0.9783521977</v>
      </c>
      <c r="J88" s="7">
        <f>(Deviation_sequence!$B$233 + 0.5 *Deviation_sequence!$B$232) / (Deviation_sequence!J88 + 0.5 * Deviation_sequence!$B$232)</f>
        <v>0.939456646</v>
      </c>
      <c r="K88" s="7">
        <f>(Deviation_sequence!$B$233 + 0.5 *Deviation_sequence!$B$232) / (Deviation_sequence!K88 + 0.5 * Deviation_sequence!$B$232)</f>
        <v>0.7368442876</v>
      </c>
      <c r="L88" s="7">
        <f>(Deviation_sequence!$B$233 + 0.5 *Deviation_sequence!$B$232) / (Deviation_sequence!L88 + 0.5 * Deviation_sequence!$B$232)</f>
        <v>0.7069871752</v>
      </c>
      <c r="M88" s="7">
        <f>(Deviation_sequence!$B$233 + 0.5 *Deviation_sequence!$B$232) / (Deviation_sequence!M88 + 0.5 * Deviation_sequence!$B$232)</f>
        <v>0.7016782153</v>
      </c>
      <c r="O88" s="7">
        <f t="shared" si="3"/>
        <v>0.7225560616</v>
      </c>
    </row>
    <row r="89">
      <c r="A89" s="10" t="s">
        <v>24</v>
      </c>
      <c r="B89" s="7">
        <f>(Deviation_sequence!$B$233 + 0.5 *Deviation_sequence!$B$232) / (Deviation_sequence!B89 + 0.5 * Deviation_sequence!$B$232)</f>
        <v>0.4509756097</v>
      </c>
      <c r="C89" s="7">
        <f>(Deviation_sequence!$B$233 + 0.5 *Deviation_sequence!$B$232) / (Deviation_sequence!C89 + 0.5 * Deviation_sequence!$B$232)</f>
        <v>0.4797696193</v>
      </c>
      <c r="D89" s="7">
        <f>(Deviation_sequence!$B$233 + 0.5 *Deviation_sequence!$B$232) / (Deviation_sequence!D89 + 0.5 * Deviation_sequence!$B$232)</f>
        <v>0.4697794954</v>
      </c>
      <c r="E89" s="7">
        <f>(Deviation_sequence!$B$233 + 0.5 *Deviation_sequence!$B$232) / (Deviation_sequence!E89 + 0.5 * Deviation_sequence!$B$232)</f>
        <v>0.7009536942</v>
      </c>
      <c r="F89" s="7">
        <f>(Deviation_sequence!$B$233 + 0.5 *Deviation_sequence!$B$232) / (Deviation_sequence!F89 + 0.5 * Deviation_sequence!$B$232)</f>
        <v>0.7751478807</v>
      </c>
      <c r="G89" s="7">
        <f>(Deviation_sequence!$B$233 + 0.5 *Deviation_sequence!$B$232) / (Deviation_sequence!G89 + 0.5 * Deviation_sequence!$B$232)</f>
        <v>0.5643765432</v>
      </c>
      <c r="H89" s="7">
        <f>(Deviation_sequence!$B$233 + 0.5 *Deviation_sequence!$B$232) / (Deviation_sequence!H89 + 0.5 * Deviation_sequence!$B$232)</f>
        <v>0.6170363065</v>
      </c>
      <c r="I89" s="7">
        <f>(Deviation_sequence!$B$233 + 0.5 *Deviation_sequence!$B$232) / (Deviation_sequence!I89 + 0.5 * Deviation_sequence!$B$232)</f>
        <v>0.6207602409</v>
      </c>
      <c r="J89" s="7">
        <f>(Deviation_sequence!$B$233 + 0.5 *Deviation_sequence!$B$232) / (Deviation_sequence!J89 + 0.5 * Deviation_sequence!$B$232)</f>
        <v>0.3984451343</v>
      </c>
      <c r="K89" s="7">
        <f>(Deviation_sequence!$B$233 + 0.5 *Deviation_sequence!$B$232) / (Deviation_sequence!K89 + 0.5 * Deviation_sequence!$B$232)</f>
        <v>0.4579149744</v>
      </c>
      <c r="L89" s="7">
        <f>(Deviation_sequence!$B$233 + 0.5 *Deviation_sequence!$B$232) / (Deviation_sequence!L89 + 0.5 * Deviation_sequence!$B$232)</f>
        <v>0.4796267127</v>
      </c>
      <c r="M89" s="7">
        <f>(Deviation_sequence!$B$233 + 0.5 *Deviation_sequence!$B$232) / (Deviation_sequence!M89 + 0.5 * Deviation_sequence!$B$232)</f>
        <v>0.4235461153</v>
      </c>
      <c r="O89" s="7">
        <f t="shared" si="3"/>
        <v>0.5365276939</v>
      </c>
    </row>
    <row r="90">
      <c r="A90" s="10" t="s">
        <v>25</v>
      </c>
      <c r="B90" s="7">
        <f>(Deviation_sequence!$B$233 + 0.5 *Deviation_sequence!$B$232) / (Deviation_sequence!B90 + 0.5 * Deviation_sequence!$B$232)</f>
        <v>0.838654809</v>
      </c>
      <c r="C90" s="7">
        <f>(Deviation_sequence!$B$233 + 0.5 *Deviation_sequence!$B$232) / (Deviation_sequence!C90 + 0.5 * Deviation_sequence!$B$232)</f>
        <v>0.8469151759</v>
      </c>
      <c r="D90" s="7">
        <f>(Deviation_sequence!$B$233 + 0.5 *Deviation_sequence!$B$232) / (Deviation_sequence!D90 + 0.5 * Deviation_sequence!$B$232)</f>
        <v>0.8177556778</v>
      </c>
      <c r="E90" s="7">
        <f>(Deviation_sequence!$B$233 + 0.5 *Deviation_sequence!$B$232) / (Deviation_sequence!E90 + 0.5 * Deviation_sequence!$B$232)</f>
        <v>0.7462525191</v>
      </c>
      <c r="F90" s="7">
        <f>(Deviation_sequence!$B$233 + 0.5 *Deviation_sequence!$B$232) / (Deviation_sequence!F90 + 0.5 * Deviation_sequence!$B$232)</f>
        <v>0.4895901499</v>
      </c>
      <c r="G90" s="7">
        <f>(Deviation_sequence!$B$233 + 0.5 *Deviation_sequence!$B$232) / (Deviation_sequence!G90 + 0.5 * Deviation_sequence!$B$232)</f>
        <v>0.9232673908</v>
      </c>
      <c r="H90" s="7">
        <f>(Deviation_sequence!$B$233 + 0.5 *Deviation_sequence!$B$232) / (Deviation_sequence!H90 + 0.5 * Deviation_sequence!$B$232)</f>
        <v>0.8974630787</v>
      </c>
      <c r="I90" s="7">
        <f>(Deviation_sequence!$B$233 + 0.5 *Deviation_sequence!$B$232) / (Deviation_sequence!I90 + 0.5 * Deviation_sequence!$B$232)</f>
        <v>0.9459352972</v>
      </c>
      <c r="J90" s="7">
        <f>(Deviation_sequence!$B$233 + 0.5 *Deviation_sequence!$B$232) / (Deviation_sequence!J90 + 0.5 * Deviation_sequence!$B$232)</f>
        <v>0.8423494288</v>
      </c>
      <c r="K90" s="7">
        <f>(Deviation_sequence!$B$233 + 0.5 *Deviation_sequence!$B$232) / (Deviation_sequence!K90 + 0.5 * Deviation_sequence!$B$232)</f>
        <v>0.9535005697</v>
      </c>
      <c r="L90" s="7">
        <f>(Deviation_sequence!$B$233 + 0.5 *Deviation_sequence!$B$232) / (Deviation_sequence!L90 + 0.5 * Deviation_sequence!$B$232)</f>
        <v>0.9596573591</v>
      </c>
      <c r="M90" s="7">
        <f>(Deviation_sequence!$B$233 + 0.5 *Deviation_sequence!$B$232) / (Deviation_sequence!M90 + 0.5 * Deviation_sequence!$B$232)</f>
        <v>0.9763625041</v>
      </c>
      <c r="O90" s="7">
        <f t="shared" si="3"/>
        <v>0.8531419967</v>
      </c>
    </row>
    <row r="91">
      <c r="A91" s="10" t="s">
        <v>26</v>
      </c>
      <c r="B91" s="7">
        <f>(Deviation_sequence!$B$233 + 0.5 *Deviation_sequence!$B$232) / (Deviation_sequence!B91 + 0.5 * Deviation_sequence!$B$232)</f>
        <v>0.9537669361</v>
      </c>
      <c r="C91" s="7">
        <f>(Deviation_sequence!$B$233 + 0.5 *Deviation_sequence!$B$232) / (Deviation_sequence!C91 + 0.5 * Deviation_sequence!$B$232)</f>
        <v>0.9397753651</v>
      </c>
      <c r="D91" s="7">
        <f>(Deviation_sequence!$B$233 + 0.5 *Deviation_sequence!$B$232) / (Deviation_sequence!D91 + 0.5 * Deviation_sequence!$B$232)</f>
        <v>0.8549937506</v>
      </c>
      <c r="E91" s="7">
        <f>(Deviation_sequence!$B$233 + 0.5 *Deviation_sequence!$B$232) / (Deviation_sequence!E91 + 0.5 * Deviation_sequence!$B$232)</f>
        <v>0.5270320907</v>
      </c>
      <c r="F91" s="7">
        <f>(Deviation_sequence!$B$233 + 0.5 *Deviation_sequence!$B$232) / (Deviation_sequence!F91 + 0.5 * Deviation_sequence!$B$232)</f>
        <v>0.9365861164</v>
      </c>
      <c r="G91" s="7">
        <f>(Deviation_sequence!$B$233 + 0.5 *Deviation_sequence!$B$232) / (Deviation_sequence!G91 + 0.5 * Deviation_sequence!$B$232)</f>
        <v>0.9282587614</v>
      </c>
      <c r="H91" s="7">
        <f>(Deviation_sequence!$B$233 + 0.5 *Deviation_sequence!$B$232) / (Deviation_sequence!H91 + 0.5 * Deviation_sequence!$B$232)</f>
        <v>0.7560686919</v>
      </c>
      <c r="I91" s="7">
        <f>(Deviation_sequence!$B$233 + 0.5 *Deviation_sequence!$B$232) / (Deviation_sequence!I91 + 0.5 * Deviation_sequence!$B$232)</f>
        <v>0.5781179716</v>
      </c>
      <c r="J91" s="7">
        <f>(Deviation_sequence!$B$233 + 0.5 *Deviation_sequence!$B$232) / (Deviation_sequence!J91 + 0.5 * Deviation_sequence!$B$232)</f>
        <v>0.9362592153</v>
      </c>
      <c r="K91" s="7">
        <f>(Deviation_sequence!$B$233 + 0.5 *Deviation_sequence!$B$232) / (Deviation_sequence!K91 + 0.5 * Deviation_sequence!$B$232)</f>
        <v>0.9818885731</v>
      </c>
      <c r="L91" s="7">
        <f>(Deviation_sequence!$B$233 + 0.5 *Deviation_sequence!$B$232) / (Deviation_sequence!L91 + 0.5 * Deviation_sequence!$B$232)</f>
        <v>0.9752831149</v>
      </c>
      <c r="M91" s="7">
        <f>(Deviation_sequence!$B$233 + 0.5 *Deviation_sequence!$B$232) / (Deviation_sequence!M91 + 0.5 * Deviation_sequence!$B$232)</f>
        <v>0.9493456744</v>
      </c>
      <c r="O91" s="7">
        <f t="shared" si="3"/>
        <v>0.8597813551</v>
      </c>
    </row>
    <row r="92">
      <c r="A92" s="10" t="s">
        <v>27</v>
      </c>
      <c r="B92" s="7">
        <f>(Deviation_sequence!$B$233 + 0.5 *Deviation_sequence!$B$232) / (Deviation_sequence!B92 + 0.5 * Deviation_sequence!$B$232)</f>
        <v>0.47103683</v>
      </c>
      <c r="C92" s="7">
        <f>(Deviation_sequence!$B$233 + 0.5 *Deviation_sequence!$B$232) / (Deviation_sequence!C92 + 0.5 * Deviation_sequence!$B$232)</f>
        <v>0.4786311847</v>
      </c>
      <c r="D92" s="7">
        <f>(Deviation_sequence!$B$233 + 0.5 *Deviation_sequence!$B$232) / (Deviation_sequence!D92 + 0.5 * Deviation_sequence!$B$232)</f>
        <v>0.472246207</v>
      </c>
      <c r="E92" s="7">
        <f>(Deviation_sequence!$B$233 + 0.5 *Deviation_sequence!$B$232) / (Deviation_sequence!E92 + 0.5 * Deviation_sequence!$B$232)</f>
        <v>0.4651925204</v>
      </c>
      <c r="F92" s="7">
        <f>(Deviation_sequence!$B$233 + 0.5 *Deviation_sequence!$B$232) / (Deviation_sequence!F92 + 0.5 * Deviation_sequence!$B$232)</f>
        <v>0.4830573846</v>
      </c>
      <c r="G92" s="7">
        <f>(Deviation_sequence!$B$233 + 0.5 *Deviation_sequence!$B$232) / (Deviation_sequence!G92 + 0.5 * Deviation_sequence!$B$232)</f>
        <v>0.4491609114</v>
      </c>
      <c r="H92" s="7">
        <f>(Deviation_sequence!$B$233 + 0.5 *Deviation_sequence!$B$232) / (Deviation_sequence!H92 + 0.5 * Deviation_sequence!$B$232)</f>
        <v>0.452717841</v>
      </c>
      <c r="I92" s="7">
        <f>(Deviation_sequence!$B$233 + 0.5 *Deviation_sequence!$B$232) / (Deviation_sequence!I92 + 0.5 * Deviation_sequence!$B$232)</f>
        <v>0.4541267615</v>
      </c>
      <c r="J92" s="7">
        <f>(Deviation_sequence!$B$233 + 0.5 *Deviation_sequence!$B$232) / (Deviation_sequence!J92 + 0.5 * Deviation_sequence!$B$232)</f>
        <v>0.4313968854</v>
      </c>
      <c r="K92" s="7">
        <f>(Deviation_sequence!$B$233 + 0.5 *Deviation_sequence!$B$232) / (Deviation_sequence!K92 + 0.5 * Deviation_sequence!$B$232)</f>
        <v>0.431378175</v>
      </c>
      <c r="L92" s="7">
        <f>(Deviation_sequence!$B$233 + 0.5 *Deviation_sequence!$B$232) / (Deviation_sequence!L92 + 0.5 * Deviation_sequence!$B$232)</f>
        <v>0.4518143141</v>
      </c>
      <c r="M92" s="7">
        <f>(Deviation_sequence!$B$233 + 0.5 *Deviation_sequence!$B$232) / (Deviation_sequence!M92 + 0.5 * Deviation_sequence!$B$232)</f>
        <v>0.4291874293</v>
      </c>
      <c r="O92" s="7">
        <f t="shared" si="3"/>
        <v>0.4558288704</v>
      </c>
    </row>
    <row r="93">
      <c r="A93" s="10" t="s">
        <v>28</v>
      </c>
      <c r="B93" s="7">
        <f>(Deviation_sequence!$B$233 + 0.5 *Deviation_sequence!$B$232) / (Deviation_sequence!B93 + 0.5 * Deviation_sequence!$B$232)</f>
        <v>0.7031264706</v>
      </c>
      <c r="C93" s="7">
        <f>(Deviation_sequence!$B$233 + 0.5 *Deviation_sequence!$B$232) / (Deviation_sequence!C93 + 0.5 * Deviation_sequence!$B$232)</f>
        <v>0.8246647329</v>
      </c>
      <c r="D93" s="7">
        <f>(Deviation_sequence!$B$233 + 0.5 *Deviation_sequence!$B$232) / (Deviation_sequence!D93 + 0.5 * Deviation_sequence!$B$232)</f>
        <v>0.6450460257</v>
      </c>
      <c r="E93" s="7">
        <f>(Deviation_sequence!$B$233 + 0.5 *Deviation_sequence!$B$232) / (Deviation_sequence!E93 + 0.5 * Deviation_sequence!$B$232)</f>
        <v>0.6069938376</v>
      </c>
      <c r="F93" s="7">
        <f>(Deviation_sequence!$B$233 + 0.5 *Deviation_sequence!$B$232) / (Deviation_sequence!F93 + 0.5 * Deviation_sequence!$B$232)</f>
        <v>0.6427760248</v>
      </c>
      <c r="G93" s="7">
        <f>(Deviation_sequence!$B$233 + 0.5 *Deviation_sequence!$B$232) / (Deviation_sequence!G93 + 0.5 * Deviation_sequence!$B$232)</f>
        <v>0.6083542162</v>
      </c>
      <c r="H93" s="7">
        <f>(Deviation_sequence!$B$233 + 0.5 *Deviation_sequence!$B$232) / (Deviation_sequence!H93 + 0.5 * Deviation_sequence!$B$232)</f>
        <v>0.5936387062</v>
      </c>
      <c r="I93" s="7">
        <f>(Deviation_sequence!$B$233 + 0.5 *Deviation_sequence!$B$232) / (Deviation_sequence!I93 + 0.5 * Deviation_sequence!$B$232)</f>
        <v>0.6051487969</v>
      </c>
      <c r="J93" s="7">
        <f>(Deviation_sequence!$B$233 + 0.5 *Deviation_sequence!$B$232) / (Deviation_sequence!J93 + 0.5 * Deviation_sequence!$B$232)</f>
        <v>0.6463962026</v>
      </c>
      <c r="K93" s="7">
        <f>(Deviation_sequence!$B$233 + 0.5 *Deviation_sequence!$B$232) / (Deviation_sequence!K93 + 0.5 * Deviation_sequence!$B$232)</f>
        <v>0.5924422046</v>
      </c>
      <c r="L93" s="7">
        <f>(Deviation_sequence!$B$233 + 0.5 *Deviation_sequence!$B$232) / (Deviation_sequence!L93 + 0.5 * Deviation_sequence!$B$232)</f>
        <v>0.6211805471</v>
      </c>
      <c r="M93" s="7">
        <f>(Deviation_sequence!$B$233 + 0.5 *Deviation_sequence!$B$232) / (Deviation_sequence!M93 + 0.5 * Deviation_sequence!$B$232)</f>
        <v>0.5390024668</v>
      </c>
      <c r="O93" s="7">
        <f t="shared" si="3"/>
        <v>0.6357308527</v>
      </c>
    </row>
    <row r="94">
      <c r="A94" s="10" t="s">
        <v>29</v>
      </c>
      <c r="B94" s="7">
        <f>(Deviation_sequence!$B$233 + 0.5 *Deviation_sequence!$B$232) / (Deviation_sequence!B94 + 0.5 * Deviation_sequence!$B$232)</f>
        <v>0.7522020626</v>
      </c>
      <c r="C94" s="7">
        <f>(Deviation_sequence!$B$233 + 0.5 *Deviation_sequence!$B$232) / (Deviation_sequence!C94 + 0.5 * Deviation_sequence!$B$232)</f>
        <v>0.7617841958</v>
      </c>
      <c r="D94" s="7">
        <f>(Deviation_sequence!$B$233 + 0.5 *Deviation_sequence!$B$232) / (Deviation_sequence!D94 + 0.5 * Deviation_sequence!$B$232)</f>
        <v>0.6931250741</v>
      </c>
      <c r="E94" s="7">
        <f>(Deviation_sequence!$B$233 + 0.5 *Deviation_sequence!$B$232) / (Deviation_sequence!E94 + 0.5 * Deviation_sequence!$B$232)</f>
        <v>0.7421732276</v>
      </c>
      <c r="F94" s="7">
        <f>(Deviation_sequence!$B$233 + 0.5 *Deviation_sequence!$B$232) / (Deviation_sequence!F94 + 0.5 * Deviation_sequence!$B$232)</f>
        <v>0.8717586832</v>
      </c>
      <c r="G94" s="7">
        <f>(Deviation_sequence!$B$233 + 0.5 *Deviation_sequence!$B$232) / (Deviation_sequence!G94 + 0.5 * Deviation_sequence!$B$232)</f>
        <v>0.7112361637</v>
      </c>
      <c r="H94" s="7">
        <f>(Deviation_sequence!$B$233 + 0.5 *Deviation_sequence!$B$232) / (Deviation_sequence!H94 + 0.5 * Deviation_sequence!$B$232)</f>
        <v>0.7365463395</v>
      </c>
      <c r="I94" s="7">
        <f>(Deviation_sequence!$B$233 + 0.5 *Deviation_sequence!$B$232) / (Deviation_sequence!I94 + 0.5 * Deviation_sequence!$B$232)</f>
        <v>0.794266491</v>
      </c>
      <c r="J94" s="7">
        <f>(Deviation_sequence!$B$233 + 0.5 *Deviation_sequence!$B$232) / (Deviation_sequence!J94 + 0.5 * Deviation_sequence!$B$232)</f>
        <v>0.8120550415</v>
      </c>
      <c r="K94" s="7">
        <f>(Deviation_sequence!$B$233 + 0.5 *Deviation_sequence!$B$232) / (Deviation_sequence!K94 + 0.5 * Deviation_sequence!$B$232)</f>
        <v>0.7553938728</v>
      </c>
      <c r="L94" s="7">
        <f>(Deviation_sequence!$B$233 + 0.5 *Deviation_sequence!$B$232) / (Deviation_sequence!L94 + 0.5 * Deviation_sequence!$B$232)</f>
        <v>0.7615396556</v>
      </c>
      <c r="M94" s="7">
        <f>(Deviation_sequence!$B$233 + 0.5 *Deviation_sequence!$B$232) / (Deviation_sequence!M94 + 0.5 * Deviation_sequence!$B$232)</f>
        <v>0.7439025041</v>
      </c>
      <c r="O94" s="7">
        <f t="shared" si="3"/>
        <v>0.7613319426</v>
      </c>
    </row>
    <row r="95">
      <c r="A95" s="10" t="s">
        <v>30</v>
      </c>
      <c r="B95" s="7">
        <f>(Deviation_sequence!$B$233 + 0.5 *Deviation_sequence!$B$232) / (Deviation_sequence!B95 + 0.5 * Deviation_sequence!$B$232)</f>
        <v>0.7021886012</v>
      </c>
      <c r="C95" s="7">
        <f>(Deviation_sequence!$B$233 + 0.5 *Deviation_sequence!$B$232) / (Deviation_sequence!C95 + 0.5 * Deviation_sequence!$B$232)</f>
        <v>0.690642934</v>
      </c>
      <c r="D95" s="7">
        <f>(Deviation_sequence!$B$233 + 0.5 *Deviation_sequence!$B$232) / (Deviation_sequence!D95 + 0.5 * Deviation_sequence!$B$232)</f>
        <v>0.8531554397</v>
      </c>
      <c r="E95" s="7">
        <f>(Deviation_sequence!$B$233 + 0.5 *Deviation_sequence!$B$232) / (Deviation_sequence!E95 + 0.5 * Deviation_sequence!$B$232)</f>
        <v>0.9204852652</v>
      </c>
      <c r="F95" s="7">
        <f>(Deviation_sequence!$B$233 + 0.5 *Deviation_sequence!$B$232) / (Deviation_sequence!F95 + 0.5 * Deviation_sequence!$B$232)</f>
        <v>0.9252590443</v>
      </c>
      <c r="G95" s="7">
        <f>(Deviation_sequence!$B$233 + 0.5 *Deviation_sequence!$B$232) / (Deviation_sequence!G95 + 0.5 * Deviation_sequence!$B$232)</f>
        <v>0.8832177101</v>
      </c>
      <c r="H95" s="7">
        <f>(Deviation_sequence!$B$233 + 0.5 *Deviation_sequence!$B$232) / (Deviation_sequence!H95 + 0.5 * Deviation_sequence!$B$232)</f>
        <v>0.8371137756</v>
      </c>
      <c r="I95" s="7">
        <f>(Deviation_sequence!$B$233 + 0.5 *Deviation_sequence!$B$232) / (Deviation_sequence!I95 + 0.5 * Deviation_sequence!$B$232)</f>
        <v>0.8064804904</v>
      </c>
      <c r="J95" s="7">
        <f>(Deviation_sequence!$B$233 + 0.5 *Deviation_sequence!$B$232) / (Deviation_sequence!J95 + 0.5 * Deviation_sequence!$B$232)</f>
        <v>0.8352590719</v>
      </c>
      <c r="K95" s="7">
        <f>(Deviation_sequence!$B$233 + 0.5 *Deviation_sequence!$B$232) / (Deviation_sequence!K95 + 0.5 * Deviation_sequence!$B$232)</f>
        <v>0.8917366272</v>
      </c>
      <c r="L95" s="7">
        <f>(Deviation_sequence!$B$233 + 0.5 *Deviation_sequence!$B$232) / (Deviation_sequence!L95 + 0.5 * Deviation_sequence!$B$232)</f>
        <v>0.8088912024</v>
      </c>
      <c r="M95" s="7">
        <f>(Deviation_sequence!$B$233 + 0.5 *Deviation_sequence!$B$232) / (Deviation_sequence!M95 + 0.5 * Deviation_sequence!$B$232)</f>
        <v>0.9893716974</v>
      </c>
      <c r="O95" s="7">
        <f t="shared" si="3"/>
        <v>0.8453168216</v>
      </c>
    </row>
    <row r="96">
      <c r="A96" s="10" t="s">
        <v>31</v>
      </c>
      <c r="B96" s="7">
        <f>(Deviation_sequence!$B$233 + 0.5 *Deviation_sequence!$B$232) / (Deviation_sequence!B96 + 0.5 * Deviation_sequence!$B$232)</f>
        <v>0.7037757583</v>
      </c>
      <c r="C96" s="7">
        <f>(Deviation_sequence!$B$233 + 0.5 *Deviation_sequence!$B$232) / (Deviation_sequence!C96 + 0.5 * Deviation_sequence!$B$232)</f>
        <v>0.6578634287</v>
      </c>
      <c r="D96" s="7">
        <f>(Deviation_sequence!$B$233 + 0.5 *Deviation_sequence!$B$232) / (Deviation_sequence!D96 + 0.5 * Deviation_sequence!$B$232)</f>
        <v>0.7050864337</v>
      </c>
      <c r="E96" s="7">
        <f>(Deviation_sequence!$B$233 + 0.5 *Deviation_sequence!$B$232) / (Deviation_sequence!E96 + 0.5 * Deviation_sequence!$B$232)</f>
        <v>0.5524127974</v>
      </c>
      <c r="F96" s="7">
        <f>(Deviation_sequence!$B$233 + 0.5 *Deviation_sequence!$B$232) / (Deviation_sequence!F96 + 0.5 * Deviation_sequence!$B$232)</f>
        <v>0.6328604264</v>
      </c>
      <c r="G96" s="7">
        <f>(Deviation_sequence!$B$233 + 0.5 *Deviation_sequence!$B$232) / (Deviation_sequence!G96 + 0.5 * Deviation_sequence!$B$232)</f>
        <v>0.5552337723</v>
      </c>
      <c r="H96" s="7">
        <f>(Deviation_sequence!$B$233 + 0.5 *Deviation_sequence!$B$232) / (Deviation_sequence!H96 + 0.5 * Deviation_sequence!$B$232)</f>
        <v>0.7616964931</v>
      </c>
      <c r="I96" s="7">
        <f>(Deviation_sequence!$B$233 + 0.5 *Deviation_sequence!$B$232) / (Deviation_sequence!I96 + 0.5 * Deviation_sequence!$B$232)</f>
        <v>0.7137290796</v>
      </c>
      <c r="J96" s="7">
        <f>(Deviation_sequence!$B$233 + 0.5 *Deviation_sequence!$B$232) / (Deviation_sequence!J96 + 0.5 * Deviation_sequence!$B$232)</f>
        <v>0.6353572521</v>
      </c>
      <c r="K96" s="7">
        <f>(Deviation_sequence!$B$233 + 0.5 *Deviation_sequence!$B$232) / (Deviation_sequence!K96 + 0.5 * Deviation_sequence!$B$232)</f>
        <v>0.6515517701</v>
      </c>
      <c r="L96" s="7">
        <f>(Deviation_sequence!$B$233 + 0.5 *Deviation_sequence!$B$232) / (Deviation_sequence!L96 + 0.5 * Deviation_sequence!$B$232)</f>
        <v>0.6938240035</v>
      </c>
      <c r="M96" s="7">
        <f>(Deviation_sequence!$B$233 + 0.5 *Deviation_sequence!$B$232) / (Deviation_sequence!M96 + 0.5 * Deviation_sequence!$B$232)</f>
        <v>0.6472540934</v>
      </c>
      <c r="O96" s="7">
        <f t="shared" si="3"/>
        <v>0.6592204424</v>
      </c>
    </row>
    <row r="97">
      <c r="N97" s="10" t="s">
        <v>115</v>
      </c>
      <c r="O97" s="7">
        <f>AVERAGE(O68:O96)</f>
        <v>0.5995782294</v>
      </c>
    </row>
    <row r="100">
      <c r="A100" s="9" t="s">
        <v>58</v>
      </c>
      <c r="B100" s="10" t="s">
        <v>59</v>
      </c>
      <c r="C100" s="10" t="s">
        <v>60</v>
      </c>
      <c r="D100" s="10" t="s">
        <v>61</v>
      </c>
      <c r="E100" s="10" t="s">
        <v>62</v>
      </c>
      <c r="F100" s="10" t="s">
        <v>63</v>
      </c>
      <c r="G100" s="10" t="s">
        <v>64</v>
      </c>
      <c r="H100" s="10" t="s">
        <v>65</v>
      </c>
      <c r="I100" s="10" t="s">
        <v>66</v>
      </c>
      <c r="J100" s="10" t="s">
        <v>67</v>
      </c>
      <c r="K100" s="10" t="s">
        <v>68</v>
      </c>
      <c r="L100" s="10" t="s">
        <v>69</v>
      </c>
      <c r="M100" s="10" t="s">
        <v>70</v>
      </c>
    </row>
    <row r="101">
      <c r="A101" s="10" t="s">
        <v>3</v>
      </c>
      <c r="B101" s="7">
        <f>(Deviation_sequence!$B$233 + 0.5 *Deviation_sequence!$B$232) / (Deviation_sequence!B101 + 0.5 * Deviation_sequence!$B$232)</f>
        <v>0.3852175158</v>
      </c>
      <c r="C101" s="7">
        <f>(Deviation_sequence!$B$233 + 0.5 *Deviation_sequence!$B$232) / (Deviation_sequence!C101 + 0.5 * Deviation_sequence!$B$232)</f>
        <v>0.4385857216</v>
      </c>
      <c r="D101" s="7">
        <f>(Deviation_sequence!$B$233 + 0.5 *Deviation_sequence!$B$232) / (Deviation_sequence!D101 + 0.5 * Deviation_sequence!$B$232)</f>
        <v>0.3689601551</v>
      </c>
      <c r="E101" s="7">
        <f>(Deviation_sequence!$B$233 + 0.5 *Deviation_sequence!$B$232) / (Deviation_sequence!E101 + 0.5 * Deviation_sequence!$B$232)</f>
        <v>0.3952001928</v>
      </c>
      <c r="F101" s="7">
        <f>(Deviation_sequence!$B$233 + 0.5 *Deviation_sequence!$B$232) / (Deviation_sequence!F101 + 0.5 * Deviation_sequence!$B$232)</f>
        <v>0.4329462645</v>
      </c>
      <c r="G101" s="7">
        <f>(Deviation_sequence!$B$233 + 0.5 *Deviation_sequence!$B$232) / (Deviation_sequence!G101 + 0.5 * Deviation_sequence!$B$232)</f>
        <v>0.3506704182</v>
      </c>
      <c r="H101" s="7">
        <f>(Deviation_sequence!$B$233 + 0.5 *Deviation_sequence!$B$232) / (Deviation_sequence!H101 + 0.5 * Deviation_sequence!$B$232)</f>
        <v>0.3775039935</v>
      </c>
      <c r="I101" s="7">
        <f>(Deviation_sequence!$B$233 + 0.5 *Deviation_sequence!$B$232) / (Deviation_sequence!I101 + 0.5 * Deviation_sequence!$B$232)</f>
        <v>0.3811377914</v>
      </c>
      <c r="J101" s="7">
        <f>(Deviation_sequence!$B$233 + 0.5 *Deviation_sequence!$B$232) / (Deviation_sequence!J101 + 0.5 * Deviation_sequence!$B$232)</f>
        <v>0.3975219973</v>
      </c>
      <c r="K101" s="7">
        <f>(Deviation_sequence!$B$233 + 0.5 *Deviation_sequence!$B$232) / (Deviation_sequence!K101 + 0.5 * Deviation_sequence!$B$232)</f>
        <v>0.3815370603</v>
      </c>
      <c r="L101" s="7">
        <f>(Deviation_sequence!$B$233 + 0.5 *Deviation_sequence!$B$232) / (Deviation_sequence!L101 + 0.5 * Deviation_sequence!$B$232)</f>
        <v>0.440932716</v>
      </c>
      <c r="M101" s="7">
        <f>(Deviation_sequence!$B$233 + 0.5 *Deviation_sequence!$B$232) / (Deviation_sequence!M101 + 0.5 * Deviation_sequence!$B$232)</f>
        <v>0.4046884099</v>
      </c>
      <c r="O101" s="7">
        <f t="shared" ref="O101:O129" si="4">AVERAGE(B101:M101)</f>
        <v>0.396241853</v>
      </c>
    </row>
    <row r="102">
      <c r="A102" s="10" t="s">
        <v>4</v>
      </c>
      <c r="B102" s="7">
        <f>(Deviation_sequence!$B$233 + 0.5 *Deviation_sequence!$B$232) / (Deviation_sequence!B102 + 0.5 * Deviation_sequence!$B$232)</f>
        <v>0.5737298586</v>
      </c>
      <c r="C102" s="7">
        <f>(Deviation_sequence!$B$233 + 0.5 *Deviation_sequence!$B$232) / (Deviation_sequence!C102 + 0.5 * Deviation_sequence!$B$232)</f>
        <v>0.7331514647</v>
      </c>
      <c r="D102" s="7">
        <f>(Deviation_sequence!$B$233 + 0.5 *Deviation_sequence!$B$232) / (Deviation_sequence!D102 + 0.5 * Deviation_sequence!$B$232)</f>
        <v>0.8665121743</v>
      </c>
      <c r="E102" s="7">
        <f>(Deviation_sequence!$B$233 + 0.5 *Deviation_sequence!$B$232) / (Deviation_sequence!E102 + 0.5 * Deviation_sequence!$B$232)</f>
        <v>0.9676894831</v>
      </c>
      <c r="F102" s="7">
        <f>(Deviation_sequence!$B$233 + 0.5 *Deviation_sequence!$B$232) / (Deviation_sequence!F102 + 0.5 * Deviation_sequence!$B$232)</f>
        <v>0.9383367402</v>
      </c>
      <c r="G102" s="7">
        <f>(Deviation_sequence!$B$233 + 0.5 *Deviation_sequence!$B$232) / (Deviation_sequence!G102 + 0.5 * Deviation_sequence!$B$232)</f>
        <v>0.8227377926</v>
      </c>
      <c r="H102" s="7">
        <f>(Deviation_sequence!$B$233 + 0.5 *Deviation_sequence!$B$232) / (Deviation_sequence!H102 + 0.5 * Deviation_sequence!$B$232)</f>
        <v>0.7920067489</v>
      </c>
      <c r="I102" s="7">
        <f>(Deviation_sequence!$B$233 + 0.5 *Deviation_sequence!$B$232) / (Deviation_sequence!I102 + 0.5 * Deviation_sequence!$B$232)</f>
        <v>0.6368365331</v>
      </c>
      <c r="J102" s="7">
        <f>(Deviation_sequence!$B$233 + 0.5 *Deviation_sequence!$B$232) / (Deviation_sequence!J102 + 0.5 * Deviation_sequence!$B$232)</f>
        <v>0.6862996798</v>
      </c>
      <c r="K102" s="7">
        <f>(Deviation_sequence!$B$233 + 0.5 *Deviation_sequence!$B$232) / (Deviation_sequence!K102 + 0.5 * Deviation_sequence!$B$232)</f>
        <v>0.6389282498</v>
      </c>
      <c r="L102" s="7">
        <f>(Deviation_sequence!$B$233 + 0.5 *Deviation_sequence!$B$232) / (Deviation_sequence!L102 + 0.5 * Deviation_sequence!$B$232)</f>
        <v>0.909004745</v>
      </c>
      <c r="M102" s="7">
        <f>(Deviation_sequence!$B$233 + 0.5 *Deviation_sequence!$B$232) / (Deviation_sequence!M102 + 0.5 * Deviation_sequence!$B$232)</f>
        <v>0.6555456906</v>
      </c>
      <c r="O102" s="7">
        <f t="shared" si="4"/>
        <v>0.7683982634</v>
      </c>
    </row>
    <row r="103">
      <c r="A103" s="10" t="s">
        <v>5</v>
      </c>
      <c r="B103" s="7">
        <f>(Deviation_sequence!$B$233 + 0.5 *Deviation_sequence!$B$232) / (Deviation_sequence!B103 + 0.5 * Deviation_sequence!$B$232)</f>
        <v>0.3553539839</v>
      </c>
      <c r="C103" s="7">
        <f>(Deviation_sequence!$B$233 + 0.5 *Deviation_sequence!$B$232) / (Deviation_sequence!C103 + 0.5 * Deviation_sequence!$B$232)</f>
        <v>0.3619101035</v>
      </c>
      <c r="D103" s="7">
        <f>(Deviation_sequence!$B$233 + 0.5 *Deviation_sequence!$B$232) / (Deviation_sequence!D103 + 0.5 * Deviation_sequence!$B$232)</f>
        <v>0.3618133271</v>
      </c>
      <c r="E103" s="7">
        <f>(Deviation_sequence!$B$233 + 0.5 *Deviation_sequence!$B$232) / (Deviation_sequence!E103 + 0.5 * Deviation_sequence!$B$232)</f>
        <v>0.358175583</v>
      </c>
      <c r="F103" s="7">
        <f>(Deviation_sequence!$B$233 + 0.5 *Deviation_sequence!$B$232) / (Deviation_sequence!F103 + 0.5 * Deviation_sequence!$B$232)</f>
        <v>0.3719210014</v>
      </c>
      <c r="G103" s="7">
        <f>(Deviation_sequence!$B$233 + 0.5 *Deviation_sequence!$B$232) / (Deviation_sequence!G103 + 0.5 * Deviation_sequence!$B$232)</f>
        <v>0.3368179635</v>
      </c>
      <c r="H103" s="7">
        <f>(Deviation_sequence!$B$233 + 0.5 *Deviation_sequence!$B$232) / (Deviation_sequence!H103 + 0.5 * Deviation_sequence!$B$232)</f>
        <v>0.3814472676</v>
      </c>
      <c r="I103" s="7">
        <f>(Deviation_sequence!$B$233 + 0.5 *Deviation_sequence!$B$232) / (Deviation_sequence!I103 + 0.5 * Deviation_sequence!$B$232)</f>
        <v>0.3586490117</v>
      </c>
      <c r="J103" s="7">
        <f>(Deviation_sequence!$B$233 + 0.5 *Deviation_sequence!$B$232) / (Deviation_sequence!J103 + 0.5 * Deviation_sequence!$B$232)</f>
        <v>0.3601296757</v>
      </c>
      <c r="K103" s="7">
        <f>(Deviation_sequence!$B$233 + 0.5 *Deviation_sequence!$B$232) / (Deviation_sequence!K103 + 0.5 * Deviation_sequence!$B$232)</f>
        <v>0.3525364239</v>
      </c>
      <c r="L103" s="7">
        <f>(Deviation_sequence!$B$233 + 0.5 *Deviation_sequence!$B$232) / (Deviation_sequence!L103 + 0.5 * Deviation_sequence!$B$232)</f>
        <v>0.3853266279</v>
      </c>
      <c r="M103" s="7">
        <f>(Deviation_sequence!$B$233 + 0.5 *Deviation_sequence!$B$232) / (Deviation_sequence!M103 + 0.5 * Deviation_sequence!$B$232)</f>
        <v>0.3592007614</v>
      </c>
      <c r="O103" s="7">
        <f t="shared" si="4"/>
        <v>0.3619401442</v>
      </c>
    </row>
    <row r="104">
      <c r="A104" s="10" t="s">
        <v>6</v>
      </c>
      <c r="B104" s="7">
        <f>(Deviation_sequence!$B$233 + 0.5 *Deviation_sequence!$B$232) / (Deviation_sequence!B104 + 0.5 * Deviation_sequence!$B$232)</f>
        <v>0.4000777084</v>
      </c>
      <c r="C104" s="7">
        <f>(Deviation_sequence!$B$233 + 0.5 *Deviation_sequence!$B$232) / (Deviation_sequence!C104 + 0.5 * Deviation_sequence!$B$232)</f>
        <v>0.4009813143</v>
      </c>
      <c r="D104" s="7">
        <f>(Deviation_sequence!$B$233 + 0.5 *Deviation_sequence!$B$232) / (Deviation_sequence!D104 + 0.5 * Deviation_sequence!$B$232)</f>
        <v>0.3902268101</v>
      </c>
      <c r="E104" s="7">
        <f>(Deviation_sequence!$B$233 + 0.5 *Deviation_sequence!$B$232) / (Deviation_sequence!E104 + 0.5 * Deviation_sequence!$B$232)</f>
        <v>0.4616003761</v>
      </c>
      <c r="F104" s="7">
        <f>(Deviation_sequence!$B$233 + 0.5 *Deviation_sequence!$B$232) / (Deviation_sequence!F104 + 0.5 * Deviation_sequence!$B$232)</f>
        <v>0.4170660104</v>
      </c>
      <c r="G104" s="7">
        <f>(Deviation_sequence!$B$233 + 0.5 *Deviation_sequence!$B$232) / (Deviation_sequence!G104 + 0.5 * Deviation_sequence!$B$232)</f>
        <v>0.3586824689</v>
      </c>
      <c r="H104" s="7">
        <f>(Deviation_sequence!$B$233 + 0.5 *Deviation_sequence!$B$232) / (Deviation_sequence!H104 + 0.5 * Deviation_sequence!$B$232)</f>
        <v>0.4097705003</v>
      </c>
      <c r="I104" s="7">
        <f>(Deviation_sequence!$B$233 + 0.5 *Deviation_sequence!$B$232) / (Deviation_sequence!I104 + 0.5 * Deviation_sequence!$B$232)</f>
        <v>0.395387962</v>
      </c>
      <c r="J104" s="7">
        <f>(Deviation_sequence!$B$233 + 0.5 *Deviation_sequence!$B$232) / (Deviation_sequence!J104 + 0.5 * Deviation_sequence!$B$232)</f>
        <v>0.411825479</v>
      </c>
      <c r="K104" s="7">
        <f>(Deviation_sequence!$B$233 + 0.5 *Deviation_sequence!$B$232) / (Deviation_sequence!K104 + 0.5 * Deviation_sequence!$B$232)</f>
        <v>0.3610350697</v>
      </c>
      <c r="L104" s="7">
        <f>(Deviation_sequence!$B$233 + 0.5 *Deviation_sequence!$B$232) / (Deviation_sequence!L104 + 0.5 * Deviation_sequence!$B$232)</f>
        <v>0.3706742935</v>
      </c>
      <c r="M104" s="7">
        <f>(Deviation_sequence!$B$233 + 0.5 *Deviation_sequence!$B$232) / (Deviation_sequence!M104 + 0.5 * Deviation_sequence!$B$232)</f>
        <v>0.34892839</v>
      </c>
      <c r="O104" s="7">
        <f t="shared" si="4"/>
        <v>0.3938546986</v>
      </c>
    </row>
    <row r="105">
      <c r="A105" s="10" t="s">
        <v>7</v>
      </c>
      <c r="B105" s="7">
        <f>(Deviation_sequence!$B$233 + 0.5 *Deviation_sequence!$B$232) / (Deviation_sequence!B105 + 0.5 * Deviation_sequence!$B$232)</f>
        <v>0.4267640019</v>
      </c>
      <c r="C105" s="7">
        <f>(Deviation_sequence!$B$233 + 0.5 *Deviation_sequence!$B$232) / (Deviation_sequence!C105 + 0.5 * Deviation_sequence!$B$232)</f>
        <v>0.4302976753</v>
      </c>
      <c r="D105" s="7">
        <f>(Deviation_sequence!$B$233 + 0.5 *Deviation_sequence!$B$232) / (Deviation_sequence!D105 + 0.5 * Deviation_sequence!$B$232)</f>
        <v>0.4267294219</v>
      </c>
      <c r="E105" s="7">
        <f>(Deviation_sequence!$B$233 + 0.5 *Deviation_sequence!$B$232) / (Deviation_sequence!E105 + 0.5 * Deviation_sequence!$B$232)</f>
        <v>0.5464753855</v>
      </c>
      <c r="F105" s="7">
        <f>(Deviation_sequence!$B$233 + 0.5 *Deviation_sequence!$B$232) / (Deviation_sequence!F105 + 0.5 * Deviation_sequence!$B$232)</f>
        <v>0.5232780154</v>
      </c>
      <c r="G105" s="7">
        <f>(Deviation_sequence!$B$233 + 0.5 *Deviation_sequence!$B$232) / (Deviation_sequence!G105 + 0.5 * Deviation_sequence!$B$232)</f>
        <v>0.3893573306</v>
      </c>
      <c r="H105" s="7">
        <f>(Deviation_sequence!$B$233 + 0.5 *Deviation_sequence!$B$232) / (Deviation_sequence!H105 + 0.5 * Deviation_sequence!$B$232)</f>
        <v>0.5181810763</v>
      </c>
      <c r="I105" s="7">
        <f>(Deviation_sequence!$B$233 + 0.5 *Deviation_sequence!$B$232) / (Deviation_sequence!I105 + 0.5 * Deviation_sequence!$B$232)</f>
        <v>0.4416790942</v>
      </c>
      <c r="J105" s="7">
        <f>(Deviation_sequence!$B$233 + 0.5 *Deviation_sequence!$B$232) / (Deviation_sequence!J105 + 0.5 * Deviation_sequence!$B$232)</f>
        <v>0.4583556078</v>
      </c>
      <c r="K105" s="7">
        <f>(Deviation_sequence!$B$233 + 0.5 *Deviation_sequence!$B$232) / (Deviation_sequence!K105 + 0.5 * Deviation_sequence!$B$232)</f>
        <v>0.4208459088</v>
      </c>
      <c r="L105" s="7">
        <f>(Deviation_sequence!$B$233 + 0.5 *Deviation_sequence!$B$232) / (Deviation_sequence!L105 + 0.5 * Deviation_sequence!$B$232)</f>
        <v>0.4124846114</v>
      </c>
      <c r="M105" s="7">
        <f>(Deviation_sequence!$B$233 + 0.5 *Deviation_sequence!$B$232) / (Deviation_sequence!M105 + 0.5 * Deviation_sequence!$B$232)</f>
        <v>0.3691762339</v>
      </c>
      <c r="O105" s="7">
        <f t="shared" si="4"/>
        <v>0.4469686969</v>
      </c>
    </row>
    <row r="106">
      <c r="A106" s="10" t="s">
        <v>8</v>
      </c>
      <c r="B106" s="7">
        <f>(Deviation_sequence!$B$233 + 0.5 *Deviation_sequence!$B$232) / (Deviation_sequence!B106 + 0.5 * Deviation_sequence!$B$232)</f>
        <v>0.58070298</v>
      </c>
      <c r="C106" s="7">
        <f>(Deviation_sequence!$B$233 + 0.5 *Deviation_sequence!$B$232) / (Deviation_sequence!C106 + 0.5 * Deviation_sequence!$B$232)</f>
        <v>0.5296039107</v>
      </c>
      <c r="D106" s="7">
        <f>(Deviation_sequence!$B$233 + 0.5 *Deviation_sequence!$B$232) / (Deviation_sequence!D106 + 0.5 * Deviation_sequence!$B$232)</f>
        <v>0.4187036054</v>
      </c>
      <c r="E106" s="7">
        <f>(Deviation_sequence!$B$233 + 0.5 *Deviation_sequence!$B$232) / (Deviation_sequence!E106 + 0.5 * Deviation_sequence!$B$232)</f>
        <v>0.4050646693</v>
      </c>
      <c r="F106" s="7">
        <f>(Deviation_sequence!$B$233 + 0.5 *Deviation_sequence!$B$232) / (Deviation_sequence!F106 + 0.5 * Deviation_sequence!$B$232)</f>
        <v>0.3823180623</v>
      </c>
      <c r="G106" s="7">
        <f>(Deviation_sequence!$B$233 + 0.5 *Deviation_sequence!$B$232) / (Deviation_sequence!G106 + 0.5 * Deviation_sequence!$B$232)</f>
        <v>0.3527672038</v>
      </c>
      <c r="H106" s="7">
        <f>(Deviation_sequence!$B$233 + 0.5 *Deviation_sequence!$B$232) / (Deviation_sequence!H106 + 0.5 * Deviation_sequence!$B$232)</f>
        <v>0.3562297976</v>
      </c>
      <c r="I106" s="7">
        <f>(Deviation_sequence!$B$233 + 0.5 *Deviation_sequence!$B$232) / (Deviation_sequence!I106 + 0.5 * Deviation_sequence!$B$232)</f>
        <v>0.3933251555</v>
      </c>
      <c r="J106" s="7">
        <f>(Deviation_sequence!$B$233 + 0.5 *Deviation_sequence!$B$232) / (Deviation_sequence!J106 + 0.5 * Deviation_sequence!$B$232)</f>
        <v>0.4043157793</v>
      </c>
      <c r="K106" s="7">
        <f>(Deviation_sequence!$B$233 + 0.5 *Deviation_sequence!$B$232) / (Deviation_sequence!K106 + 0.5 * Deviation_sequence!$B$232)</f>
        <v>0.3786829339</v>
      </c>
      <c r="L106" s="7">
        <f>(Deviation_sequence!$B$233 + 0.5 *Deviation_sequence!$B$232) / (Deviation_sequence!L106 + 0.5 * Deviation_sequence!$B$232)</f>
        <v>0.4074637436</v>
      </c>
      <c r="M106" s="7">
        <f>(Deviation_sequence!$B$233 + 0.5 *Deviation_sequence!$B$232) / (Deviation_sequence!M106 + 0.5 * Deviation_sequence!$B$232)</f>
        <v>0.3483166951</v>
      </c>
      <c r="O106" s="7">
        <f t="shared" si="4"/>
        <v>0.4131245447</v>
      </c>
    </row>
    <row r="107">
      <c r="A107" s="10" t="s">
        <v>9</v>
      </c>
      <c r="B107" s="7">
        <f>(Deviation_sequence!$B$233 + 0.5 *Deviation_sequence!$B$232) / (Deviation_sequence!B107 + 0.5 * Deviation_sequence!$B$232)</f>
        <v>0.474589864</v>
      </c>
      <c r="C107" s="7">
        <f>(Deviation_sequence!$B$233 + 0.5 *Deviation_sequence!$B$232) / (Deviation_sequence!C107 + 0.5 * Deviation_sequence!$B$232)</f>
        <v>0.4663717399</v>
      </c>
      <c r="D107" s="7">
        <f>(Deviation_sequence!$B$233 + 0.5 *Deviation_sequence!$B$232) / (Deviation_sequence!D107 + 0.5 * Deviation_sequence!$B$232)</f>
        <v>0.4005783111</v>
      </c>
      <c r="E107" s="7">
        <f>(Deviation_sequence!$B$233 + 0.5 *Deviation_sequence!$B$232) / (Deviation_sequence!E107 + 0.5 * Deviation_sequence!$B$232)</f>
        <v>0.4454656999</v>
      </c>
      <c r="F107" s="7">
        <f>(Deviation_sequence!$B$233 + 0.5 *Deviation_sequence!$B$232) / (Deviation_sequence!F107 + 0.5 * Deviation_sequence!$B$232)</f>
        <v>0.4073228992</v>
      </c>
      <c r="G107" s="7">
        <f>(Deviation_sequence!$B$233 + 0.5 *Deviation_sequence!$B$232) / (Deviation_sequence!G107 + 0.5 * Deviation_sequence!$B$232)</f>
        <v>0.3820622501</v>
      </c>
      <c r="H107" s="7">
        <f>(Deviation_sequence!$B$233 + 0.5 *Deviation_sequence!$B$232) / (Deviation_sequence!H107 + 0.5 * Deviation_sequence!$B$232)</f>
        <v>0.3516049952</v>
      </c>
      <c r="I107" s="7">
        <f>(Deviation_sequence!$B$233 + 0.5 *Deviation_sequence!$B$232) / (Deviation_sequence!I107 + 0.5 * Deviation_sequence!$B$232)</f>
        <v>0.3645265868</v>
      </c>
      <c r="J107" s="7">
        <f>(Deviation_sequence!$B$233 + 0.5 *Deviation_sequence!$B$232) / (Deviation_sequence!J107 + 0.5 * Deviation_sequence!$B$232)</f>
        <v>0.3589141978</v>
      </c>
      <c r="K107" s="7">
        <f>(Deviation_sequence!$B$233 + 0.5 *Deviation_sequence!$B$232) / (Deviation_sequence!K107 + 0.5 * Deviation_sequence!$B$232)</f>
        <v>0.3579440674</v>
      </c>
      <c r="L107" s="7">
        <f>(Deviation_sequence!$B$233 + 0.5 *Deviation_sequence!$B$232) / (Deviation_sequence!L107 + 0.5 * Deviation_sequence!$B$232)</f>
        <v>0.3938534605</v>
      </c>
      <c r="M107" s="7">
        <f>(Deviation_sequence!$B$233 + 0.5 *Deviation_sequence!$B$232) / (Deviation_sequence!M107 + 0.5 * Deviation_sequence!$B$232)</f>
        <v>0.361973195</v>
      </c>
      <c r="O107" s="7">
        <f t="shared" si="4"/>
        <v>0.3971006056</v>
      </c>
    </row>
    <row r="108">
      <c r="A108" s="10" t="s">
        <v>10</v>
      </c>
      <c r="B108" s="7">
        <f>(Deviation_sequence!$B$233 + 0.5 *Deviation_sequence!$B$232) / (Deviation_sequence!B108 + 0.5 * Deviation_sequence!$B$232)</f>
        <v>0.4326749085</v>
      </c>
      <c r="C108" s="7">
        <f>(Deviation_sequence!$B$233 + 0.5 *Deviation_sequence!$B$232) / (Deviation_sequence!C108 + 0.5 * Deviation_sequence!$B$232)</f>
        <v>0.4411877413</v>
      </c>
      <c r="D108" s="7">
        <f>(Deviation_sequence!$B$233 + 0.5 *Deviation_sequence!$B$232) / (Deviation_sequence!D108 + 0.5 * Deviation_sequence!$B$232)</f>
        <v>0.3978505182</v>
      </c>
      <c r="E108" s="7">
        <f>(Deviation_sequence!$B$233 + 0.5 *Deviation_sequence!$B$232) / (Deviation_sequence!E108 + 0.5 * Deviation_sequence!$B$232)</f>
        <v>0.4142847454</v>
      </c>
      <c r="F108" s="7">
        <f>(Deviation_sequence!$B$233 + 0.5 *Deviation_sequence!$B$232) / (Deviation_sequence!F108 + 0.5 * Deviation_sequence!$B$232)</f>
        <v>0.4208045849</v>
      </c>
      <c r="G108" s="7">
        <f>(Deviation_sequence!$B$233 + 0.5 *Deviation_sequence!$B$232) / (Deviation_sequence!G108 + 0.5 * Deviation_sequence!$B$232)</f>
        <v>0.3577944297</v>
      </c>
      <c r="H108" s="7">
        <f>(Deviation_sequence!$B$233 + 0.5 *Deviation_sequence!$B$232) / (Deviation_sequence!H108 + 0.5 * Deviation_sequence!$B$232)</f>
        <v>0.3843679625</v>
      </c>
      <c r="I108" s="7">
        <f>(Deviation_sequence!$B$233 + 0.5 *Deviation_sequence!$B$232) / (Deviation_sequence!I108 + 0.5 * Deviation_sequence!$B$232)</f>
        <v>0.3866479736</v>
      </c>
      <c r="J108" s="7">
        <f>(Deviation_sequence!$B$233 + 0.5 *Deviation_sequence!$B$232) / (Deviation_sequence!J108 + 0.5 * Deviation_sequence!$B$232)</f>
        <v>0.3867570201</v>
      </c>
      <c r="K108" s="7">
        <f>(Deviation_sequence!$B$233 + 0.5 *Deviation_sequence!$B$232) / (Deviation_sequence!K108 + 0.5 * Deviation_sequence!$B$232)</f>
        <v>0.3934655761</v>
      </c>
      <c r="L108" s="7">
        <f>(Deviation_sequence!$B$233 + 0.5 *Deviation_sequence!$B$232) / (Deviation_sequence!L108 + 0.5 * Deviation_sequence!$B$232)</f>
        <v>0.4227618844</v>
      </c>
      <c r="M108" s="7">
        <f>(Deviation_sequence!$B$233 + 0.5 *Deviation_sequence!$B$232) / (Deviation_sequence!M108 + 0.5 * Deviation_sequence!$B$232)</f>
        <v>0.4311049202</v>
      </c>
      <c r="O108" s="7">
        <f t="shared" si="4"/>
        <v>0.4058085221</v>
      </c>
    </row>
    <row r="109">
      <c r="A109" s="10" t="s">
        <v>11</v>
      </c>
      <c r="B109" s="7">
        <f>(Deviation_sequence!$B$233 + 0.5 *Deviation_sequence!$B$232) / (Deviation_sequence!B109 + 0.5 * Deviation_sequence!$B$232)</f>
        <v>0.3732296195</v>
      </c>
      <c r="C109" s="7">
        <f>(Deviation_sequence!$B$233 + 0.5 *Deviation_sequence!$B$232) / (Deviation_sequence!C109 + 0.5 * Deviation_sequence!$B$232)</f>
        <v>0.3631254644</v>
      </c>
      <c r="D109" s="7">
        <f>(Deviation_sequence!$B$233 + 0.5 *Deviation_sequence!$B$232) / (Deviation_sequence!D109 + 0.5 * Deviation_sequence!$B$232)</f>
        <v>0.378346612</v>
      </c>
      <c r="E109" s="7">
        <f>(Deviation_sequence!$B$233 + 0.5 *Deviation_sequence!$B$232) / (Deviation_sequence!E109 + 0.5 * Deviation_sequence!$B$232)</f>
        <v>0.3792108943</v>
      </c>
      <c r="F109" s="7">
        <f>(Deviation_sequence!$B$233 + 0.5 *Deviation_sequence!$B$232) / (Deviation_sequence!F109 + 0.5 * Deviation_sequence!$B$232)</f>
        <v>0.4032658138</v>
      </c>
      <c r="G109" s="7">
        <f>(Deviation_sequence!$B$233 + 0.5 *Deviation_sequence!$B$232) / (Deviation_sequence!G109 + 0.5 * Deviation_sequence!$B$232)</f>
        <v>0.3635854705</v>
      </c>
      <c r="H109" s="7">
        <f>(Deviation_sequence!$B$233 + 0.5 *Deviation_sequence!$B$232) / (Deviation_sequence!H109 + 0.5 * Deviation_sequence!$B$232)</f>
        <v>0.3980474434</v>
      </c>
      <c r="I109" s="7">
        <f>(Deviation_sequence!$B$233 + 0.5 *Deviation_sequence!$B$232) / (Deviation_sequence!I109 + 0.5 * Deviation_sequence!$B$232)</f>
        <v>0.4068146013</v>
      </c>
      <c r="J109" s="7">
        <f>(Deviation_sequence!$B$233 + 0.5 *Deviation_sequence!$B$232) / (Deviation_sequence!J109 + 0.5 * Deviation_sequence!$B$232)</f>
        <v>0.3985526671</v>
      </c>
      <c r="K109" s="7">
        <f>(Deviation_sequence!$B$233 + 0.5 *Deviation_sequence!$B$232) / (Deviation_sequence!K109 + 0.5 * Deviation_sequence!$B$232)</f>
        <v>0.3856071213</v>
      </c>
      <c r="L109" s="7">
        <f>(Deviation_sequence!$B$233 + 0.5 *Deviation_sequence!$B$232) / (Deviation_sequence!L109 + 0.5 * Deviation_sequence!$B$232)</f>
        <v>0.3989657677</v>
      </c>
      <c r="M109" s="7">
        <f>(Deviation_sequence!$B$233 + 0.5 *Deviation_sequence!$B$232) / (Deviation_sequence!M109 + 0.5 * Deviation_sequence!$B$232)</f>
        <v>0.3957866381</v>
      </c>
      <c r="O109" s="7">
        <f t="shared" si="4"/>
        <v>0.3870448428</v>
      </c>
    </row>
    <row r="110">
      <c r="A110" s="10" t="s">
        <v>12</v>
      </c>
      <c r="B110" s="7">
        <f>(Deviation_sequence!$B$233 + 0.5 *Deviation_sequence!$B$232) / (Deviation_sequence!B110 + 0.5 * Deviation_sequence!$B$232)</f>
        <v>0.5550908237</v>
      </c>
      <c r="C110" s="7">
        <f>(Deviation_sequence!$B$233 + 0.5 *Deviation_sequence!$B$232) / (Deviation_sequence!C110 + 0.5 * Deviation_sequence!$B$232)</f>
        <v>0.5366259867</v>
      </c>
      <c r="D110" s="7">
        <f>(Deviation_sequence!$B$233 + 0.5 *Deviation_sequence!$B$232) / (Deviation_sequence!D110 + 0.5 * Deviation_sequence!$B$232)</f>
        <v>0.6126644609</v>
      </c>
      <c r="E110" s="7">
        <f>(Deviation_sequence!$B$233 + 0.5 *Deviation_sequence!$B$232) / (Deviation_sequence!E110 + 0.5 * Deviation_sequence!$B$232)</f>
        <v>0.5159351888</v>
      </c>
      <c r="F110" s="7">
        <f>(Deviation_sequence!$B$233 + 0.5 *Deviation_sequence!$B$232) / (Deviation_sequence!F110 + 0.5 * Deviation_sequence!$B$232)</f>
        <v>0.6047127224</v>
      </c>
      <c r="G110" s="7">
        <f>(Deviation_sequence!$B$233 + 0.5 *Deviation_sequence!$B$232) / (Deviation_sequence!G110 + 0.5 * Deviation_sequence!$B$232)</f>
        <v>0.954632037</v>
      </c>
      <c r="H110" s="7">
        <f>(Deviation_sequence!$B$233 + 0.5 *Deviation_sequence!$B$232) / (Deviation_sequence!H110 + 0.5 * Deviation_sequence!$B$232)</f>
        <v>0.9604592122</v>
      </c>
      <c r="I110" s="7">
        <f>(Deviation_sequence!$B$233 + 0.5 *Deviation_sequence!$B$232) / (Deviation_sequence!I110 + 0.5 * Deviation_sequence!$B$232)</f>
        <v>0.9412111421</v>
      </c>
      <c r="J110" s="7">
        <f>(Deviation_sequence!$B$233 + 0.5 *Deviation_sequence!$B$232) / (Deviation_sequence!J110 + 0.5 * Deviation_sequence!$B$232)</f>
        <v>0.9938232603</v>
      </c>
      <c r="K110" s="7">
        <f>(Deviation_sequence!$B$233 + 0.5 *Deviation_sequence!$B$232) / (Deviation_sequence!K110 + 0.5 * Deviation_sequence!$B$232)</f>
        <v>0.9962358567</v>
      </c>
      <c r="L110" s="7">
        <f>(Deviation_sequence!$B$233 + 0.5 *Deviation_sequence!$B$232) / (Deviation_sequence!L110 + 0.5 * Deviation_sequence!$B$232)</f>
        <v>0.9404152215</v>
      </c>
      <c r="M110" s="7">
        <f>(Deviation_sequence!$B$233 + 0.5 *Deviation_sequence!$B$232) / (Deviation_sequence!M110 + 0.5 * Deviation_sequence!$B$232)</f>
        <v>0.9503426919</v>
      </c>
      <c r="O110" s="7">
        <f t="shared" si="4"/>
        <v>0.796845717</v>
      </c>
    </row>
    <row r="111">
      <c r="A111" s="10" t="s">
        <v>13</v>
      </c>
      <c r="B111" s="7">
        <f>(Deviation_sequence!$B$233 + 0.5 *Deviation_sequence!$B$232) / (Deviation_sequence!B111 + 0.5 * Deviation_sequence!$B$232)</f>
        <v>0.3779846027</v>
      </c>
      <c r="C111" s="7">
        <f>(Deviation_sequence!$B$233 + 0.5 *Deviation_sequence!$B$232) / (Deviation_sequence!C111 + 0.5 * Deviation_sequence!$B$232)</f>
        <v>0.3777222336</v>
      </c>
      <c r="D111" s="7">
        <f>(Deviation_sequence!$B$233 + 0.5 *Deviation_sequence!$B$232) / (Deviation_sequence!D111 + 0.5 * Deviation_sequence!$B$232)</f>
        <v>0.3758478744</v>
      </c>
      <c r="E111" s="7">
        <f>(Deviation_sequence!$B$233 + 0.5 *Deviation_sequence!$B$232) / (Deviation_sequence!E111 + 0.5 * Deviation_sequence!$B$232)</f>
        <v>0.3756188107</v>
      </c>
      <c r="F111" s="7">
        <f>(Deviation_sequence!$B$233 + 0.5 *Deviation_sequence!$B$232) / (Deviation_sequence!F111 + 0.5 * Deviation_sequence!$B$232)</f>
        <v>0.3783433239</v>
      </c>
      <c r="G111" s="7">
        <f>(Deviation_sequence!$B$233 + 0.5 *Deviation_sequence!$B$232) / (Deviation_sequence!G111 + 0.5 * Deviation_sequence!$B$232)</f>
        <v>0.3516915672</v>
      </c>
      <c r="H111" s="7">
        <f>(Deviation_sequence!$B$233 + 0.5 *Deviation_sequence!$B$232) / (Deviation_sequence!H111 + 0.5 * Deviation_sequence!$B$232)</f>
        <v>0.3698431359</v>
      </c>
      <c r="I111" s="7">
        <f>(Deviation_sequence!$B$233 + 0.5 *Deviation_sequence!$B$232) / (Deviation_sequence!I111 + 0.5 * Deviation_sequence!$B$232)</f>
        <v>0.3545549415</v>
      </c>
      <c r="J111" s="7">
        <f>(Deviation_sequence!$B$233 + 0.5 *Deviation_sequence!$B$232) / (Deviation_sequence!J111 + 0.5 * Deviation_sequence!$B$232)</f>
        <v>0.3564075795</v>
      </c>
      <c r="K111" s="7">
        <f>(Deviation_sequence!$B$233 + 0.5 *Deviation_sequence!$B$232) / (Deviation_sequence!K111 + 0.5 * Deviation_sequence!$B$232)</f>
        <v>0.345431682</v>
      </c>
      <c r="L111" s="7">
        <f>(Deviation_sequence!$B$233 + 0.5 *Deviation_sequence!$B$232) / (Deviation_sequence!L111 + 0.5 * Deviation_sequence!$B$232)</f>
        <v>0.3645698049</v>
      </c>
      <c r="M111" s="7">
        <f>(Deviation_sequence!$B$233 + 0.5 *Deviation_sequence!$B$232) / (Deviation_sequence!M111 + 0.5 * Deviation_sequence!$B$232)</f>
        <v>0.3606016038</v>
      </c>
      <c r="O111" s="7">
        <f t="shared" si="4"/>
        <v>0.3657180967</v>
      </c>
    </row>
    <row r="112">
      <c r="A112" s="10" t="s">
        <v>14</v>
      </c>
      <c r="B112" s="7">
        <f>(Deviation_sequence!$B$233 + 0.5 *Deviation_sequence!$B$232) / (Deviation_sequence!B112 + 0.5 * Deviation_sequence!$B$232)</f>
        <v>0.446295675</v>
      </c>
      <c r="C112" s="7">
        <f>(Deviation_sequence!$B$233 + 0.5 *Deviation_sequence!$B$232) / (Deviation_sequence!C112 + 0.5 * Deviation_sequence!$B$232)</f>
        <v>0.4521730267</v>
      </c>
      <c r="D112" s="7">
        <f>(Deviation_sequence!$B$233 + 0.5 *Deviation_sequence!$B$232) / (Deviation_sequence!D112 + 0.5 * Deviation_sequence!$B$232)</f>
        <v>0.4598489821</v>
      </c>
      <c r="E112" s="7">
        <f>(Deviation_sequence!$B$233 + 0.5 *Deviation_sequence!$B$232) / (Deviation_sequence!E112 + 0.5 * Deviation_sequence!$B$232)</f>
        <v>0.5665449532</v>
      </c>
      <c r="F112" s="7">
        <f>(Deviation_sequence!$B$233 + 0.5 *Deviation_sequence!$B$232) / (Deviation_sequence!F112 + 0.5 * Deviation_sequence!$B$232)</f>
        <v>0.49321536</v>
      </c>
      <c r="G112" s="7">
        <f>(Deviation_sequence!$B$233 + 0.5 *Deviation_sequence!$B$232) / (Deviation_sequence!G112 + 0.5 * Deviation_sequence!$B$232)</f>
        <v>0.3887614128</v>
      </c>
      <c r="H112" s="7">
        <f>(Deviation_sequence!$B$233 + 0.5 *Deviation_sequence!$B$232) / (Deviation_sequence!H112 + 0.5 * Deviation_sequence!$B$232)</f>
        <v>0.4133442237</v>
      </c>
      <c r="I112" s="7">
        <f>(Deviation_sequence!$B$233 + 0.5 *Deviation_sequence!$B$232) / (Deviation_sequence!I112 + 0.5 * Deviation_sequence!$B$232)</f>
        <v>0.3882688922</v>
      </c>
      <c r="J112" s="7">
        <f>(Deviation_sequence!$B$233 + 0.5 *Deviation_sequence!$B$232) / (Deviation_sequence!J112 + 0.5 * Deviation_sequence!$B$232)</f>
        <v>0.3753218839</v>
      </c>
      <c r="K112" s="7">
        <f>(Deviation_sequence!$B$233 + 0.5 *Deviation_sequence!$B$232) / (Deviation_sequence!K112 + 0.5 * Deviation_sequence!$B$232)</f>
        <v>0.400868004</v>
      </c>
      <c r="L112" s="7">
        <f>(Deviation_sequence!$B$233 + 0.5 *Deviation_sequence!$B$232) / (Deviation_sequence!L112 + 0.5 * Deviation_sequence!$B$232)</f>
        <v>0.4154909701</v>
      </c>
      <c r="M112" s="7">
        <f>(Deviation_sequence!$B$233 + 0.5 *Deviation_sequence!$B$232) / (Deviation_sequence!M112 + 0.5 * Deviation_sequence!$B$232)</f>
        <v>0.3968499845</v>
      </c>
      <c r="O112" s="7">
        <f t="shared" si="4"/>
        <v>0.4330819474</v>
      </c>
    </row>
    <row r="113">
      <c r="A113" s="10" t="s">
        <v>15</v>
      </c>
      <c r="B113" s="7">
        <f>(Deviation_sequence!$B$233 + 0.5 *Deviation_sequence!$B$232) / (Deviation_sequence!B113 + 0.5 * Deviation_sequence!$B$232)</f>
        <v>0.4558467069</v>
      </c>
      <c r="C113" s="7">
        <f>(Deviation_sequence!$B$233 + 0.5 *Deviation_sequence!$B$232) / (Deviation_sequence!C113 + 0.5 * Deviation_sequence!$B$232)</f>
        <v>0.4570327271</v>
      </c>
      <c r="D113" s="7">
        <f>(Deviation_sequence!$B$233 + 0.5 *Deviation_sequence!$B$232) / (Deviation_sequence!D113 + 0.5 * Deviation_sequence!$B$232)</f>
        <v>0.4615790512</v>
      </c>
      <c r="E113" s="7">
        <f>(Deviation_sequence!$B$233 + 0.5 *Deviation_sequence!$B$232) / (Deviation_sequence!E113 + 0.5 * Deviation_sequence!$B$232)</f>
        <v>0.4111418626</v>
      </c>
      <c r="F113" s="7">
        <f>(Deviation_sequence!$B$233 + 0.5 *Deviation_sequence!$B$232) / (Deviation_sequence!F113 + 0.5 * Deviation_sequence!$B$232)</f>
        <v>0.4040095647</v>
      </c>
      <c r="G113" s="7">
        <f>(Deviation_sequence!$B$233 + 0.5 *Deviation_sequence!$B$232) / (Deviation_sequence!G113 + 0.5 * Deviation_sequence!$B$232)</f>
        <v>0.36659219</v>
      </c>
      <c r="H113" s="7">
        <f>(Deviation_sequence!$B$233 + 0.5 *Deviation_sequence!$B$232) / (Deviation_sequence!H113 + 0.5 * Deviation_sequence!$B$232)</f>
        <v>0.4341689235</v>
      </c>
      <c r="I113" s="7">
        <f>(Deviation_sequence!$B$233 + 0.5 *Deviation_sequence!$B$232) / (Deviation_sequence!I113 + 0.5 * Deviation_sequence!$B$232)</f>
        <v>0.4209971083</v>
      </c>
      <c r="J113" s="7">
        <f>(Deviation_sequence!$B$233 + 0.5 *Deviation_sequence!$B$232) / (Deviation_sequence!J113 + 0.5 * Deviation_sequence!$B$232)</f>
        <v>0.4654682472</v>
      </c>
      <c r="K113" s="7">
        <f>(Deviation_sequence!$B$233 + 0.5 *Deviation_sequence!$B$232) / (Deviation_sequence!K113 + 0.5 * Deviation_sequence!$B$232)</f>
        <v>0.4313580325</v>
      </c>
      <c r="L113" s="7">
        <f>(Deviation_sequence!$B$233 + 0.5 *Deviation_sequence!$B$232) / (Deviation_sequence!L113 + 0.5 * Deviation_sequence!$B$232)</f>
        <v>0.4795471211</v>
      </c>
      <c r="M113" s="7">
        <f>(Deviation_sequence!$B$233 + 0.5 *Deviation_sequence!$B$232) / (Deviation_sequence!M113 + 0.5 * Deviation_sequence!$B$232)</f>
        <v>0.5484447855</v>
      </c>
      <c r="O113" s="7">
        <f t="shared" si="4"/>
        <v>0.4446821934</v>
      </c>
    </row>
    <row r="114">
      <c r="A114" s="10" t="s">
        <v>16</v>
      </c>
      <c r="B114" s="7">
        <f>(Deviation_sequence!$B$233 + 0.5 *Deviation_sequence!$B$232) / (Deviation_sequence!B114 + 0.5 * Deviation_sequence!$B$232)</f>
        <v>0.3728650246</v>
      </c>
      <c r="C114" s="7">
        <f>(Deviation_sequence!$B$233 + 0.5 *Deviation_sequence!$B$232) / (Deviation_sequence!C114 + 0.5 * Deviation_sequence!$B$232)</f>
        <v>0.3697764032</v>
      </c>
      <c r="D114" s="7">
        <f>(Deviation_sequence!$B$233 + 0.5 *Deviation_sequence!$B$232) / (Deviation_sequence!D114 + 0.5 * Deviation_sequence!$B$232)</f>
        <v>0.3745908553</v>
      </c>
      <c r="E114" s="7">
        <f>(Deviation_sequence!$B$233 + 0.5 *Deviation_sequence!$B$232) / (Deviation_sequence!E114 + 0.5 * Deviation_sequence!$B$232)</f>
        <v>0.3818773668</v>
      </c>
      <c r="F114" s="7">
        <f>(Deviation_sequence!$B$233 + 0.5 *Deviation_sequence!$B$232) / (Deviation_sequence!F114 + 0.5 * Deviation_sequence!$B$232)</f>
        <v>0.399926836</v>
      </c>
      <c r="G114" s="7">
        <f>(Deviation_sequence!$B$233 + 0.5 *Deviation_sequence!$B$232) / (Deviation_sequence!G114 + 0.5 * Deviation_sequence!$B$232)</f>
        <v>0.3849781395</v>
      </c>
      <c r="H114" s="7">
        <f>(Deviation_sequence!$B$233 + 0.5 *Deviation_sequence!$B$232) / (Deviation_sequence!H114 + 0.5 * Deviation_sequence!$B$232)</f>
        <v>0.4034606698</v>
      </c>
      <c r="I114" s="7">
        <f>(Deviation_sequence!$B$233 + 0.5 *Deviation_sequence!$B$232) / (Deviation_sequence!I114 + 0.5 * Deviation_sequence!$B$232)</f>
        <v>0.3924390671</v>
      </c>
      <c r="J114" s="7">
        <f>(Deviation_sequence!$B$233 + 0.5 *Deviation_sequence!$B$232) / (Deviation_sequence!J114 + 0.5 * Deviation_sequence!$B$232)</f>
        <v>0.3973790459</v>
      </c>
      <c r="K114" s="7">
        <f>(Deviation_sequence!$B$233 + 0.5 *Deviation_sequence!$B$232) / (Deviation_sequence!K114 + 0.5 * Deviation_sequence!$B$232)</f>
        <v>0.3865902282</v>
      </c>
      <c r="L114" s="7">
        <f>(Deviation_sequence!$B$233 + 0.5 *Deviation_sequence!$B$232) / (Deviation_sequence!L114 + 0.5 * Deviation_sequence!$B$232)</f>
        <v>0.4119374384</v>
      </c>
      <c r="M114" s="7">
        <f>(Deviation_sequence!$B$233 + 0.5 *Deviation_sequence!$B$232) / (Deviation_sequence!M114 + 0.5 * Deviation_sequence!$B$232)</f>
        <v>0.3797438406</v>
      </c>
      <c r="O114" s="7">
        <f t="shared" si="4"/>
        <v>0.387963743</v>
      </c>
    </row>
    <row r="115">
      <c r="A115" s="10" t="s">
        <v>17</v>
      </c>
      <c r="B115" s="7">
        <f>(Deviation_sequence!$B$233 + 0.5 *Deviation_sequence!$B$232) / (Deviation_sequence!B115 + 0.5 * Deviation_sequence!$B$232)</f>
        <v>0.4028944169</v>
      </c>
      <c r="C115" s="7">
        <f>(Deviation_sequence!$B$233 + 0.5 *Deviation_sequence!$B$232) / (Deviation_sequence!C115 + 0.5 * Deviation_sequence!$B$232)</f>
        <v>0.4430535508</v>
      </c>
      <c r="D115" s="7">
        <f>(Deviation_sequence!$B$233 + 0.5 *Deviation_sequence!$B$232) / (Deviation_sequence!D115 + 0.5 * Deviation_sequence!$B$232)</f>
        <v>0.3846702786</v>
      </c>
      <c r="E115" s="7">
        <f>(Deviation_sequence!$B$233 + 0.5 *Deviation_sequence!$B$232) / (Deviation_sequence!E115 + 0.5 * Deviation_sequence!$B$232)</f>
        <v>0.3779960705</v>
      </c>
      <c r="F115" s="7">
        <f>(Deviation_sequence!$B$233 + 0.5 *Deviation_sequence!$B$232) / (Deviation_sequence!F115 + 0.5 * Deviation_sequence!$B$232)</f>
        <v>0.3794908485</v>
      </c>
      <c r="G115" s="7">
        <f>(Deviation_sequence!$B$233 + 0.5 *Deviation_sequence!$B$232) / (Deviation_sequence!G115 + 0.5 * Deviation_sequence!$B$232)</f>
        <v>0.3453683114</v>
      </c>
      <c r="H115" s="7">
        <f>(Deviation_sequence!$B$233 + 0.5 *Deviation_sequence!$B$232) / (Deviation_sequence!H115 + 0.5 * Deviation_sequence!$B$232)</f>
        <v>0.3745364448</v>
      </c>
      <c r="I115" s="7">
        <f>(Deviation_sequence!$B$233 + 0.5 *Deviation_sequence!$B$232) / (Deviation_sequence!I115 + 0.5 * Deviation_sequence!$B$232)</f>
        <v>0.382180133</v>
      </c>
      <c r="J115" s="7">
        <f>(Deviation_sequence!$B$233 + 0.5 *Deviation_sequence!$B$232) / (Deviation_sequence!J115 + 0.5 * Deviation_sequence!$B$232)</f>
        <v>0.3777627856</v>
      </c>
      <c r="K115" s="7">
        <f>(Deviation_sequence!$B$233 + 0.5 *Deviation_sequence!$B$232) / (Deviation_sequence!K115 + 0.5 * Deviation_sequence!$B$232)</f>
        <v>0.3590384927</v>
      </c>
      <c r="L115" s="7">
        <f>(Deviation_sequence!$B$233 + 0.5 *Deviation_sequence!$B$232) / (Deviation_sequence!L115 + 0.5 * Deviation_sequence!$B$232)</f>
        <v>0.3944707357</v>
      </c>
      <c r="M115" s="7">
        <f>(Deviation_sequence!$B$233 + 0.5 *Deviation_sequence!$B$232) / (Deviation_sequence!M115 + 0.5 * Deviation_sequence!$B$232)</f>
        <v>0.3843706579</v>
      </c>
      <c r="O115" s="7">
        <f t="shared" si="4"/>
        <v>0.3838193939</v>
      </c>
    </row>
    <row r="116">
      <c r="A116" s="10" t="s">
        <v>18</v>
      </c>
      <c r="B116" s="7">
        <f>(Deviation_sequence!$B$233 + 0.5 *Deviation_sequence!$B$232) / (Deviation_sequence!B116 + 0.5 * Deviation_sequence!$B$232)</f>
        <v>0.3933580735</v>
      </c>
      <c r="C116" s="7">
        <f>(Deviation_sequence!$B$233 + 0.5 *Deviation_sequence!$B$232) / (Deviation_sequence!C116 + 0.5 * Deviation_sequence!$B$232)</f>
        <v>0.3875036761</v>
      </c>
      <c r="D116" s="7">
        <f>(Deviation_sequence!$B$233 + 0.5 *Deviation_sequence!$B$232) / (Deviation_sequence!D116 + 0.5 * Deviation_sequence!$B$232)</f>
        <v>0.3696557685</v>
      </c>
      <c r="E116" s="7">
        <f>(Deviation_sequence!$B$233 + 0.5 *Deviation_sequence!$B$232) / (Deviation_sequence!E116 + 0.5 * Deviation_sequence!$B$232)</f>
        <v>0.3565882062</v>
      </c>
      <c r="F116" s="7">
        <f>(Deviation_sequence!$B$233 + 0.5 *Deviation_sequence!$B$232) / (Deviation_sequence!F116 + 0.5 * Deviation_sequence!$B$232)</f>
        <v>0.3833534537</v>
      </c>
      <c r="G116" s="7">
        <f>(Deviation_sequence!$B$233 + 0.5 *Deviation_sequence!$B$232) / (Deviation_sequence!G116 + 0.5 * Deviation_sequence!$B$232)</f>
        <v>0.3333882737</v>
      </c>
      <c r="H116" s="7">
        <f>(Deviation_sequence!$B$233 + 0.5 *Deviation_sequence!$B$232) / (Deviation_sequence!H116 + 0.5 * Deviation_sequence!$B$232)</f>
        <v>0.3518301112</v>
      </c>
      <c r="I116" s="7">
        <f>(Deviation_sequence!$B$233 + 0.5 *Deviation_sequence!$B$232) / (Deviation_sequence!I116 + 0.5 * Deviation_sequence!$B$232)</f>
        <v>0.3622515336</v>
      </c>
      <c r="J116" s="7">
        <f>(Deviation_sequence!$B$233 + 0.5 *Deviation_sequence!$B$232) / (Deviation_sequence!J116 + 0.5 * Deviation_sequence!$B$232)</f>
        <v>0.3636070793</v>
      </c>
      <c r="K116" s="7">
        <f>(Deviation_sequence!$B$233 + 0.5 *Deviation_sequence!$B$232) / (Deviation_sequence!K116 + 0.5 * Deviation_sequence!$B$232)</f>
        <v>0.3653811212</v>
      </c>
      <c r="L116" s="7">
        <f>(Deviation_sequence!$B$233 + 0.5 *Deviation_sequence!$B$232) / (Deviation_sequence!L116 + 0.5 * Deviation_sequence!$B$232)</f>
        <v>0.3733905874</v>
      </c>
      <c r="M116" s="7">
        <f>(Deviation_sequence!$B$233 + 0.5 *Deviation_sequence!$B$232) / (Deviation_sequence!M116 + 0.5 * Deviation_sequence!$B$232)</f>
        <v>0.3690105569</v>
      </c>
      <c r="O116" s="7">
        <f t="shared" si="4"/>
        <v>0.3674432034</v>
      </c>
    </row>
    <row r="117">
      <c r="A117" s="10" t="s">
        <v>19</v>
      </c>
      <c r="B117" s="7">
        <f>(Deviation_sequence!$B$233 + 0.5 *Deviation_sequence!$B$232) / (Deviation_sequence!B117 + 0.5 * Deviation_sequence!$B$232)</f>
        <v>0.382271998</v>
      </c>
      <c r="C117" s="7">
        <f>(Deviation_sequence!$B$233 + 0.5 *Deviation_sequence!$B$232) / (Deviation_sequence!C117 + 0.5 * Deviation_sequence!$B$232)</f>
        <v>0.4109913399</v>
      </c>
      <c r="D117" s="7">
        <f>(Deviation_sequence!$B$233 + 0.5 *Deviation_sequence!$B$232) / (Deviation_sequence!D117 + 0.5 * Deviation_sequence!$B$232)</f>
        <v>0.3918728163</v>
      </c>
      <c r="E117" s="7">
        <f>(Deviation_sequence!$B$233 + 0.5 *Deviation_sequence!$B$232) / (Deviation_sequence!E117 + 0.5 * Deviation_sequence!$B$232)</f>
        <v>0.3941485893</v>
      </c>
      <c r="F117" s="7">
        <f>(Deviation_sequence!$B$233 + 0.5 *Deviation_sequence!$B$232) / (Deviation_sequence!F117 + 0.5 * Deviation_sequence!$B$232)</f>
        <v>0.3994412412</v>
      </c>
      <c r="G117" s="7">
        <f>(Deviation_sequence!$B$233 + 0.5 *Deviation_sequence!$B$232) / (Deviation_sequence!G117 + 0.5 * Deviation_sequence!$B$232)</f>
        <v>0.3602628464</v>
      </c>
      <c r="H117" s="7">
        <f>(Deviation_sequence!$B$233 + 0.5 *Deviation_sequence!$B$232) / (Deviation_sequence!H117 + 0.5 * Deviation_sequence!$B$232)</f>
        <v>0.38643515</v>
      </c>
      <c r="I117" s="7">
        <f>(Deviation_sequence!$B$233 + 0.5 *Deviation_sequence!$B$232) / (Deviation_sequence!I117 + 0.5 * Deviation_sequence!$B$232)</f>
        <v>0.4426577488</v>
      </c>
      <c r="J117" s="7">
        <f>(Deviation_sequence!$B$233 + 0.5 *Deviation_sequence!$B$232) / (Deviation_sequence!J117 + 0.5 * Deviation_sequence!$B$232)</f>
        <v>0.41729154</v>
      </c>
      <c r="K117" s="7">
        <f>(Deviation_sequence!$B$233 + 0.5 *Deviation_sequence!$B$232) / (Deviation_sequence!K117 + 0.5 * Deviation_sequence!$B$232)</f>
        <v>0.383668619</v>
      </c>
      <c r="L117" s="7">
        <f>(Deviation_sequence!$B$233 + 0.5 *Deviation_sequence!$B$232) / (Deviation_sequence!L117 + 0.5 * Deviation_sequence!$B$232)</f>
        <v>0.4169949711</v>
      </c>
      <c r="M117" s="7">
        <f>(Deviation_sequence!$B$233 + 0.5 *Deviation_sequence!$B$232) / (Deviation_sequence!M117 + 0.5 * Deviation_sequence!$B$232)</f>
        <v>0.3814198419</v>
      </c>
      <c r="O117" s="7">
        <f t="shared" si="4"/>
        <v>0.3972880585</v>
      </c>
    </row>
    <row r="118">
      <c r="A118" s="10" t="s">
        <v>20</v>
      </c>
      <c r="B118" s="7">
        <f>(Deviation_sequence!$B$233 + 0.5 *Deviation_sequence!$B$232) / (Deviation_sequence!B118 + 0.5 * Deviation_sequence!$B$232)</f>
        <v>0.3553949723</v>
      </c>
      <c r="C118" s="7">
        <f>(Deviation_sequence!$B$233 + 0.5 *Deviation_sequence!$B$232) / (Deviation_sequence!C118 + 0.5 * Deviation_sequence!$B$232)</f>
        <v>0.372641231</v>
      </c>
      <c r="D118" s="7">
        <f>(Deviation_sequence!$B$233 + 0.5 *Deviation_sequence!$B$232) / (Deviation_sequence!D118 + 0.5 * Deviation_sequence!$B$232)</f>
        <v>0.3513593574</v>
      </c>
      <c r="E118" s="7">
        <f>(Deviation_sequence!$B$233 + 0.5 *Deviation_sequence!$B$232) / (Deviation_sequence!E118 + 0.5 * Deviation_sequence!$B$232)</f>
        <v>0.3508093579</v>
      </c>
      <c r="F118" s="7">
        <f>(Deviation_sequence!$B$233 + 0.5 *Deviation_sequence!$B$232) / (Deviation_sequence!F118 + 0.5 * Deviation_sequence!$B$232)</f>
        <v>0.3518851949</v>
      </c>
      <c r="G118" s="7">
        <f>(Deviation_sequence!$B$233 + 0.5 *Deviation_sequence!$B$232) / (Deviation_sequence!G118 + 0.5 * Deviation_sequence!$B$232)</f>
        <v>0.3373806896</v>
      </c>
      <c r="H118" s="7">
        <f>(Deviation_sequence!$B$233 + 0.5 *Deviation_sequence!$B$232) / (Deviation_sequence!H118 + 0.5 * Deviation_sequence!$B$232)</f>
        <v>0.3462630496</v>
      </c>
      <c r="I118" s="7">
        <f>(Deviation_sequence!$B$233 + 0.5 *Deviation_sequence!$B$232) / (Deviation_sequence!I118 + 0.5 * Deviation_sequence!$B$232)</f>
        <v>0.3490402666</v>
      </c>
      <c r="J118" s="7">
        <f>(Deviation_sequence!$B$233 + 0.5 *Deviation_sequence!$B$232) / (Deviation_sequence!J118 + 0.5 * Deviation_sequence!$B$232)</f>
        <v>0.3543985361</v>
      </c>
      <c r="K118" s="7">
        <f>(Deviation_sequence!$B$233 + 0.5 *Deviation_sequence!$B$232) / (Deviation_sequence!K118 + 0.5 * Deviation_sequence!$B$232)</f>
        <v>0.3440490705</v>
      </c>
      <c r="L118" s="7">
        <f>(Deviation_sequence!$B$233 + 0.5 *Deviation_sequence!$B$232) / (Deviation_sequence!L118 + 0.5 * Deviation_sequence!$B$232)</f>
        <v>0.3552826466</v>
      </c>
      <c r="M118" s="7">
        <f>(Deviation_sequence!$B$233 + 0.5 *Deviation_sequence!$B$232) / (Deviation_sequence!M118 + 0.5 * Deviation_sequence!$B$232)</f>
        <v>0.3434221009</v>
      </c>
      <c r="O118" s="7">
        <f t="shared" si="4"/>
        <v>0.3509938728</v>
      </c>
    </row>
    <row r="119">
      <c r="A119" s="10" t="s">
        <v>21</v>
      </c>
      <c r="B119" s="7">
        <f>(Deviation_sequence!$B$233 + 0.5 *Deviation_sequence!$B$232) / (Deviation_sequence!B119 + 0.5 * Deviation_sequence!$B$232)</f>
        <v>0.3712613735</v>
      </c>
      <c r="C119" s="7">
        <f>(Deviation_sequence!$B$233 + 0.5 *Deviation_sequence!$B$232) / (Deviation_sequence!C119 + 0.5 * Deviation_sequence!$B$232)</f>
        <v>0.3842428593</v>
      </c>
      <c r="D119" s="7">
        <f>(Deviation_sequence!$B$233 + 0.5 *Deviation_sequence!$B$232) / (Deviation_sequence!D119 + 0.5 * Deviation_sequence!$B$232)</f>
        <v>0.3575911754</v>
      </c>
      <c r="E119" s="7">
        <f>(Deviation_sequence!$B$233 + 0.5 *Deviation_sequence!$B$232) / (Deviation_sequence!E119 + 0.5 * Deviation_sequence!$B$232)</f>
        <v>0.3644198667</v>
      </c>
      <c r="F119" s="7">
        <f>(Deviation_sequence!$B$233 + 0.5 *Deviation_sequence!$B$232) / (Deviation_sequence!F119 + 0.5 * Deviation_sequence!$B$232)</f>
        <v>0.3585691908</v>
      </c>
      <c r="G119" s="7">
        <f>(Deviation_sequence!$B$233 + 0.5 *Deviation_sequence!$B$232) / (Deviation_sequence!G119 + 0.5 * Deviation_sequence!$B$232)</f>
        <v>0.3439477539</v>
      </c>
      <c r="H119" s="7">
        <f>(Deviation_sequence!$B$233 + 0.5 *Deviation_sequence!$B$232) / (Deviation_sequence!H119 + 0.5 * Deviation_sequence!$B$232)</f>
        <v>0.3554332943</v>
      </c>
      <c r="I119" s="7">
        <f>(Deviation_sequence!$B$233 + 0.5 *Deviation_sequence!$B$232) / (Deviation_sequence!I119 + 0.5 * Deviation_sequence!$B$232)</f>
        <v>0.3550634125</v>
      </c>
      <c r="J119" s="7">
        <f>(Deviation_sequence!$B$233 + 0.5 *Deviation_sequence!$B$232) / (Deviation_sequence!J119 + 0.5 * Deviation_sequence!$B$232)</f>
        <v>0.3656741897</v>
      </c>
      <c r="K119" s="7">
        <f>(Deviation_sequence!$B$233 + 0.5 *Deviation_sequence!$B$232) / (Deviation_sequence!K119 + 0.5 * Deviation_sequence!$B$232)</f>
        <v>0.3517224042</v>
      </c>
      <c r="L119" s="7">
        <f>(Deviation_sequence!$B$233 + 0.5 *Deviation_sequence!$B$232) / (Deviation_sequence!L119 + 0.5 * Deviation_sequence!$B$232)</f>
        <v>0.3644751247</v>
      </c>
      <c r="M119" s="7">
        <f>(Deviation_sequence!$B$233 + 0.5 *Deviation_sequence!$B$232) / (Deviation_sequence!M119 + 0.5 * Deviation_sequence!$B$232)</f>
        <v>0.3531742874</v>
      </c>
      <c r="O119" s="7">
        <f t="shared" si="4"/>
        <v>0.3604645777</v>
      </c>
    </row>
    <row r="120">
      <c r="A120" s="10" t="s">
        <v>22</v>
      </c>
      <c r="B120" s="7">
        <f>(Deviation_sequence!$B$233 + 0.5 *Deviation_sequence!$B$232) / (Deviation_sequence!B120 + 0.5 * Deviation_sequence!$B$232)</f>
        <v>0.3542000617</v>
      </c>
      <c r="C120" s="7">
        <f>(Deviation_sequence!$B$233 + 0.5 *Deviation_sequence!$B$232) / (Deviation_sequence!C120 + 0.5 * Deviation_sequence!$B$232)</f>
        <v>0.3720759976</v>
      </c>
      <c r="D120" s="7">
        <f>(Deviation_sequence!$B$233 + 0.5 *Deviation_sequence!$B$232) / (Deviation_sequence!D120 + 0.5 * Deviation_sequence!$B$232)</f>
        <v>0.3577096407</v>
      </c>
      <c r="E120" s="7">
        <f>(Deviation_sequence!$B$233 + 0.5 *Deviation_sequence!$B$232) / (Deviation_sequence!E120 + 0.5 * Deviation_sequence!$B$232)</f>
        <v>0.3674657829</v>
      </c>
      <c r="F120" s="7">
        <f>(Deviation_sequence!$B$233 + 0.5 *Deviation_sequence!$B$232) / (Deviation_sequence!F120 + 0.5 * Deviation_sequence!$B$232)</f>
        <v>0.3683138543</v>
      </c>
      <c r="G120" s="7">
        <f>(Deviation_sequence!$B$233 + 0.5 *Deviation_sequence!$B$232) / (Deviation_sequence!G120 + 0.5 * Deviation_sequence!$B$232)</f>
        <v>0.3475801855</v>
      </c>
      <c r="H120" s="7">
        <f>(Deviation_sequence!$B$233 + 0.5 *Deviation_sequence!$B$232) / (Deviation_sequence!H120 + 0.5 * Deviation_sequence!$B$232)</f>
        <v>0.3678390829</v>
      </c>
      <c r="I120" s="7">
        <f>(Deviation_sequence!$B$233 + 0.5 *Deviation_sequence!$B$232) / (Deviation_sequence!I120 + 0.5 * Deviation_sequence!$B$232)</f>
        <v>0.3596144596</v>
      </c>
      <c r="J120" s="7">
        <f>(Deviation_sequence!$B$233 + 0.5 *Deviation_sequence!$B$232) / (Deviation_sequence!J120 + 0.5 * Deviation_sequence!$B$232)</f>
        <v>0.3549994068</v>
      </c>
      <c r="K120" s="7">
        <f>(Deviation_sequence!$B$233 + 0.5 *Deviation_sequence!$B$232) / (Deviation_sequence!K120 + 0.5 * Deviation_sequence!$B$232)</f>
        <v>0.3533030267</v>
      </c>
      <c r="L120" s="7">
        <f>(Deviation_sequence!$B$233 + 0.5 *Deviation_sequence!$B$232) / (Deviation_sequence!L120 + 0.5 * Deviation_sequence!$B$232)</f>
        <v>0.3430824008</v>
      </c>
      <c r="M120" s="7">
        <f>(Deviation_sequence!$B$233 + 0.5 *Deviation_sequence!$B$232) / (Deviation_sequence!M120 + 0.5 * Deviation_sequence!$B$232)</f>
        <v>0.3527336716</v>
      </c>
      <c r="O120" s="7">
        <f t="shared" si="4"/>
        <v>0.3582431309</v>
      </c>
    </row>
    <row r="121">
      <c r="A121" s="10" t="s">
        <v>23</v>
      </c>
      <c r="B121" s="7">
        <f>(Deviation_sequence!$B$233 + 0.5 *Deviation_sequence!$B$232) / (Deviation_sequence!B121 + 0.5 * Deviation_sequence!$B$232)</f>
        <v>0.3500869153</v>
      </c>
      <c r="C121" s="7">
        <f>(Deviation_sequence!$B$233 + 0.5 *Deviation_sequence!$B$232) / (Deviation_sequence!C121 + 0.5 * Deviation_sequence!$B$232)</f>
        <v>0.3612648554</v>
      </c>
      <c r="D121" s="7">
        <f>(Deviation_sequence!$B$233 + 0.5 *Deviation_sequence!$B$232) / (Deviation_sequence!D121 + 0.5 * Deviation_sequence!$B$232)</f>
        <v>0.3509013177</v>
      </c>
      <c r="E121" s="7">
        <f>(Deviation_sequence!$B$233 + 0.5 *Deviation_sequence!$B$232) / (Deviation_sequence!E121 + 0.5 * Deviation_sequence!$B$232)</f>
        <v>0.3576321254</v>
      </c>
      <c r="F121" s="7">
        <f>(Deviation_sequence!$B$233 + 0.5 *Deviation_sequence!$B$232) / (Deviation_sequence!F121 + 0.5 * Deviation_sequence!$B$232)</f>
        <v>0.3614148258</v>
      </c>
      <c r="G121" s="7">
        <f>(Deviation_sequence!$B$233 + 0.5 *Deviation_sequence!$B$232) / (Deviation_sequence!G121 + 0.5 * Deviation_sequence!$B$232)</f>
        <v>0.3389815313</v>
      </c>
      <c r="H121" s="7">
        <f>(Deviation_sequence!$B$233 + 0.5 *Deviation_sequence!$B$232) / (Deviation_sequence!H121 + 0.5 * Deviation_sequence!$B$232)</f>
        <v>0.3508898444</v>
      </c>
      <c r="I121" s="7">
        <f>(Deviation_sequence!$B$233 + 0.5 *Deviation_sequence!$B$232) / (Deviation_sequence!I121 + 0.5 * Deviation_sequence!$B$232)</f>
        <v>0.342518709</v>
      </c>
      <c r="J121" s="7">
        <f>(Deviation_sequence!$B$233 + 0.5 *Deviation_sequence!$B$232) / (Deviation_sequence!J121 + 0.5 * Deviation_sequence!$B$232)</f>
        <v>0.3550128731</v>
      </c>
      <c r="K121" s="7">
        <f>(Deviation_sequence!$B$233 + 0.5 *Deviation_sequence!$B$232) / (Deviation_sequence!K121 + 0.5 * Deviation_sequence!$B$232)</f>
        <v>0.3395618218</v>
      </c>
      <c r="L121" s="7">
        <f>(Deviation_sequence!$B$233 + 0.5 *Deviation_sequence!$B$232) / (Deviation_sequence!L121 + 0.5 * Deviation_sequence!$B$232)</f>
        <v>0.3533304235</v>
      </c>
      <c r="M121" s="7">
        <f>(Deviation_sequence!$B$233 + 0.5 *Deviation_sequence!$B$232) / (Deviation_sequence!M121 + 0.5 * Deviation_sequence!$B$232)</f>
        <v>0.3450268475</v>
      </c>
      <c r="O121" s="7">
        <f t="shared" si="4"/>
        <v>0.3505518408</v>
      </c>
    </row>
    <row r="122">
      <c r="A122" s="10" t="s">
        <v>24</v>
      </c>
      <c r="B122" s="7">
        <f>(Deviation_sequence!$B$233 + 0.5 *Deviation_sequence!$B$232) / (Deviation_sequence!B122 + 0.5 * Deviation_sequence!$B$232)</f>
        <v>0.4232584578</v>
      </c>
      <c r="C122" s="7">
        <f>(Deviation_sequence!$B$233 + 0.5 *Deviation_sequence!$B$232) / (Deviation_sequence!C122 + 0.5 * Deviation_sequence!$B$232)</f>
        <v>0.4442514796</v>
      </c>
      <c r="D122" s="7">
        <f>(Deviation_sequence!$B$233 + 0.5 *Deviation_sequence!$B$232) / (Deviation_sequence!D122 + 0.5 * Deviation_sequence!$B$232)</f>
        <v>0.3945067571</v>
      </c>
      <c r="E122" s="7">
        <f>(Deviation_sequence!$B$233 + 0.5 *Deviation_sequence!$B$232) / (Deviation_sequence!E122 + 0.5 * Deviation_sequence!$B$232)</f>
        <v>0.4097649354</v>
      </c>
      <c r="F122" s="7">
        <f>(Deviation_sequence!$B$233 + 0.5 *Deviation_sequence!$B$232) / (Deviation_sequence!F122 + 0.5 * Deviation_sequence!$B$232)</f>
        <v>0.385692934</v>
      </c>
      <c r="G122" s="7">
        <f>(Deviation_sequence!$B$233 + 0.5 *Deviation_sequence!$B$232) / (Deviation_sequence!G122 + 0.5 * Deviation_sequence!$B$232)</f>
        <v>0.3504636883</v>
      </c>
      <c r="H122" s="7">
        <f>(Deviation_sequence!$B$233 + 0.5 *Deviation_sequence!$B$232) / (Deviation_sequence!H122 + 0.5 * Deviation_sequence!$B$232)</f>
        <v>0.3700266101</v>
      </c>
      <c r="I122" s="7">
        <f>(Deviation_sequence!$B$233 + 0.5 *Deviation_sequence!$B$232) / (Deviation_sequence!I122 + 0.5 * Deviation_sequence!$B$232)</f>
        <v>0.3677720866</v>
      </c>
      <c r="J122" s="7">
        <f>(Deviation_sequence!$B$233 + 0.5 *Deviation_sequence!$B$232) / (Deviation_sequence!J122 + 0.5 * Deviation_sequence!$B$232)</f>
        <v>0.3924530024</v>
      </c>
      <c r="K122" s="7">
        <f>(Deviation_sequence!$B$233 + 0.5 *Deviation_sequence!$B$232) / (Deviation_sequence!K122 + 0.5 * Deviation_sequence!$B$232)</f>
        <v>0.4223596511</v>
      </c>
      <c r="L122" s="7">
        <f>(Deviation_sequence!$B$233 + 0.5 *Deviation_sequence!$B$232) / (Deviation_sequence!L122 + 0.5 * Deviation_sequence!$B$232)</f>
        <v>0.5003995242</v>
      </c>
      <c r="M122" s="7">
        <f>(Deviation_sequence!$B$233 + 0.5 *Deviation_sequence!$B$232) / (Deviation_sequence!M122 + 0.5 * Deviation_sequence!$B$232)</f>
        <v>0.4470363346</v>
      </c>
      <c r="O122" s="7">
        <f t="shared" si="4"/>
        <v>0.4089987884</v>
      </c>
    </row>
    <row r="123">
      <c r="A123" s="10" t="s">
        <v>25</v>
      </c>
      <c r="B123" s="7">
        <f>(Deviation_sequence!$B$233 + 0.5 *Deviation_sequence!$B$232) / (Deviation_sequence!B123 + 0.5 * Deviation_sequence!$B$232)</f>
        <v>0.3798386283</v>
      </c>
      <c r="C123" s="7">
        <f>(Deviation_sequence!$B$233 + 0.5 *Deviation_sequence!$B$232) / (Deviation_sequence!C123 + 0.5 * Deviation_sequence!$B$232)</f>
        <v>0.5136958827</v>
      </c>
      <c r="D123" s="7">
        <f>(Deviation_sequence!$B$233 + 0.5 *Deviation_sequence!$B$232) / (Deviation_sequence!D123 + 0.5 * Deviation_sequence!$B$232)</f>
        <v>0.4167162577</v>
      </c>
      <c r="E123" s="7">
        <f>(Deviation_sequence!$B$233 + 0.5 *Deviation_sequence!$B$232) / (Deviation_sequence!E123 + 0.5 * Deviation_sequence!$B$232)</f>
        <v>0.4419138636</v>
      </c>
      <c r="F123" s="7">
        <f>(Deviation_sequence!$B$233 + 0.5 *Deviation_sequence!$B$232) / (Deviation_sequence!F123 + 0.5 * Deviation_sequence!$B$232)</f>
        <v>0.5725081676</v>
      </c>
      <c r="G123" s="7">
        <f>(Deviation_sequence!$B$233 + 0.5 *Deviation_sequence!$B$232) / (Deviation_sequence!G123 + 0.5 * Deviation_sequence!$B$232)</f>
        <v>0.3553682599</v>
      </c>
      <c r="H123" s="7">
        <f>(Deviation_sequence!$B$233 + 0.5 *Deviation_sequence!$B$232) / (Deviation_sequence!H123 + 0.5 * Deviation_sequence!$B$232)</f>
        <v>0.3593451041</v>
      </c>
      <c r="I123" s="7">
        <f>(Deviation_sequence!$B$233 + 0.5 *Deviation_sequence!$B$232) / (Deviation_sequence!I123 + 0.5 * Deviation_sequence!$B$232)</f>
        <v>0.3653757429</v>
      </c>
      <c r="J123" s="7">
        <f>(Deviation_sequence!$B$233 + 0.5 *Deviation_sequence!$B$232) / (Deviation_sequence!J123 + 0.5 * Deviation_sequence!$B$232)</f>
        <v>0.4108579349</v>
      </c>
      <c r="K123" s="7">
        <f>(Deviation_sequence!$B$233 + 0.5 *Deviation_sequence!$B$232) / (Deviation_sequence!K123 + 0.5 * Deviation_sequence!$B$232)</f>
        <v>0.3729499672</v>
      </c>
      <c r="L123" s="7">
        <f>(Deviation_sequence!$B$233 + 0.5 *Deviation_sequence!$B$232) / (Deviation_sequence!L123 + 0.5 * Deviation_sequence!$B$232)</f>
        <v>0.426865697</v>
      </c>
      <c r="M123" s="7">
        <f>(Deviation_sequence!$B$233 + 0.5 *Deviation_sequence!$B$232) / (Deviation_sequence!M123 + 0.5 * Deviation_sequence!$B$232)</f>
        <v>0.4076295608</v>
      </c>
      <c r="O123" s="7">
        <f t="shared" si="4"/>
        <v>0.4185887556</v>
      </c>
    </row>
    <row r="124">
      <c r="A124" s="10" t="s">
        <v>26</v>
      </c>
      <c r="B124" s="7">
        <f>(Deviation_sequence!$B$233 + 0.5 *Deviation_sequence!$B$232) / (Deviation_sequence!B124 + 0.5 * Deviation_sequence!$B$232)</f>
        <v>0.3579465137</v>
      </c>
      <c r="C124" s="7">
        <f>(Deviation_sequence!$B$233 + 0.5 *Deviation_sequence!$B$232) / (Deviation_sequence!C124 + 0.5 * Deviation_sequence!$B$232)</f>
        <v>0.3672597402</v>
      </c>
      <c r="D124" s="7">
        <f>(Deviation_sequence!$B$233 + 0.5 *Deviation_sequence!$B$232) / (Deviation_sequence!D124 + 0.5 * Deviation_sequence!$B$232)</f>
        <v>0.3441528855</v>
      </c>
      <c r="E124" s="7">
        <f>(Deviation_sequence!$B$233 + 0.5 *Deviation_sequence!$B$232) / (Deviation_sequence!E124 + 0.5 * Deviation_sequence!$B$232)</f>
        <v>0.3590262464</v>
      </c>
      <c r="F124" s="7">
        <f>(Deviation_sequence!$B$233 + 0.5 *Deviation_sequence!$B$232) / (Deviation_sequence!F124 + 0.5 * Deviation_sequence!$B$232)</f>
        <v>0.3730439261</v>
      </c>
      <c r="G124" s="7">
        <f>(Deviation_sequence!$B$233 + 0.5 *Deviation_sequence!$B$232) / (Deviation_sequence!G124 + 0.5 * Deviation_sequence!$B$232)</f>
        <v>0.3361674977</v>
      </c>
      <c r="H124" s="7">
        <f>(Deviation_sequence!$B$233 + 0.5 *Deviation_sequence!$B$232) / (Deviation_sequence!H124 + 0.5 * Deviation_sequence!$B$232)</f>
        <v>0.3425168568</v>
      </c>
      <c r="I124" s="7">
        <f>(Deviation_sequence!$B$233 + 0.5 *Deviation_sequence!$B$232) / (Deviation_sequence!I124 + 0.5 * Deviation_sequence!$B$232)</f>
        <v>0.3495582203</v>
      </c>
      <c r="J124" s="7">
        <f>(Deviation_sequence!$B$233 + 0.5 *Deviation_sequence!$B$232) / (Deviation_sequence!J124 + 0.5 * Deviation_sequence!$B$232)</f>
        <v>0.3560467562</v>
      </c>
      <c r="K124" s="7">
        <f>(Deviation_sequence!$B$233 + 0.5 *Deviation_sequence!$B$232) / (Deviation_sequence!K124 + 0.5 * Deviation_sequence!$B$232)</f>
        <v>0.3473854618</v>
      </c>
      <c r="L124" s="7">
        <f>(Deviation_sequence!$B$233 + 0.5 *Deviation_sequence!$B$232) / (Deviation_sequence!L124 + 0.5 * Deviation_sequence!$B$232)</f>
        <v>0.3421417683</v>
      </c>
      <c r="M124" s="7">
        <f>(Deviation_sequence!$B$233 + 0.5 *Deviation_sequence!$B$232) / (Deviation_sequence!M124 + 0.5 * Deviation_sequence!$B$232)</f>
        <v>0.3518647432</v>
      </c>
      <c r="O124" s="7">
        <f t="shared" si="4"/>
        <v>0.352259218</v>
      </c>
    </row>
    <row r="125">
      <c r="A125" s="10" t="s">
        <v>27</v>
      </c>
      <c r="B125" s="7">
        <f>(Deviation_sequence!$B$233 + 0.5 *Deviation_sequence!$B$232) / (Deviation_sequence!B125 + 0.5 * Deviation_sequence!$B$232)</f>
        <v>0.6817884318</v>
      </c>
      <c r="C125" s="7">
        <f>(Deviation_sequence!$B$233 + 0.5 *Deviation_sequence!$B$232) / (Deviation_sequence!C125 + 0.5 * Deviation_sequence!$B$232)</f>
        <v>0.8125110299</v>
      </c>
      <c r="D125" s="7">
        <f>(Deviation_sequence!$B$233 + 0.5 *Deviation_sequence!$B$232) / (Deviation_sequence!D125 + 0.5 * Deviation_sequence!$B$232)</f>
        <v>0.636020951</v>
      </c>
      <c r="E125" s="7">
        <f>(Deviation_sequence!$B$233 + 0.5 *Deviation_sequence!$B$232) / (Deviation_sequence!E125 + 0.5 * Deviation_sequence!$B$232)</f>
        <v>0.795621479</v>
      </c>
      <c r="F125" s="7">
        <f>(Deviation_sequence!$B$233 + 0.5 *Deviation_sequence!$B$232) / (Deviation_sequence!F125 + 0.5 * Deviation_sequence!$B$232)</f>
        <v>0.7196659112</v>
      </c>
      <c r="G125" s="7">
        <f>(Deviation_sequence!$B$233 + 0.5 *Deviation_sequence!$B$232) / (Deviation_sequence!G125 + 0.5 * Deviation_sequence!$B$232)</f>
        <v>0.4725417473</v>
      </c>
      <c r="H125" s="7">
        <f>(Deviation_sequence!$B$233 + 0.5 *Deviation_sequence!$B$232) / (Deviation_sequence!H125 + 0.5 * Deviation_sequence!$B$232)</f>
        <v>0.495932221</v>
      </c>
      <c r="I125" s="7">
        <f>(Deviation_sequence!$B$233 + 0.5 *Deviation_sequence!$B$232) / (Deviation_sequence!I125 + 0.5 * Deviation_sequence!$B$232)</f>
        <v>0.4408572688</v>
      </c>
      <c r="J125" s="7">
        <f>(Deviation_sequence!$B$233 + 0.5 *Deviation_sequence!$B$232) / (Deviation_sequence!J125 + 0.5 * Deviation_sequence!$B$232)</f>
        <v>0.4169202064</v>
      </c>
      <c r="K125" s="7">
        <f>(Deviation_sequence!$B$233 + 0.5 *Deviation_sequence!$B$232) / (Deviation_sequence!K125 + 0.5 * Deviation_sequence!$B$232)</f>
        <v>0.4474635971</v>
      </c>
      <c r="L125" s="7">
        <f>(Deviation_sequence!$B$233 + 0.5 *Deviation_sequence!$B$232) / (Deviation_sequence!L125 + 0.5 * Deviation_sequence!$B$232)</f>
        <v>0.5329941723</v>
      </c>
      <c r="M125" s="7">
        <f>(Deviation_sequence!$B$233 + 0.5 *Deviation_sequence!$B$232) / (Deviation_sequence!M125 + 0.5 * Deviation_sequence!$B$232)</f>
        <v>0.499594548</v>
      </c>
      <c r="O125" s="7">
        <f t="shared" si="4"/>
        <v>0.5793259636</v>
      </c>
    </row>
    <row r="126">
      <c r="A126" s="10" t="s">
        <v>28</v>
      </c>
      <c r="B126" s="7">
        <f>(Deviation_sequence!$B$233 + 0.5 *Deviation_sequence!$B$232) / (Deviation_sequence!B126 + 0.5 * Deviation_sequence!$B$232)</f>
        <v>0.4028558705</v>
      </c>
      <c r="C126" s="7">
        <f>(Deviation_sequence!$B$233 + 0.5 *Deviation_sequence!$B$232) / (Deviation_sequence!C126 + 0.5 * Deviation_sequence!$B$232)</f>
        <v>0.3949625976</v>
      </c>
      <c r="D126" s="7">
        <f>(Deviation_sequence!$B$233 + 0.5 *Deviation_sequence!$B$232) / (Deviation_sequence!D126 + 0.5 * Deviation_sequence!$B$232)</f>
        <v>0.3748401478</v>
      </c>
      <c r="E126" s="7">
        <f>(Deviation_sequence!$B$233 + 0.5 *Deviation_sequence!$B$232) / (Deviation_sequence!E126 + 0.5 * Deviation_sequence!$B$232)</f>
        <v>0.4175410913</v>
      </c>
      <c r="F126" s="7">
        <f>(Deviation_sequence!$B$233 + 0.5 *Deviation_sequence!$B$232) / (Deviation_sequence!F126 + 0.5 * Deviation_sequence!$B$232)</f>
        <v>0.3951341118</v>
      </c>
      <c r="G126" s="7">
        <f>(Deviation_sequence!$B$233 + 0.5 *Deviation_sequence!$B$232) / (Deviation_sequence!G126 + 0.5 * Deviation_sequence!$B$232)</f>
        <v>0.3555405188</v>
      </c>
      <c r="H126" s="7">
        <f>(Deviation_sequence!$B$233 + 0.5 *Deviation_sequence!$B$232) / (Deviation_sequence!H126 + 0.5 * Deviation_sequence!$B$232)</f>
        <v>0.3837954843</v>
      </c>
      <c r="I126" s="7">
        <f>(Deviation_sequence!$B$233 + 0.5 *Deviation_sequence!$B$232) / (Deviation_sequence!I126 + 0.5 * Deviation_sequence!$B$232)</f>
        <v>0.3796441349</v>
      </c>
      <c r="J126" s="7">
        <f>(Deviation_sequence!$B$233 + 0.5 *Deviation_sequence!$B$232) / (Deviation_sequence!J126 + 0.5 * Deviation_sequence!$B$232)</f>
        <v>0.3646678545</v>
      </c>
      <c r="K126" s="7">
        <f>(Deviation_sequence!$B$233 + 0.5 *Deviation_sequence!$B$232) / (Deviation_sequence!K126 + 0.5 * Deviation_sequence!$B$232)</f>
        <v>0.3648938409</v>
      </c>
      <c r="L126" s="7">
        <f>(Deviation_sequence!$B$233 + 0.5 *Deviation_sequence!$B$232) / (Deviation_sequence!L126 + 0.5 * Deviation_sequence!$B$232)</f>
        <v>0.4161055886</v>
      </c>
      <c r="M126" s="7">
        <f>(Deviation_sequence!$B$233 + 0.5 *Deviation_sequence!$B$232) / (Deviation_sequence!M126 + 0.5 * Deviation_sequence!$B$232)</f>
        <v>0.4135248456</v>
      </c>
      <c r="O126" s="7">
        <f t="shared" si="4"/>
        <v>0.3886255072</v>
      </c>
    </row>
    <row r="127">
      <c r="A127" s="10" t="s">
        <v>29</v>
      </c>
      <c r="B127" s="7">
        <f>(Deviation_sequence!$B$233 + 0.5 *Deviation_sequence!$B$232) / (Deviation_sequence!B127 + 0.5 * Deviation_sequence!$B$232)</f>
        <v>0.9656098667</v>
      </c>
      <c r="C127" s="7">
        <f>(Deviation_sequence!$B$233 + 0.5 *Deviation_sequence!$B$232) / (Deviation_sequence!C127 + 0.5 * Deviation_sequence!$B$232)</f>
        <v>0.9420931219</v>
      </c>
      <c r="D127" s="7">
        <f>(Deviation_sequence!$B$233 + 0.5 *Deviation_sequence!$B$232) / (Deviation_sequence!D127 + 0.5 * Deviation_sequence!$B$232)</f>
        <v>0.9945817027</v>
      </c>
      <c r="E127" s="7">
        <f>(Deviation_sequence!$B$233 + 0.5 *Deviation_sequence!$B$232) / (Deviation_sequence!E127 + 0.5 * Deviation_sequence!$B$232)</f>
        <v>0.9304859088</v>
      </c>
      <c r="F127" s="7">
        <f>(Deviation_sequence!$B$233 + 0.5 *Deviation_sequence!$B$232) / (Deviation_sequence!F127 + 0.5 * Deviation_sequence!$B$232)</f>
        <v>0.9205409821</v>
      </c>
      <c r="G127" s="7">
        <f>(Deviation_sequence!$B$233 + 0.5 *Deviation_sequence!$B$232) / (Deviation_sequence!G127 + 0.5 * Deviation_sequence!$B$232)</f>
        <v>0.6132675327</v>
      </c>
      <c r="H127" s="7">
        <f>(Deviation_sequence!$B$233 + 0.5 *Deviation_sequence!$B$232) / (Deviation_sequence!H127 + 0.5 * Deviation_sequence!$B$232)</f>
        <v>0.9023098299</v>
      </c>
      <c r="I127" s="7">
        <f>(Deviation_sequence!$B$233 + 0.5 *Deviation_sequence!$B$232) / (Deviation_sequence!I127 + 0.5 * Deviation_sequence!$B$232)</f>
        <v>0.9564660296</v>
      </c>
      <c r="J127" s="7">
        <f>(Deviation_sequence!$B$233 + 0.5 *Deviation_sequence!$B$232) / (Deviation_sequence!J127 + 0.5 * Deviation_sequence!$B$232)</f>
        <v>0.5320605617</v>
      </c>
      <c r="K127" s="7">
        <f>(Deviation_sequence!$B$233 + 0.5 *Deviation_sequence!$B$232) / (Deviation_sequence!K127 + 0.5 * Deviation_sequence!$B$232)</f>
        <v>0.4870592438</v>
      </c>
      <c r="L127" s="7">
        <f>(Deviation_sequence!$B$233 + 0.5 *Deviation_sequence!$B$232) / (Deviation_sequence!L127 + 0.5 * Deviation_sequence!$B$232)</f>
        <v>0.5943846177</v>
      </c>
      <c r="M127" s="7">
        <f>(Deviation_sequence!$B$233 + 0.5 *Deviation_sequence!$B$232) / (Deviation_sequence!M127 + 0.5 * Deviation_sequence!$B$232)</f>
        <v>0.5116866084</v>
      </c>
      <c r="O127" s="7">
        <f t="shared" si="4"/>
        <v>0.7792121672</v>
      </c>
    </row>
    <row r="128">
      <c r="A128" s="10" t="s">
        <v>30</v>
      </c>
      <c r="B128" s="7">
        <f>(Deviation_sequence!$B$233 + 0.5 *Deviation_sequence!$B$232) / (Deviation_sequence!B128 + 0.5 * Deviation_sequence!$B$232)</f>
        <v>0.954443852</v>
      </c>
      <c r="C128" s="7">
        <f>(Deviation_sequence!$B$233 + 0.5 *Deviation_sequence!$B$232) / (Deviation_sequence!C128 + 0.5 * Deviation_sequence!$B$232)</f>
        <v>0.8510736215</v>
      </c>
      <c r="D128" s="7">
        <f>(Deviation_sequence!$B$233 + 0.5 *Deviation_sequence!$B$232) / (Deviation_sequence!D128 + 0.5 * Deviation_sequence!$B$232)</f>
        <v>0.9850303388</v>
      </c>
      <c r="E128" s="7">
        <f>(Deviation_sequence!$B$233 + 0.5 *Deviation_sequence!$B$232) / (Deviation_sequence!E128 + 0.5 * Deviation_sequence!$B$232)</f>
        <v>0.9204852652</v>
      </c>
      <c r="F128" s="7">
        <f>(Deviation_sequence!$B$233 + 0.5 *Deviation_sequence!$B$232) / (Deviation_sequence!F128 + 0.5 * Deviation_sequence!$B$232)</f>
        <v>0.6120894692</v>
      </c>
      <c r="G128" s="7">
        <f>(Deviation_sequence!$B$233 + 0.5 *Deviation_sequence!$B$232) / (Deviation_sequence!G128 + 0.5 * Deviation_sequence!$B$232)</f>
        <v>0.4645835865</v>
      </c>
      <c r="H128" s="7">
        <f>(Deviation_sequence!$B$233 + 0.5 *Deviation_sequence!$B$232) / (Deviation_sequence!H128 + 0.5 * Deviation_sequence!$B$232)</f>
        <v>0.456169657</v>
      </c>
      <c r="I128" s="7">
        <f>(Deviation_sequence!$B$233 + 0.5 *Deviation_sequence!$B$232) / (Deviation_sequence!I128 + 0.5 * Deviation_sequence!$B$232)</f>
        <v>0.4586888294</v>
      </c>
      <c r="J128" s="7">
        <f>(Deviation_sequence!$B$233 + 0.5 *Deviation_sequence!$B$232) / (Deviation_sequence!J128 + 0.5 * Deviation_sequence!$B$232)</f>
        <v>0.4342386991</v>
      </c>
      <c r="K128" s="7">
        <f>(Deviation_sequence!$B$233 + 0.5 *Deviation_sequence!$B$232) / (Deviation_sequence!K128 + 0.5 * Deviation_sequence!$B$232)</f>
        <v>0.3844802413</v>
      </c>
      <c r="L128" s="7">
        <f>(Deviation_sequence!$B$233 + 0.5 *Deviation_sequence!$B$232) / (Deviation_sequence!L128 + 0.5 * Deviation_sequence!$B$232)</f>
        <v>0.389003758</v>
      </c>
      <c r="M128" s="7">
        <f>(Deviation_sequence!$B$233 + 0.5 *Deviation_sequence!$B$232) / (Deviation_sequence!M128 + 0.5 * Deviation_sequence!$B$232)</f>
        <v>0.380935515</v>
      </c>
      <c r="O128" s="7">
        <f t="shared" si="4"/>
        <v>0.6076019028</v>
      </c>
    </row>
    <row r="129">
      <c r="A129" s="10" t="s">
        <v>31</v>
      </c>
      <c r="B129" s="7">
        <f>(Deviation_sequence!$B$233 + 0.5 *Deviation_sequence!$B$232) / (Deviation_sequence!B129 + 0.5 * Deviation_sequence!$B$232)</f>
        <v>0.4062930333</v>
      </c>
      <c r="C129" s="7">
        <f>(Deviation_sequence!$B$233 + 0.5 *Deviation_sequence!$B$232) / (Deviation_sequence!C129 + 0.5 * Deviation_sequence!$B$232)</f>
        <v>0.4065008175</v>
      </c>
      <c r="D129" s="7">
        <f>(Deviation_sequence!$B$233 + 0.5 *Deviation_sequence!$B$232) / (Deviation_sequence!D129 + 0.5 * Deviation_sequence!$B$232)</f>
        <v>0.3937518911</v>
      </c>
      <c r="E129" s="7">
        <f>(Deviation_sequence!$B$233 + 0.5 *Deviation_sequence!$B$232) / (Deviation_sequence!E129 + 0.5 * Deviation_sequence!$B$232)</f>
        <v>0.3842375031</v>
      </c>
      <c r="F129" s="7">
        <f>(Deviation_sequence!$B$233 + 0.5 *Deviation_sequence!$B$232) / (Deviation_sequence!F129 + 0.5 * Deviation_sequence!$B$232)</f>
        <v>0.4153563379</v>
      </c>
      <c r="G129" s="7">
        <f>(Deviation_sequence!$B$233 + 0.5 *Deviation_sequence!$B$232) / (Deviation_sequence!G129 + 0.5 * Deviation_sequence!$B$232)</f>
        <v>0.3606647043</v>
      </c>
      <c r="H129" s="7">
        <f>(Deviation_sequence!$B$233 + 0.5 *Deviation_sequence!$B$232) / (Deviation_sequence!H129 + 0.5 * Deviation_sequence!$B$232)</f>
        <v>0.3859193224</v>
      </c>
      <c r="I129" s="7">
        <f>(Deviation_sequence!$B$233 + 0.5 *Deviation_sequence!$B$232) / (Deviation_sequence!I129 + 0.5 * Deviation_sequence!$B$232)</f>
        <v>0.3897063699</v>
      </c>
      <c r="J129" s="7">
        <f>(Deviation_sequence!$B$233 + 0.5 *Deviation_sequence!$B$232) / (Deviation_sequence!J129 + 0.5 * Deviation_sequence!$B$232)</f>
        <v>0.4027798273</v>
      </c>
      <c r="K129" s="7">
        <f>(Deviation_sequence!$B$233 + 0.5 *Deviation_sequence!$B$232) / (Deviation_sequence!K129 + 0.5 * Deviation_sequence!$B$232)</f>
        <v>0.3928178898</v>
      </c>
      <c r="L129" s="7">
        <f>(Deviation_sequence!$B$233 + 0.5 *Deviation_sequence!$B$232) / (Deviation_sequence!L129 + 0.5 * Deviation_sequence!$B$232)</f>
        <v>0.3976374534</v>
      </c>
      <c r="M129" s="7">
        <f>(Deviation_sequence!$B$233 + 0.5 *Deviation_sequence!$B$232) / (Deviation_sequence!M129 + 0.5 * Deviation_sequence!$B$232)</f>
        <v>0.3851276453</v>
      </c>
      <c r="O129" s="7">
        <f t="shared" si="4"/>
        <v>0.3933993996</v>
      </c>
    </row>
    <row r="130">
      <c r="N130" s="10" t="s">
        <v>116</v>
      </c>
      <c r="O130" s="7">
        <f>AVERAGE(O101:O129)</f>
        <v>0.4446755051</v>
      </c>
    </row>
    <row r="133">
      <c r="A133" s="9" t="s">
        <v>71</v>
      </c>
      <c r="B133" s="10" t="s">
        <v>72</v>
      </c>
      <c r="C133" s="10" t="s">
        <v>73</v>
      </c>
      <c r="D133" s="10" t="s">
        <v>74</v>
      </c>
      <c r="E133" s="10" t="s">
        <v>75</v>
      </c>
      <c r="F133" s="10" t="s">
        <v>76</v>
      </c>
      <c r="G133" s="10" t="s">
        <v>77</v>
      </c>
      <c r="H133" s="10" t="s">
        <v>78</v>
      </c>
      <c r="I133" s="10" t="s">
        <v>79</v>
      </c>
      <c r="J133" s="10" t="s">
        <v>80</v>
      </c>
      <c r="K133" s="10" t="s">
        <v>81</v>
      </c>
      <c r="L133" s="10" t="s">
        <v>82</v>
      </c>
      <c r="M133" s="10" t="s">
        <v>83</v>
      </c>
    </row>
    <row r="134">
      <c r="A134" s="10" t="s">
        <v>3</v>
      </c>
      <c r="B134" s="7">
        <f>(Deviation_sequence!$B$233 + 0.5 *Deviation_sequence!$B$232) / (Deviation_sequence!B134 + 0.5 * Deviation_sequence!$B$232)</f>
        <v>0.3766584506</v>
      </c>
      <c r="C134" s="7">
        <f>(Deviation_sequence!$B$233 + 0.5 *Deviation_sequence!$B$232) / (Deviation_sequence!C134 + 0.5 * Deviation_sequence!$B$232)</f>
        <v>0.4371326256</v>
      </c>
      <c r="D134" s="7">
        <f>(Deviation_sequence!$B$233 + 0.5 *Deviation_sequence!$B$232) / (Deviation_sequence!D134 + 0.5 * Deviation_sequence!$B$232)</f>
        <v>0.384426459</v>
      </c>
      <c r="E134" s="7">
        <f>(Deviation_sequence!$B$233 + 0.5 *Deviation_sequence!$B$232) / (Deviation_sequence!E134 + 0.5 * Deviation_sequence!$B$232)</f>
        <v>0.4131074737</v>
      </c>
      <c r="F134" s="7">
        <f>(Deviation_sequence!$B$233 + 0.5 *Deviation_sequence!$B$232) / (Deviation_sequence!F134 + 0.5 * Deviation_sequence!$B$232)</f>
        <v>0.4266144274</v>
      </c>
      <c r="G134" s="7">
        <f>(Deviation_sequence!$B$233 + 0.5 *Deviation_sequence!$B$232) / (Deviation_sequence!G134 + 0.5 * Deviation_sequence!$B$232)</f>
        <v>0.3537586308</v>
      </c>
      <c r="H134" s="7">
        <f>(Deviation_sequence!$B$233 + 0.5 *Deviation_sequence!$B$232) / (Deviation_sequence!H134 + 0.5 * Deviation_sequence!$B$232)</f>
        <v>0.3758503868</v>
      </c>
      <c r="I134" s="7">
        <f>(Deviation_sequence!$B$233 + 0.5 *Deviation_sequence!$B$232) / (Deviation_sequence!I134 + 0.5 * Deviation_sequence!$B$232)</f>
        <v>0.3754774807</v>
      </c>
      <c r="J134" s="7">
        <f>(Deviation_sequence!$B$233 + 0.5 *Deviation_sequence!$B$232) / (Deviation_sequence!J134 + 0.5 * Deviation_sequence!$B$232)</f>
        <v>0.3775961632</v>
      </c>
      <c r="K134" s="7">
        <f>(Deviation_sequence!$B$233 + 0.5 *Deviation_sequence!$B$232) / (Deviation_sequence!K134 + 0.5 * Deviation_sequence!$B$232)</f>
        <v>0.3658459626</v>
      </c>
      <c r="L134" s="7">
        <f>(Deviation_sequence!$B$233 + 0.5 *Deviation_sequence!$B$232) / (Deviation_sequence!L134 + 0.5 * Deviation_sequence!$B$232)</f>
        <v>0.4066686469</v>
      </c>
      <c r="M134" s="7">
        <f>(Deviation_sequence!$B$233 + 0.5 *Deviation_sequence!$B$232) / (Deviation_sequence!M134 + 0.5 * Deviation_sequence!$B$232)</f>
        <v>0.3874187322</v>
      </c>
      <c r="O134" s="7">
        <f t="shared" ref="O134:O162" si="5">AVERAGE(B134:M134)</f>
        <v>0.3900462866</v>
      </c>
    </row>
    <row r="135">
      <c r="A135" s="10" t="s">
        <v>4</v>
      </c>
      <c r="B135" s="7">
        <f>(Deviation_sequence!$B$233 + 0.5 *Deviation_sequence!$B$232) / (Deviation_sequence!B135 + 0.5 * Deviation_sequence!$B$232)</f>
        <v>0.4077257273</v>
      </c>
      <c r="C135" s="7">
        <f>(Deviation_sequence!$B$233 + 0.5 *Deviation_sequence!$B$232) / (Deviation_sequence!C135 + 0.5 * Deviation_sequence!$B$232)</f>
        <v>0.4608965999</v>
      </c>
      <c r="D135" s="7">
        <f>(Deviation_sequence!$B$233 + 0.5 *Deviation_sequence!$B$232) / (Deviation_sequence!D135 + 0.5 * Deviation_sequence!$B$232)</f>
        <v>0.5139183113</v>
      </c>
      <c r="E135" s="7">
        <f>(Deviation_sequence!$B$233 + 0.5 *Deviation_sequence!$B$232) / (Deviation_sequence!E135 + 0.5 * Deviation_sequence!$B$232)</f>
        <v>0.7357751963</v>
      </c>
      <c r="F135" s="7">
        <f>(Deviation_sequence!$B$233 + 0.5 *Deviation_sequence!$B$232) / (Deviation_sequence!F135 + 0.5 * Deviation_sequence!$B$232)</f>
        <v>0.6035235103</v>
      </c>
      <c r="G135" s="7">
        <f>(Deviation_sequence!$B$233 + 0.5 *Deviation_sequence!$B$232) / (Deviation_sequence!G135 + 0.5 * Deviation_sequence!$B$232)</f>
        <v>0.4982163775</v>
      </c>
      <c r="H135" s="7">
        <f>(Deviation_sequence!$B$233 + 0.5 *Deviation_sequence!$B$232) / (Deviation_sequence!H135 + 0.5 * Deviation_sequence!$B$232)</f>
        <v>0.5380369639</v>
      </c>
      <c r="I135" s="7">
        <f>(Deviation_sequence!$B$233 + 0.5 *Deviation_sequence!$B$232) / (Deviation_sequence!I135 + 0.5 * Deviation_sequence!$B$232)</f>
        <v>0.4702875708</v>
      </c>
      <c r="J135" s="7">
        <f>(Deviation_sequence!$B$233 + 0.5 *Deviation_sequence!$B$232) / (Deviation_sequence!J135 + 0.5 * Deviation_sequence!$B$232)</f>
        <v>0.4780613352</v>
      </c>
      <c r="K135" s="7">
        <f>(Deviation_sequence!$B$233 + 0.5 *Deviation_sequence!$B$232) / (Deviation_sequence!K135 + 0.5 * Deviation_sequence!$B$232)</f>
        <v>0.4541926953</v>
      </c>
      <c r="L135" s="7">
        <f>(Deviation_sequence!$B$233 + 0.5 *Deviation_sequence!$B$232) / (Deviation_sequence!L135 + 0.5 * Deviation_sequence!$B$232)</f>
        <v>0.4962748287</v>
      </c>
      <c r="M135" s="7">
        <f>(Deviation_sequence!$B$233 + 0.5 *Deviation_sequence!$B$232) / (Deviation_sequence!M135 + 0.5 * Deviation_sequence!$B$232)</f>
        <v>0.4416445487</v>
      </c>
      <c r="O135" s="7">
        <f t="shared" si="5"/>
        <v>0.5082128054</v>
      </c>
    </row>
    <row r="136">
      <c r="A136" s="10" t="s">
        <v>5</v>
      </c>
      <c r="B136" s="7">
        <f>(Deviation_sequence!$B$233 + 0.5 *Deviation_sequence!$B$232) / (Deviation_sequence!B136 + 0.5 * Deviation_sequence!$B$232)</f>
        <v>0.3580229621</v>
      </c>
      <c r="C136" s="7">
        <f>(Deviation_sequence!$B$233 + 0.5 *Deviation_sequence!$B$232) / (Deviation_sequence!C136 + 0.5 * Deviation_sequence!$B$232)</f>
        <v>0.3612977987</v>
      </c>
      <c r="D136" s="7">
        <f>(Deviation_sequence!$B$233 + 0.5 *Deviation_sequence!$B$232) / (Deviation_sequence!D136 + 0.5 * Deviation_sequence!$B$232)</f>
        <v>0.3896678156</v>
      </c>
      <c r="E136" s="7">
        <f>(Deviation_sequence!$B$233 + 0.5 *Deviation_sequence!$B$232) / (Deviation_sequence!E136 + 0.5 * Deviation_sequence!$B$232)</f>
        <v>0.3681965125</v>
      </c>
      <c r="F136" s="7">
        <f>(Deviation_sequence!$B$233 + 0.5 *Deviation_sequence!$B$232) / (Deviation_sequence!F136 + 0.5 * Deviation_sequence!$B$232)</f>
        <v>0.4131841234</v>
      </c>
      <c r="G136" s="7">
        <f>(Deviation_sequence!$B$233 + 0.5 *Deviation_sequence!$B$232) / (Deviation_sequence!G136 + 0.5 * Deviation_sequence!$B$232)</f>
        <v>0.4613353336</v>
      </c>
      <c r="H136" s="7">
        <f>(Deviation_sequence!$B$233 + 0.5 *Deviation_sequence!$B$232) / (Deviation_sequence!H136 + 0.5 * Deviation_sequence!$B$232)</f>
        <v>0.4393373697</v>
      </c>
      <c r="I136" s="7">
        <f>(Deviation_sequence!$B$233 + 0.5 *Deviation_sequence!$B$232) / (Deviation_sequence!I136 + 0.5 * Deviation_sequence!$B$232)</f>
        <v>0.9933804992</v>
      </c>
      <c r="J136" s="7">
        <f>(Deviation_sequence!$B$233 + 0.5 *Deviation_sequence!$B$232) / (Deviation_sequence!J136 + 0.5 * Deviation_sequence!$B$232)</f>
        <v>0.4005263895</v>
      </c>
      <c r="K136" s="7">
        <f>(Deviation_sequence!$B$233 + 0.5 *Deviation_sequence!$B$232) / (Deviation_sequence!K136 + 0.5 * Deviation_sequence!$B$232)</f>
        <v>0.3539375974</v>
      </c>
      <c r="L136" s="7">
        <f>(Deviation_sequence!$B$233 + 0.5 *Deviation_sequence!$B$232) / (Deviation_sequence!L136 + 0.5 * Deviation_sequence!$B$232)</f>
        <v>0.382944645</v>
      </c>
      <c r="M136" s="7">
        <f>(Deviation_sequence!$B$233 + 0.5 *Deviation_sequence!$B$232) / (Deviation_sequence!M136 + 0.5 * Deviation_sequence!$B$232)</f>
        <v>0.359606255</v>
      </c>
      <c r="O136" s="7">
        <f t="shared" si="5"/>
        <v>0.4401197751</v>
      </c>
    </row>
    <row r="137">
      <c r="A137" s="10" t="s">
        <v>6</v>
      </c>
      <c r="B137" s="7">
        <f>(Deviation_sequence!$B$233 + 0.5 *Deviation_sequence!$B$232) / (Deviation_sequence!B137 + 0.5 * Deviation_sequence!$B$232)</f>
        <v>0.9755984223</v>
      </c>
      <c r="C137" s="7">
        <f>(Deviation_sequence!$B$233 + 0.5 *Deviation_sequence!$B$232) / (Deviation_sequence!C137 + 0.5 * Deviation_sequence!$B$232)</f>
        <v>0.9617854865</v>
      </c>
      <c r="D137" s="7">
        <f>(Deviation_sequence!$B$233 + 0.5 *Deviation_sequence!$B$232) / (Deviation_sequence!D137 + 0.5 * Deviation_sequence!$B$232)</f>
        <v>0.9710585554</v>
      </c>
      <c r="E137" s="7">
        <f>(Deviation_sequence!$B$233 + 0.5 *Deviation_sequence!$B$232) / (Deviation_sequence!E137 + 0.5 * Deviation_sequence!$B$232)</f>
        <v>0.402119324</v>
      </c>
      <c r="F137" s="7">
        <f>(Deviation_sequence!$B$233 + 0.5 *Deviation_sequence!$B$232) / (Deviation_sequence!F137 + 0.5 * Deviation_sequence!$B$232)</f>
        <v>0.3913131612</v>
      </c>
      <c r="G137" s="7">
        <f>(Deviation_sequence!$B$233 + 0.5 *Deviation_sequence!$B$232) / (Deviation_sequence!G137 + 0.5 * Deviation_sequence!$B$232)</f>
        <v>0.3505601323</v>
      </c>
      <c r="H137" s="7">
        <f>(Deviation_sequence!$B$233 + 0.5 *Deviation_sequence!$B$232) / (Deviation_sequence!H137 + 0.5 * Deviation_sequence!$B$232)</f>
        <v>0.3700062701</v>
      </c>
      <c r="I137" s="7">
        <f>(Deviation_sequence!$B$233 + 0.5 *Deviation_sequence!$B$232) / (Deviation_sequence!I137 + 0.5 * Deviation_sequence!$B$232)</f>
        <v>0.3593122129</v>
      </c>
      <c r="J137" s="7">
        <f>(Deviation_sequence!$B$233 + 0.5 *Deviation_sequence!$B$232) / (Deviation_sequence!J137 + 0.5 * Deviation_sequence!$B$232)</f>
        <v>0.3673427405</v>
      </c>
      <c r="K137" s="7">
        <f>(Deviation_sequence!$B$233 + 0.5 *Deviation_sequence!$B$232) / (Deviation_sequence!K137 + 0.5 * Deviation_sequence!$B$232)</f>
        <v>0.5015669292</v>
      </c>
      <c r="L137" s="7">
        <f>(Deviation_sequence!$B$233 + 0.5 *Deviation_sequence!$B$232) / (Deviation_sequence!L137 + 0.5 * Deviation_sequence!$B$232)</f>
        <v>0.442285707</v>
      </c>
      <c r="M137" s="7">
        <f>(Deviation_sequence!$B$233 + 0.5 *Deviation_sequence!$B$232) / (Deviation_sequence!M137 + 0.5 * Deviation_sequence!$B$232)</f>
        <v>0.3725414919</v>
      </c>
      <c r="O137" s="7">
        <f t="shared" si="5"/>
        <v>0.5387908694</v>
      </c>
    </row>
    <row r="138">
      <c r="A138" s="10" t="s">
        <v>7</v>
      </c>
      <c r="B138" s="7">
        <f>(Deviation_sequence!$B$233 + 0.5 *Deviation_sequence!$B$232) / (Deviation_sequence!B138 + 0.5 * Deviation_sequence!$B$232)</f>
        <v>0.3513837307</v>
      </c>
      <c r="C138" s="7">
        <f>(Deviation_sequence!$B$233 + 0.5 *Deviation_sequence!$B$232) / (Deviation_sequence!C138 + 0.5 * Deviation_sequence!$B$232)</f>
        <v>0.3515799577</v>
      </c>
      <c r="D138" s="7">
        <f>(Deviation_sequence!$B$233 + 0.5 *Deviation_sequence!$B$232) / (Deviation_sequence!D138 + 0.5 * Deviation_sequence!$B$232)</f>
        <v>0.3430388</v>
      </c>
      <c r="E138" s="7">
        <f>(Deviation_sequence!$B$233 + 0.5 *Deviation_sequence!$B$232) / (Deviation_sequence!E138 + 0.5 * Deviation_sequence!$B$232)</f>
        <v>0.9447931455</v>
      </c>
      <c r="F138" s="7">
        <f>(Deviation_sequence!$B$233 + 0.5 *Deviation_sequence!$B$232) / (Deviation_sequence!F138 + 0.5 * Deviation_sequence!$B$232)</f>
        <v>0.8602249865</v>
      </c>
      <c r="G138" s="7">
        <f>(Deviation_sequence!$B$233 + 0.5 *Deviation_sequence!$B$232) / (Deviation_sequence!G138 + 0.5 * Deviation_sequence!$B$232)</f>
        <v>0.4617659362</v>
      </c>
      <c r="H138" s="7">
        <f>(Deviation_sequence!$B$233 + 0.5 *Deviation_sequence!$B$232) / (Deviation_sequence!H138 + 0.5 * Deviation_sequence!$B$232)</f>
        <v>0.8080133678</v>
      </c>
      <c r="I138" s="7">
        <f>(Deviation_sequence!$B$233 + 0.5 *Deviation_sequence!$B$232) / (Deviation_sequence!I138 + 0.5 * Deviation_sequence!$B$232)</f>
        <v>0.8762156502</v>
      </c>
      <c r="J138" s="7">
        <f>(Deviation_sequence!$B$233 + 0.5 *Deviation_sequence!$B$232) / (Deviation_sequence!J138 + 0.5 * Deviation_sequence!$B$232)</f>
        <v>0.9390493334</v>
      </c>
      <c r="K138" s="7">
        <f>(Deviation_sequence!$B$233 + 0.5 *Deviation_sequence!$B$232) / (Deviation_sequence!K138 + 0.5 * Deviation_sequence!$B$232)</f>
        <v>0.3570558455</v>
      </c>
      <c r="L138" s="7">
        <f>(Deviation_sequence!$B$233 + 0.5 *Deviation_sequence!$B$232) / (Deviation_sequence!L138 + 0.5 * Deviation_sequence!$B$232)</f>
        <v>0.3630365513</v>
      </c>
      <c r="M138" s="7">
        <f>(Deviation_sequence!$B$233 + 0.5 *Deviation_sequence!$B$232) / (Deviation_sequence!M138 + 0.5 * Deviation_sequence!$B$232)</f>
        <v>0.3551811402</v>
      </c>
      <c r="O138" s="7">
        <f t="shared" si="5"/>
        <v>0.5842782037</v>
      </c>
    </row>
    <row r="139">
      <c r="A139" s="10" t="s">
        <v>8</v>
      </c>
      <c r="B139" s="7">
        <f>(Deviation_sequence!$B$233 + 0.5 *Deviation_sequence!$B$232) / (Deviation_sequence!B139 + 0.5 * Deviation_sequence!$B$232)</f>
        <v>0.4415116218</v>
      </c>
      <c r="C139" s="7">
        <f>(Deviation_sequence!$B$233 + 0.5 *Deviation_sequence!$B$232) / (Deviation_sequence!C139 + 0.5 * Deviation_sequence!$B$232)</f>
        <v>0.4392680475</v>
      </c>
      <c r="D139" s="7">
        <f>(Deviation_sequence!$B$233 + 0.5 *Deviation_sequence!$B$232) / (Deviation_sequence!D139 + 0.5 * Deviation_sequence!$B$232)</f>
        <v>0.3918846169</v>
      </c>
      <c r="E139" s="7">
        <f>(Deviation_sequence!$B$233 + 0.5 *Deviation_sequence!$B$232) / (Deviation_sequence!E139 + 0.5 * Deviation_sequence!$B$232)</f>
        <v>0.3901088657</v>
      </c>
      <c r="F139" s="7">
        <f>(Deviation_sequence!$B$233 + 0.5 *Deviation_sequence!$B$232) / (Deviation_sequence!F139 + 0.5 * Deviation_sequence!$B$232)</f>
        <v>0.3755921865</v>
      </c>
      <c r="G139" s="7">
        <f>(Deviation_sequence!$B$233 + 0.5 *Deviation_sequence!$B$232) / (Deviation_sequence!G139 + 0.5 * Deviation_sequence!$B$232)</f>
        <v>0.3511198659</v>
      </c>
      <c r="H139" s="7">
        <f>(Deviation_sequence!$B$233 + 0.5 *Deviation_sequence!$B$232) / (Deviation_sequence!H139 + 0.5 * Deviation_sequence!$B$232)</f>
        <v>0.349460404</v>
      </c>
      <c r="I139" s="7">
        <f>(Deviation_sequence!$B$233 + 0.5 *Deviation_sequence!$B$232) / (Deviation_sequence!I139 + 0.5 * Deviation_sequence!$B$232)</f>
        <v>0.383988448</v>
      </c>
      <c r="J139" s="7">
        <f>(Deviation_sequence!$B$233 + 0.5 *Deviation_sequence!$B$232) / (Deviation_sequence!J139 + 0.5 * Deviation_sequence!$B$232)</f>
        <v>0.3961168915</v>
      </c>
      <c r="K139" s="7">
        <f>(Deviation_sequence!$B$233 + 0.5 *Deviation_sequence!$B$232) / (Deviation_sequence!K139 + 0.5 * Deviation_sequence!$B$232)</f>
        <v>0.9748486345</v>
      </c>
      <c r="L139" s="7">
        <f>(Deviation_sequence!$B$233 + 0.5 *Deviation_sequence!$B$232) / (Deviation_sequence!L139 + 0.5 * Deviation_sequence!$B$232)</f>
        <v>0.4110062294</v>
      </c>
      <c r="M139" s="7">
        <f>(Deviation_sequence!$B$233 + 0.5 *Deviation_sequence!$B$232) / (Deviation_sequence!M139 + 0.5 * Deviation_sequence!$B$232)</f>
        <v>0.3534834871</v>
      </c>
      <c r="O139" s="7">
        <f t="shared" si="5"/>
        <v>0.4381991082</v>
      </c>
    </row>
    <row r="140">
      <c r="A140" s="10" t="s">
        <v>9</v>
      </c>
      <c r="B140" s="7">
        <f>(Deviation_sequence!$B$233 + 0.5 *Deviation_sequence!$B$232) / (Deviation_sequence!B140 + 0.5 * Deviation_sequence!$B$232)</f>
        <v>0.4070022984</v>
      </c>
      <c r="C140" s="7">
        <f>(Deviation_sequence!$B$233 + 0.5 *Deviation_sequence!$B$232) / (Deviation_sequence!C140 + 0.5 * Deviation_sequence!$B$232)</f>
        <v>0.7322828034</v>
      </c>
      <c r="D140" s="7">
        <f>(Deviation_sequence!$B$233 + 0.5 *Deviation_sequence!$B$232) / (Deviation_sequence!D140 + 0.5 * Deviation_sequence!$B$232)</f>
        <v>0.461473996</v>
      </c>
      <c r="E140" s="7">
        <f>(Deviation_sequence!$B$233 + 0.5 *Deviation_sequence!$B$232) / (Deviation_sequence!E140 + 0.5 * Deviation_sequence!$B$232)</f>
        <v>0.7601253954</v>
      </c>
      <c r="F140" s="7">
        <f>(Deviation_sequence!$B$233 + 0.5 *Deviation_sequence!$B$232) / (Deviation_sequence!F140 + 0.5 * Deviation_sequence!$B$232)</f>
        <v>0.3480606704</v>
      </c>
      <c r="G140" s="7">
        <f>(Deviation_sequence!$B$233 + 0.5 *Deviation_sequence!$B$232) / (Deviation_sequence!G140 + 0.5 * Deviation_sequence!$B$232)</f>
        <v>0.35183337</v>
      </c>
      <c r="H140" s="7">
        <f>(Deviation_sequence!$B$233 + 0.5 *Deviation_sequence!$B$232) / (Deviation_sequence!H140 + 0.5 * Deviation_sequence!$B$232)</f>
        <v>0.9723679064</v>
      </c>
      <c r="I140" s="7">
        <f>(Deviation_sequence!$B$233 + 0.5 *Deviation_sequence!$B$232) / (Deviation_sequence!I140 + 0.5 * Deviation_sequence!$B$232)</f>
        <v>0.9773072166</v>
      </c>
      <c r="J140" s="7">
        <f>(Deviation_sequence!$B$233 + 0.5 *Deviation_sequence!$B$232) / (Deviation_sequence!J140 + 0.5 * Deviation_sequence!$B$232)</f>
        <v>0.4188198735</v>
      </c>
      <c r="K140" s="7">
        <f>(Deviation_sequence!$B$233 + 0.5 *Deviation_sequence!$B$232) / (Deviation_sequence!K140 + 0.5 * Deviation_sequence!$B$232)</f>
        <v>0.3809993587</v>
      </c>
      <c r="L140" s="7">
        <f>(Deviation_sequence!$B$233 + 0.5 *Deviation_sequence!$B$232) / (Deviation_sequence!L140 + 0.5 * Deviation_sequence!$B$232)</f>
        <v>0.4166564167</v>
      </c>
      <c r="M140" s="7">
        <f>(Deviation_sequence!$B$233 + 0.5 *Deviation_sequence!$B$232) / (Deviation_sequence!M140 + 0.5 * Deviation_sequence!$B$232)</f>
        <v>0.4493523517</v>
      </c>
      <c r="O140" s="7">
        <f t="shared" si="5"/>
        <v>0.5563568048</v>
      </c>
    </row>
    <row r="141">
      <c r="A141" s="10" t="s">
        <v>10</v>
      </c>
      <c r="B141" s="7">
        <f>(Deviation_sequence!$B$233 + 0.5 *Deviation_sequence!$B$232) / (Deviation_sequence!B141 + 0.5 * Deviation_sequence!$B$232)</f>
        <v>0.3876721582</v>
      </c>
      <c r="C141" s="7">
        <f>(Deviation_sequence!$B$233 + 0.5 *Deviation_sequence!$B$232) / (Deviation_sequence!C141 + 0.5 * Deviation_sequence!$B$232)</f>
        <v>0.4002924292</v>
      </c>
      <c r="D141" s="7">
        <f>(Deviation_sequence!$B$233 + 0.5 *Deviation_sequence!$B$232) / (Deviation_sequence!D141 + 0.5 * Deviation_sequence!$B$232)</f>
        <v>0.3742461304</v>
      </c>
      <c r="E141" s="7">
        <f>(Deviation_sequence!$B$233 + 0.5 *Deviation_sequence!$B$232) / (Deviation_sequence!E141 + 0.5 * Deviation_sequence!$B$232)</f>
        <v>0.3875147938</v>
      </c>
      <c r="F141" s="7">
        <f>(Deviation_sequence!$B$233 + 0.5 *Deviation_sequence!$B$232) / (Deviation_sequence!F141 + 0.5 * Deviation_sequence!$B$232)</f>
        <v>0.4063330988</v>
      </c>
      <c r="G141" s="7">
        <f>(Deviation_sequence!$B$233 + 0.5 *Deviation_sequence!$B$232) / (Deviation_sequence!G141 + 0.5 * Deviation_sequence!$B$232)</f>
        <v>0.3504947009</v>
      </c>
      <c r="H141" s="7">
        <f>(Deviation_sequence!$B$233 + 0.5 *Deviation_sequence!$B$232) / (Deviation_sequence!H141 + 0.5 * Deviation_sequence!$B$232)</f>
        <v>0.3656457473</v>
      </c>
      <c r="I141" s="7">
        <f>(Deviation_sequence!$B$233 + 0.5 *Deviation_sequence!$B$232) / (Deviation_sequence!I141 + 0.5 * Deviation_sequence!$B$232)</f>
        <v>0.3673233463</v>
      </c>
      <c r="J141" s="7">
        <f>(Deviation_sequence!$B$233 + 0.5 *Deviation_sequence!$B$232) / (Deviation_sequence!J141 + 0.5 * Deviation_sequence!$B$232)</f>
        <v>0.3637682095</v>
      </c>
      <c r="K141" s="7">
        <f>(Deviation_sequence!$B$233 + 0.5 *Deviation_sequence!$B$232) / (Deviation_sequence!K141 + 0.5 * Deviation_sequence!$B$232)</f>
        <v>0.3769517364</v>
      </c>
      <c r="L141" s="7">
        <f>(Deviation_sequence!$B$233 + 0.5 *Deviation_sequence!$B$232) / (Deviation_sequence!L141 + 0.5 * Deviation_sequence!$B$232)</f>
        <v>0.3793970173</v>
      </c>
      <c r="M141" s="7">
        <f>(Deviation_sequence!$B$233 + 0.5 *Deviation_sequence!$B$232) / (Deviation_sequence!M141 + 0.5 * Deviation_sequence!$B$232)</f>
        <v>0.3766362429</v>
      </c>
      <c r="O141" s="7">
        <f t="shared" si="5"/>
        <v>0.3780229676</v>
      </c>
    </row>
    <row r="142">
      <c r="A142" s="10" t="s">
        <v>11</v>
      </c>
      <c r="B142" s="7">
        <f>(Deviation_sequence!$B$233 + 0.5 *Deviation_sequence!$B$232) / (Deviation_sequence!B142 + 0.5 * Deviation_sequence!$B$232)</f>
        <v>0.3805884162</v>
      </c>
      <c r="C142" s="7">
        <f>(Deviation_sequence!$B$233 + 0.5 *Deviation_sequence!$B$232) / (Deviation_sequence!C142 + 0.5 * Deviation_sequence!$B$232)</f>
        <v>0.3659910582</v>
      </c>
      <c r="D142" s="7">
        <f>(Deviation_sequence!$B$233 + 0.5 *Deviation_sequence!$B$232) / (Deviation_sequence!D142 + 0.5 * Deviation_sequence!$B$232)</f>
        <v>0.377994703</v>
      </c>
      <c r="E142" s="7">
        <f>(Deviation_sequence!$B$233 + 0.5 *Deviation_sequence!$B$232) / (Deviation_sequence!E142 + 0.5 * Deviation_sequence!$B$232)</f>
        <v>0.379762661</v>
      </c>
      <c r="F142" s="7">
        <f>(Deviation_sequence!$B$233 + 0.5 *Deviation_sequence!$B$232) / (Deviation_sequence!F142 + 0.5 * Deviation_sequence!$B$232)</f>
        <v>0.403826988</v>
      </c>
      <c r="G142" s="7">
        <f>(Deviation_sequence!$B$233 + 0.5 *Deviation_sequence!$B$232) / (Deviation_sequence!G142 + 0.5 * Deviation_sequence!$B$232)</f>
        <v>0.3648905484</v>
      </c>
      <c r="H142" s="7">
        <f>(Deviation_sequence!$B$233 + 0.5 *Deviation_sequence!$B$232) / (Deviation_sequence!H142 + 0.5 * Deviation_sequence!$B$232)</f>
        <v>0.4032134817</v>
      </c>
      <c r="I142" s="7">
        <f>(Deviation_sequence!$B$233 + 0.5 *Deviation_sequence!$B$232) / (Deviation_sequence!I142 + 0.5 * Deviation_sequence!$B$232)</f>
        <v>0.400707162</v>
      </c>
      <c r="J142" s="7">
        <f>(Deviation_sequence!$B$233 + 0.5 *Deviation_sequence!$B$232) / (Deviation_sequence!J142 + 0.5 * Deviation_sequence!$B$232)</f>
        <v>0.3944499021</v>
      </c>
      <c r="K142" s="7">
        <f>(Deviation_sequence!$B$233 + 0.5 *Deviation_sequence!$B$232) / (Deviation_sequence!K142 + 0.5 * Deviation_sequence!$B$232)</f>
        <v>0.3804938544</v>
      </c>
      <c r="L142" s="7">
        <f>(Deviation_sequence!$B$233 + 0.5 *Deviation_sequence!$B$232) / (Deviation_sequence!L142 + 0.5 * Deviation_sequence!$B$232)</f>
        <v>0.3924127576</v>
      </c>
      <c r="M142" s="7">
        <f>(Deviation_sequence!$B$233 + 0.5 *Deviation_sequence!$B$232) / (Deviation_sequence!M142 + 0.5 * Deviation_sequence!$B$232)</f>
        <v>0.3816184054</v>
      </c>
      <c r="O142" s="7">
        <f t="shared" si="5"/>
        <v>0.3854958282</v>
      </c>
    </row>
    <row r="143">
      <c r="A143" s="10" t="s">
        <v>12</v>
      </c>
      <c r="B143" s="7">
        <f>(Deviation_sequence!$B$233 + 0.5 *Deviation_sequence!$B$232) / (Deviation_sequence!B143 + 0.5 * Deviation_sequence!$B$232)</f>
        <v>0.4599617263</v>
      </c>
      <c r="C143" s="7">
        <f>(Deviation_sequence!$B$233 + 0.5 *Deviation_sequence!$B$232) / (Deviation_sequence!C143 + 0.5 * Deviation_sequence!$B$232)</f>
        <v>0.4620107229</v>
      </c>
      <c r="D143" s="7">
        <f>(Deviation_sequence!$B$233 + 0.5 *Deviation_sequence!$B$232) / (Deviation_sequence!D143 + 0.5 * Deviation_sequence!$B$232)</f>
        <v>0.5040902325</v>
      </c>
      <c r="E143" s="7">
        <f>(Deviation_sequence!$B$233 + 0.5 *Deviation_sequence!$B$232) / (Deviation_sequence!E143 + 0.5 * Deviation_sequence!$B$232)</f>
        <v>0.469004738</v>
      </c>
      <c r="F143" s="7">
        <f>(Deviation_sequence!$B$233 + 0.5 *Deviation_sequence!$B$232) / (Deviation_sequence!F143 + 0.5 * Deviation_sequence!$B$232)</f>
        <v>0.5522796834</v>
      </c>
      <c r="G143" s="7">
        <f>(Deviation_sequence!$B$233 + 0.5 *Deviation_sequence!$B$232) / (Deviation_sequence!G143 + 0.5 * Deviation_sequence!$B$232)</f>
        <v>0.5756045644</v>
      </c>
      <c r="H143" s="7">
        <f>(Deviation_sequence!$B$233 + 0.5 *Deviation_sequence!$B$232) / (Deviation_sequence!H143 + 0.5 * Deviation_sequence!$B$232)</f>
        <v>0.5122122283</v>
      </c>
      <c r="I143" s="7">
        <f>(Deviation_sequence!$B$233 + 0.5 *Deviation_sequence!$B$232) / (Deviation_sequence!I143 + 0.5 * Deviation_sequence!$B$232)</f>
        <v>0.4942417764</v>
      </c>
      <c r="J143" s="7">
        <f>(Deviation_sequence!$B$233 + 0.5 *Deviation_sequence!$B$232) / (Deviation_sequence!J143 + 0.5 * Deviation_sequence!$B$232)</f>
        <v>0.4408581798</v>
      </c>
      <c r="K143" s="7">
        <f>(Deviation_sequence!$B$233 + 0.5 *Deviation_sequence!$B$232) / (Deviation_sequence!K143 + 0.5 * Deviation_sequence!$B$232)</f>
        <v>0.4453319851</v>
      </c>
      <c r="L143" s="7">
        <f>(Deviation_sequence!$B$233 + 0.5 *Deviation_sequence!$B$232) / (Deviation_sequence!L143 + 0.5 * Deviation_sequence!$B$232)</f>
        <v>0.4498572938</v>
      </c>
      <c r="M143" s="7">
        <f>(Deviation_sequence!$B$233 + 0.5 *Deviation_sequence!$B$232) / (Deviation_sequence!M143 + 0.5 * Deviation_sequence!$B$232)</f>
        <v>0.4163705083</v>
      </c>
      <c r="O143" s="7">
        <f t="shared" si="5"/>
        <v>0.4818186366</v>
      </c>
    </row>
    <row r="144">
      <c r="A144" s="10" t="s">
        <v>13</v>
      </c>
      <c r="B144" s="7">
        <f>(Deviation_sequence!$B$233 + 0.5 *Deviation_sequence!$B$232) / (Deviation_sequence!B144 + 0.5 * Deviation_sequence!$B$232)</f>
        <v>0.3754580081</v>
      </c>
      <c r="C144" s="7">
        <f>(Deviation_sequence!$B$233 + 0.5 *Deviation_sequence!$B$232) / (Deviation_sequence!C144 + 0.5 * Deviation_sequence!$B$232)</f>
        <v>0.3732030853</v>
      </c>
      <c r="D144" s="7">
        <f>(Deviation_sequence!$B$233 + 0.5 *Deviation_sequence!$B$232) / (Deviation_sequence!D144 + 0.5 * Deviation_sequence!$B$232)</f>
        <v>0.3749897066</v>
      </c>
      <c r="E144" s="7">
        <f>(Deviation_sequence!$B$233 + 0.5 *Deviation_sequence!$B$232) / (Deviation_sequence!E144 + 0.5 * Deviation_sequence!$B$232)</f>
        <v>0.3809390998</v>
      </c>
      <c r="F144" s="7">
        <f>(Deviation_sequence!$B$233 + 0.5 *Deviation_sequence!$B$232) / (Deviation_sequence!F144 + 0.5 * Deviation_sequence!$B$232)</f>
        <v>0.3906816166</v>
      </c>
      <c r="G144" s="7">
        <f>(Deviation_sequence!$B$233 + 0.5 *Deviation_sequence!$B$232) / (Deviation_sequence!G144 + 0.5 * Deviation_sequence!$B$232)</f>
        <v>0.3768359554</v>
      </c>
      <c r="H144" s="7">
        <f>(Deviation_sequence!$B$233 + 0.5 *Deviation_sequence!$B$232) / (Deviation_sequence!H144 + 0.5 * Deviation_sequence!$B$232)</f>
        <v>0.5141590916</v>
      </c>
      <c r="I144" s="7">
        <f>(Deviation_sequence!$B$233 + 0.5 *Deviation_sequence!$B$232) / (Deviation_sequence!I144 + 0.5 * Deviation_sequence!$B$232)</f>
        <v>0.3846309169</v>
      </c>
      <c r="J144" s="7">
        <f>(Deviation_sequence!$B$233 + 0.5 *Deviation_sequence!$B$232) / (Deviation_sequence!J144 + 0.5 * Deviation_sequence!$B$232)</f>
        <v>0.3742683423</v>
      </c>
      <c r="K144" s="7">
        <f>(Deviation_sequence!$B$233 + 0.5 *Deviation_sequence!$B$232) / (Deviation_sequence!K144 + 0.5 * Deviation_sequence!$B$232)</f>
        <v>0.355045752</v>
      </c>
      <c r="L144" s="7">
        <f>(Deviation_sequence!$B$233 + 0.5 *Deviation_sequence!$B$232) / (Deviation_sequence!L144 + 0.5 * Deviation_sequence!$B$232)</f>
        <v>0.3682748924</v>
      </c>
      <c r="M144" s="7">
        <f>(Deviation_sequence!$B$233 + 0.5 *Deviation_sequence!$B$232) / (Deviation_sequence!M144 + 0.5 * Deviation_sequence!$B$232)</f>
        <v>0.3643547812</v>
      </c>
      <c r="O144" s="7">
        <f t="shared" si="5"/>
        <v>0.386070104</v>
      </c>
    </row>
    <row r="145">
      <c r="A145" s="10" t="s">
        <v>14</v>
      </c>
      <c r="B145" s="7">
        <f>(Deviation_sequence!$B$233 + 0.5 *Deviation_sequence!$B$232) / (Deviation_sequence!B145 + 0.5 * Deviation_sequence!$B$232)</f>
        <v>0.3869185302</v>
      </c>
      <c r="C145" s="7">
        <f>(Deviation_sequence!$B$233 + 0.5 *Deviation_sequence!$B$232) / (Deviation_sequence!C145 + 0.5 * Deviation_sequence!$B$232)</f>
        <v>0.385300049</v>
      </c>
      <c r="D145" s="7">
        <f>(Deviation_sequence!$B$233 + 0.5 *Deviation_sequence!$B$232) / (Deviation_sequence!D145 + 0.5 * Deviation_sequence!$B$232)</f>
        <v>0.3783793837</v>
      </c>
      <c r="E145" s="7">
        <f>(Deviation_sequence!$B$233 + 0.5 *Deviation_sequence!$B$232) / (Deviation_sequence!E145 + 0.5 * Deviation_sequence!$B$232)</f>
        <v>0.4262832265</v>
      </c>
      <c r="F145" s="7">
        <f>(Deviation_sequence!$B$233 + 0.5 *Deviation_sequence!$B$232) / (Deviation_sequence!F145 + 0.5 * Deviation_sequence!$B$232)</f>
        <v>0.4218511873</v>
      </c>
      <c r="G145" s="7">
        <f>(Deviation_sequence!$B$233 + 0.5 *Deviation_sequence!$B$232) / (Deviation_sequence!G145 + 0.5 * Deviation_sequence!$B$232)</f>
        <v>0.364240268</v>
      </c>
      <c r="H145" s="7">
        <f>(Deviation_sequence!$B$233 + 0.5 *Deviation_sequence!$B$232) / (Deviation_sequence!H145 + 0.5 * Deviation_sequence!$B$232)</f>
        <v>0.383121802</v>
      </c>
      <c r="I145" s="7">
        <f>(Deviation_sequence!$B$233 + 0.5 *Deviation_sequence!$B$232) / (Deviation_sequence!I145 + 0.5 * Deviation_sequence!$B$232)</f>
        <v>0.3680986168</v>
      </c>
      <c r="J145" s="7">
        <f>(Deviation_sequence!$B$233 + 0.5 *Deviation_sequence!$B$232) / (Deviation_sequence!J145 + 0.5 * Deviation_sequence!$B$232)</f>
        <v>0.3630944977</v>
      </c>
      <c r="K145" s="7">
        <f>(Deviation_sequence!$B$233 + 0.5 *Deviation_sequence!$B$232) / (Deviation_sequence!K145 + 0.5 * Deviation_sequence!$B$232)</f>
        <v>0.378874052</v>
      </c>
      <c r="L145" s="7">
        <f>(Deviation_sequence!$B$233 + 0.5 *Deviation_sequence!$B$232) / (Deviation_sequence!L145 + 0.5 * Deviation_sequence!$B$232)</f>
        <v>0.3831523385</v>
      </c>
      <c r="M145" s="7">
        <f>(Deviation_sequence!$B$233 + 0.5 *Deviation_sequence!$B$232) / (Deviation_sequence!M145 + 0.5 * Deviation_sequence!$B$232)</f>
        <v>0.3730131711</v>
      </c>
      <c r="O145" s="7">
        <f t="shared" si="5"/>
        <v>0.3843605936</v>
      </c>
    </row>
    <row r="146">
      <c r="A146" s="10" t="s">
        <v>15</v>
      </c>
      <c r="B146" s="7">
        <f>(Deviation_sequence!$B$233 + 0.5 *Deviation_sequence!$B$232) / (Deviation_sequence!B146 + 0.5 * Deviation_sequence!$B$232)</f>
        <v>0.3630093193</v>
      </c>
      <c r="C146" s="7">
        <f>(Deviation_sequence!$B$233 + 0.5 *Deviation_sequence!$B$232) / (Deviation_sequence!C146 + 0.5 * Deviation_sequence!$B$232)</f>
        <v>0.3927416572</v>
      </c>
      <c r="D146" s="7">
        <f>(Deviation_sequence!$B$233 + 0.5 *Deviation_sequence!$B$232) / (Deviation_sequence!D146 + 0.5 * Deviation_sequence!$B$232)</f>
        <v>0.3977547933</v>
      </c>
      <c r="E146" s="7">
        <f>(Deviation_sequence!$B$233 + 0.5 *Deviation_sequence!$B$232) / (Deviation_sequence!E146 + 0.5 * Deviation_sequence!$B$232)</f>
        <v>0.3797950827</v>
      </c>
      <c r="F146" s="7">
        <f>(Deviation_sequence!$B$233 + 0.5 *Deviation_sequence!$B$232) / (Deviation_sequence!F146 + 0.5 * Deviation_sequence!$B$232)</f>
        <v>0.3819896747</v>
      </c>
      <c r="G146" s="7">
        <f>(Deviation_sequence!$B$233 + 0.5 *Deviation_sequence!$B$232) / (Deviation_sequence!G146 + 0.5 * Deviation_sequence!$B$232)</f>
        <v>0.351982886</v>
      </c>
      <c r="H146" s="7">
        <f>(Deviation_sequence!$B$233 + 0.5 *Deviation_sequence!$B$232) / (Deviation_sequence!H146 + 0.5 * Deviation_sequence!$B$232)</f>
        <v>0.4000245785</v>
      </c>
      <c r="I146" s="7">
        <f>(Deviation_sequence!$B$233 + 0.5 *Deviation_sequence!$B$232) / (Deviation_sequence!I146 + 0.5 * Deviation_sequence!$B$232)</f>
        <v>0.3893372521</v>
      </c>
      <c r="J146" s="7">
        <f>(Deviation_sequence!$B$233 + 0.5 *Deviation_sequence!$B$232) / (Deviation_sequence!J146 + 0.5 * Deviation_sequence!$B$232)</f>
        <v>0.414732926</v>
      </c>
      <c r="K146" s="7">
        <f>(Deviation_sequence!$B$233 + 0.5 *Deviation_sequence!$B$232) / (Deviation_sequence!K146 + 0.5 * Deviation_sequence!$B$232)</f>
        <v>0.4354048581</v>
      </c>
      <c r="L146" s="7">
        <f>(Deviation_sequence!$B$233 + 0.5 *Deviation_sequence!$B$232) / (Deviation_sequence!L146 + 0.5 * Deviation_sequence!$B$232)</f>
        <v>0.3919828147</v>
      </c>
      <c r="M146" s="7">
        <f>(Deviation_sequence!$B$233 + 0.5 *Deviation_sequence!$B$232) / (Deviation_sequence!M146 + 0.5 * Deviation_sequence!$B$232)</f>
        <v>0.4074071138</v>
      </c>
      <c r="O146" s="7">
        <f t="shared" si="5"/>
        <v>0.3921802464</v>
      </c>
    </row>
    <row r="147">
      <c r="A147" s="10" t="s">
        <v>16</v>
      </c>
      <c r="B147" s="7">
        <f>(Deviation_sequence!$B$233 + 0.5 *Deviation_sequence!$B$232) / (Deviation_sequence!B147 + 0.5 * Deviation_sequence!$B$232)</f>
        <v>0.3781849672</v>
      </c>
      <c r="C147" s="7">
        <f>(Deviation_sequence!$B$233 + 0.5 *Deviation_sequence!$B$232) / (Deviation_sequence!C147 + 0.5 * Deviation_sequence!$B$232)</f>
        <v>0.3752078897</v>
      </c>
      <c r="D147" s="7">
        <f>(Deviation_sequence!$B$233 + 0.5 *Deviation_sequence!$B$232) / (Deviation_sequence!D147 + 0.5 * Deviation_sequence!$B$232)</f>
        <v>0.3830033555</v>
      </c>
      <c r="E147" s="7">
        <f>(Deviation_sequence!$B$233 + 0.5 *Deviation_sequence!$B$232) / (Deviation_sequence!E147 + 0.5 * Deviation_sequence!$B$232)</f>
        <v>0.3961436118</v>
      </c>
      <c r="F147" s="7">
        <f>(Deviation_sequence!$B$233 + 0.5 *Deviation_sequence!$B$232) / (Deviation_sequence!F147 + 0.5 * Deviation_sequence!$B$232)</f>
        <v>0.4220875516</v>
      </c>
      <c r="G147" s="7">
        <f>(Deviation_sequence!$B$233 + 0.5 *Deviation_sequence!$B$232) / (Deviation_sequence!G147 + 0.5 * Deviation_sequence!$B$232)</f>
        <v>0.3975842609</v>
      </c>
      <c r="H147" s="7">
        <f>(Deviation_sequence!$B$233 + 0.5 *Deviation_sequence!$B$232) / (Deviation_sequence!H147 + 0.5 * Deviation_sequence!$B$232)</f>
        <v>0.422008967</v>
      </c>
      <c r="I147" s="7">
        <f>(Deviation_sequence!$B$233 + 0.5 *Deviation_sequence!$B$232) / (Deviation_sequence!I147 + 0.5 * Deviation_sequence!$B$232)</f>
        <v>0.4094566757</v>
      </c>
      <c r="J147" s="7">
        <f>(Deviation_sequence!$B$233 + 0.5 *Deviation_sequence!$B$232) / (Deviation_sequence!J147 + 0.5 * Deviation_sequence!$B$232)</f>
        <v>0.4117881222</v>
      </c>
      <c r="K147" s="7">
        <f>(Deviation_sequence!$B$233 + 0.5 *Deviation_sequence!$B$232) / (Deviation_sequence!K147 + 0.5 * Deviation_sequence!$B$232)</f>
        <v>0.4182611221</v>
      </c>
      <c r="L147" s="7">
        <f>(Deviation_sequence!$B$233 + 0.5 *Deviation_sequence!$B$232) / (Deviation_sequence!L147 + 0.5 * Deviation_sequence!$B$232)</f>
        <v>0.4214852218</v>
      </c>
      <c r="M147" s="7">
        <f>(Deviation_sequence!$B$233 + 0.5 *Deviation_sequence!$B$232) / (Deviation_sequence!M147 + 0.5 * Deviation_sequence!$B$232)</f>
        <v>0.3899617267</v>
      </c>
      <c r="O147" s="7">
        <f t="shared" si="5"/>
        <v>0.4020977893</v>
      </c>
    </row>
    <row r="148">
      <c r="A148" s="10" t="s">
        <v>17</v>
      </c>
      <c r="B148" s="7">
        <f>(Deviation_sequence!$B$233 + 0.5 *Deviation_sequence!$B$232) / (Deviation_sequence!B148 + 0.5 * Deviation_sequence!$B$232)</f>
        <v>0.4019962022</v>
      </c>
      <c r="C148" s="7">
        <f>(Deviation_sequence!$B$233 + 0.5 *Deviation_sequence!$B$232) / (Deviation_sequence!C148 + 0.5 * Deviation_sequence!$B$232)</f>
        <v>0.4443125602</v>
      </c>
      <c r="D148" s="7">
        <f>(Deviation_sequence!$B$233 + 0.5 *Deviation_sequence!$B$232) / (Deviation_sequence!D148 + 0.5 * Deviation_sequence!$B$232)</f>
        <v>0.4030834492</v>
      </c>
      <c r="E148" s="7">
        <f>(Deviation_sequence!$B$233 + 0.5 *Deviation_sequence!$B$232) / (Deviation_sequence!E148 + 0.5 * Deviation_sequence!$B$232)</f>
        <v>0.4019101973</v>
      </c>
      <c r="F148" s="7">
        <f>(Deviation_sequence!$B$233 + 0.5 *Deviation_sequence!$B$232) / (Deviation_sequence!F148 + 0.5 * Deviation_sequence!$B$232)</f>
        <v>0.3812391494</v>
      </c>
      <c r="G148" s="7">
        <f>(Deviation_sequence!$B$233 + 0.5 *Deviation_sequence!$B$232) / (Deviation_sequence!G148 + 0.5 * Deviation_sequence!$B$232)</f>
        <v>0.3489687368</v>
      </c>
      <c r="H148" s="7">
        <f>(Deviation_sequence!$B$233 + 0.5 *Deviation_sequence!$B$232) / (Deviation_sequence!H148 + 0.5 * Deviation_sequence!$B$232)</f>
        <v>0.379099871</v>
      </c>
      <c r="I148" s="7">
        <f>(Deviation_sequence!$B$233 + 0.5 *Deviation_sequence!$B$232) / (Deviation_sequence!I148 + 0.5 * Deviation_sequence!$B$232)</f>
        <v>0.3914932663</v>
      </c>
      <c r="J148" s="7">
        <f>(Deviation_sequence!$B$233 + 0.5 *Deviation_sequence!$B$232) / (Deviation_sequence!J148 + 0.5 * Deviation_sequence!$B$232)</f>
        <v>0.4251548847</v>
      </c>
      <c r="K148" s="7">
        <f>(Deviation_sequence!$B$233 + 0.5 *Deviation_sequence!$B$232) / (Deviation_sequence!K148 + 0.5 * Deviation_sequence!$B$232)</f>
        <v>0.3834405042</v>
      </c>
      <c r="L148" s="7">
        <f>(Deviation_sequence!$B$233 + 0.5 *Deviation_sequence!$B$232) / (Deviation_sequence!L148 + 0.5 * Deviation_sequence!$B$232)</f>
        <v>0.4166593399</v>
      </c>
      <c r="M148" s="7">
        <f>(Deviation_sequence!$B$233 + 0.5 *Deviation_sequence!$B$232) / (Deviation_sequence!M148 + 0.5 * Deviation_sequence!$B$232)</f>
        <v>0.3946523177</v>
      </c>
      <c r="O148" s="7">
        <f t="shared" si="5"/>
        <v>0.3976675399</v>
      </c>
    </row>
    <row r="149">
      <c r="A149" s="10" t="s">
        <v>18</v>
      </c>
      <c r="B149" s="7">
        <f>(Deviation_sequence!$B$233 + 0.5 *Deviation_sequence!$B$232) / (Deviation_sequence!B149 + 0.5 * Deviation_sequence!$B$232)</f>
        <v>0.3884703635</v>
      </c>
      <c r="C149" s="7">
        <f>(Deviation_sequence!$B$233 + 0.5 *Deviation_sequence!$B$232) / (Deviation_sequence!C149 + 0.5 * Deviation_sequence!$B$232)</f>
        <v>0.3834135053</v>
      </c>
      <c r="D149" s="7">
        <f>(Deviation_sequence!$B$233 + 0.5 *Deviation_sequence!$B$232) / (Deviation_sequence!D149 + 0.5 * Deviation_sequence!$B$232)</f>
        <v>0.3661396617</v>
      </c>
      <c r="E149" s="7">
        <f>(Deviation_sequence!$B$233 + 0.5 *Deviation_sequence!$B$232) / (Deviation_sequence!E149 + 0.5 * Deviation_sequence!$B$232)</f>
        <v>0.3612278182</v>
      </c>
      <c r="F149" s="7">
        <f>(Deviation_sequence!$B$233 + 0.5 *Deviation_sequence!$B$232) / (Deviation_sequence!F149 + 0.5 * Deviation_sequence!$B$232)</f>
        <v>0.4950731699</v>
      </c>
      <c r="G149" s="7">
        <f>(Deviation_sequence!$B$233 + 0.5 *Deviation_sequence!$B$232) / (Deviation_sequence!G149 + 0.5 * Deviation_sequence!$B$232)</f>
        <v>0.3333882737</v>
      </c>
      <c r="H149" s="7">
        <f>(Deviation_sequence!$B$233 + 0.5 *Deviation_sequence!$B$232) / (Deviation_sequence!H149 + 0.5 * Deviation_sequence!$B$232)</f>
        <v>0.3576193647</v>
      </c>
      <c r="I149" s="7">
        <f>(Deviation_sequence!$B$233 + 0.5 *Deviation_sequence!$B$232) / (Deviation_sequence!I149 + 0.5 * Deviation_sequence!$B$232)</f>
        <v>0.3564502955</v>
      </c>
      <c r="J149" s="7">
        <f>(Deviation_sequence!$B$233 + 0.5 *Deviation_sequence!$B$232) / (Deviation_sequence!J149 + 0.5 * Deviation_sequence!$B$232)</f>
        <v>0.4221131229</v>
      </c>
      <c r="K149" s="7">
        <f>(Deviation_sequence!$B$233 + 0.5 *Deviation_sequence!$B$232) / (Deviation_sequence!K149 + 0.5 * Deviation_sequence!$B$232)</f>
        <v>0.378950495</v>
      </c>
      <c r="L149" s="7">
        <f>(Deviation_sequence!$B$233 + 0.5 *Deviation_sequence!$B$232) / (Deviation_sequence!L149 + 0.5 * Deviation_sequence!$B$232)</f>
        <v>0.3858880565</v>
      </c>
      <c r="M149" s="7">
        <f>(Deviation_sequence!$B$233 + 0.5 *Deviation_sequence!$B$232) / (Deviation_sequence!M149 + 0.5 * Deviation_sequence!$B$232)</f>
        <v>0.3622082636</v>
      </c>
      <c r="O149" s="7">
        <f t="shared" si="5"/>
        <v>0.3825785325</v>
      </c>
    </row>
    <row r="150">
      <c r="A150" s="10" t="s">
        <v>19</v>
      </c>
      <c r="B150" s="7">
        <f>(Deviation_sequence!$B$233 + 0.5 *Deviation_sequence!$B$232) / (Deviation_sequence!B150 + 0.5 * Deviation_sequence!$B$232)</f>
        <v>0.384025483</v>
      </c>
      <c r="C150" s="7">
        <f>(Deviation_sequence!$B$233 + 0.5 *Deviation_sequence!$B$232) / (Deviation_sequence!C150 + 0.5 * Deviation_sequence!$B$232)</f>
        <v>0.4086194182</v>
      </c>
      <c r="D150" s="7">
        <f>(Deviation_sequence!$B$233 + 0.5 *Deviation_sequence!$B$232) / (Deviation_sequence!D150 + 0.5 * Deviation_sequence!$B$232)</f>
        <v>0.4029258993</v>
      </c>
      <c r="E150" s="7">
        <f>(Deviation_sequence!$B$233 + 0.5 *Deviation_sequence!$B$232) / (Deviation_sequence!E150 + 0.5 * Deviation_sequence!$B$232)</f>
        <v>0.4976955401</v>
      </c>
      <c r="F150" s="7">
        <f>(Deviation_sequence!$B$233 + 0.5 *Deviation_sequence!$B$232) / (Deviation_sequence!F150 + 0.5 * Deviation_sequence!$B$232)</f>
        <v>0.4657475084</v>
      </c>
      <c r="G150" s="7">
        <f>(Deviation_sequence!$B$233 + 0.5 *Deviation_sequence!$B$232) / (Deviation_sequence!G150 + 0.5 * Deviation_sequence!$B$232)</f>
        <v>0.374531433</v>
      </c>
      <c r="H150" s="7">
        <f>(Deviation_sequence!$B$233 + 0.5 *Deviation_sequence!$B$232) / (Deviation_sequence!H150 + 0.5 * Deviation_sequence!$B$232)</f>
        <v>0.3827807833</v>
      </c>
      <c r="I150" s="7">
        <f>(Deviation_sequence!$B$233 + 0.5 *Deviation_sequence!$B$232) / (Deviation_sequence!I150 + 0.5 * Deviation_sequence!$B$232)</f>
        <v>0.4190277156</v>
      </c>
      <c r="J150" s="7">
        <f>(Deviation_sequence!$B$233 + 0.5 *Deviation_sequence!$B$232) / (Deviation_sequence!J150 + 0.5 * Deviation_sequence!$B$232)</f>
        <v>0.3956481676</v>
      </c>
      <c r="K150" s="7">
        <f>(Deviation_sequence!$B$233 + 0.5 *Deviation_sequence!$B$232) / (Deviation_sequence!K150 + 0.5 * Deviation_sequence!$B$232)</f>
        <v>0.3760695126</v>
      </c>
      <c r="L150" s="7">
        <f>(Deviation_sequence!$B$233 + 0.5 *Deviation_sequence!$B$232) / (Deviation_sequence!L150 + 0.5 * Deviation_sequence!$B$232)</f>
        <v>0.4151918948</v>
      </c>
      <c r="M150" s="7">
        <f>(Deviation_sequence!$B$233 + 0.5 *Deviation_sequence!$B$232) / (Deviation_sequence!M150 + 0.5 * Deviation_sequence!$B$232)</f>
        <v>0.3898638253</v>
      </c>
      <c r="O150" s="7">
        <f t="shared" si="5"/>
        <v>0.4093439318</v>
      </c>
    </row>
    <row r="151">
      <c r="A151" s="10" t="s">
        <v>20</v>
      </c>
      <c r="B151" s="7">
        <f>(Deviation_sequence!$B$233 + 0.5 *Deviation_sequence!$B$232) / (Deviation_sequence!B151 + 0.5 * Deviation_sequence!$B$232)</f>
        <v>0.3689940182</v>
      </c>
      <c r="C151" s="7">
        <f>(Deviation_sequence!$B$233 + 0.5 *Deviation_sequence!$B$232) / (Deviation_sequence!C151 + 0.5 * Deviation_sequence!$B$232)</f>
        <v>0.3804233564</v>
      </c>
      <c r="D151" s="7">
        <f>(Deviation_sequence!$B$233 + 0.5 *Deviation_sequence!$B$232) / (Deviation_sequence!D151 + 0.5 * Deviation_sequence!$B$232)</f>
        <v>0.3591088326</v>
      </c>
      <c r="E151" s="7">
        <f>(Deviation_sequence!$B$233 + 0.5 *Deviation_sequence!$B$232) / (Deviation_sequence!E151 + 0.5 * Deviation_sequence!$B$232)</f>
        <v>0.3542090652</v>
      </c>
      <c r="F151" s="7">
        <f>(Deviation_sequence!$B$233 + 0.5 *Deviation_sequence!$B$232) / (Deviation_sequence!F151 + 0.5 * Deviation_sequence!$B$232)</f>
        <v>0.3538830363</v>
      </c>
      <c r="G151" s="7">
        <f>(Deviation_sequence!$B$233 + 0.5 *Deviation_sequence!$B$232) / (Deviation_sequence!G151 + 0.5 * Deviation_sequence!$B$232)</f>
        <v>0.3392653104</v>
      </c>
      <c r="H151" s="7">
        <f>(Deviation_sequence!$B$233 + 0.5 *Deviation_sequence!$B$232) / (Deviation_sequence!H151 + 0.5 * Deviation_sequence!$B$232)</f>
        <v>0.3526093395</v>
      </c>
      <c r="I151" s="7">
        <f>(Deviation_sequence!$B$233 + 0.5 *Deviation_sequence!$B$232) / (Deviation_sequence!I151 + 0.5 * Deviation_sequence!$B$232)</f>
        <v>0.3665024359</v>
      </c>
      <c r="J151" s="7">
        <f>(Deviation_sequence!$B$233 + 0.5 *Deviation_sequence!$B$232) / (Deviation_sequence!J151 + 0.5 * Deviation_sequence!$B$232)</f>
        <v>0.3645918036</v>
      </c>
      <c r="K151" s="7">
        <f>(Deviation_sequence!$B$233 + 0.5 *Deviation_sequence!$B$232) / (Deviation_sequence!K151 + 0.5 * Deviation_sequence!$B$232)</f>
        <v>0.351035957</v>
      </c>
      <c r="L151" s="7">
        <f>(Deviation_sequence!$B$233 + 0.5 *Deviation_sequence!$B$232) / (Deviation_sequence!L151 + 0.5 * Deviation_sequence!$B$232)</f>
        <v>0.3630154</v>
      </c>
      <c r="M151" s="7">
        <f>(Deviation_sequence!$B$233 + 0.5 *Deviation_sequence!$B$232) / (Deviation_sequence!M151 + 0.5 * Deviation_sequence!$B$232)</f>
        <v>0.3483245599</v>
      </c>
      <c r="O151" s="7">
        <f t="shared" si="5"/>
        <v>0.3584969262</v>
      </c>
    </row>
    <row r="152">
      <c r="A152" s="10" t="s">
        <v>21</v>
      </c>
      <c r="B152" s="7">
        <f>(Deviation_sequence!$B$233 + 0.5 *Deviation_sequence!$B$232) / (Deviation_sequence!B152 + 0.5 * Deviation_sequence!$B$232)</f>
        <v>0.3688744392</v>
      </c>
      <c r="C152" s="7">
        <f>(Deviation_sequence!$B$233 + 0.5 *Deviation_sequence!$B$232) / (Deviation_sequence!C152 + 0.5 * Deviation_sequence!$B$232)</f>
        <v>0.3776058037</v>
      </c>
      <c r="D152" s="7">
        <f>(Deviation_sequence!$B$233 + 0.5 *Deviation_sequence!$B$232) / (Deviation_sequence!D152 + 0.5 * Deviation_sequence!$B$232)</f>
        <v>0.3550583542</v>
      </c>
      <c r="E152" s="7">
        <f>(Deviation_sequence!$B$233 + 0.5 *Deviation_sequence!$B$232) / (Deviation_sequence!E152 + 0.5 * Deviation_sequence!$B$232)</f>
        <v>0.3580058216</v>
      </c>
      <c r="F152" s="7">
        <f>(Deviation_sequence!$B$233 + 0.5 *Deviation_sequence!$B$232) / (Deviation_sequence!F152 + 0.5 * Deviation_sequence!$B$232)</f>
        <v>0.3584602771</v>
      </c>
      <c r="G152" s="7">
        <f>(Deviation_sequence!$B$233 + 0.5 *Deviation_sequence!$B$232) / (Deviation_sequence!G152 + 0.5 * Deviation_sequence!$B$232)</f>
        <v>0.3445439064</v>
      </c>
      <c r="H152" s="7">
        <f>(Deviation_sequence!$B$233 + 0.5 *Deviation_sequence!$B$232) / (Deviation_sequence!H152 + 0.5 * Deviation_sequence!$B$232)</f>
        <v>0.3553068411</v>
      </c>
      <c r="I152" s="7">
        <f>(Deviation_sequence!$B$233 + 0.5 *Deviation_sequence!$B$232) / (Deviation_sequence!I152 + 0.5 * Deviation_sequence!$B$232)</f>
        <v>0.3576031847</v>
      </c>
      <c r="J152" s="7">
        <f>(Deviation_sequence!$B$233 + 0.5 *Deviation_sequence!$B$232) / (Deviation_sequence!J152 + 0.5 * Deviation_sequence!$B$232)</f>
        <v>0.3684504645</v>
      </c>
      <c r="K152" s="7">
        <f>(Deviation_sequence!$B$233 + 0.5 *Deviation_sequence!$B$232) / (Deviation_sequence!K152 + 0.5 * Deviation_sequence!$B$232)</f>
        <v>0.3567727863</v>
      </c>
      <c r="L152" s="7">
        <f>(Deviation_sequence!$B$233 + 0.5 *Deviation_sequence!$B$232) / (Deviation_sequence!L152 + 0.5 * Deviation_sequence!$B$232)</f>
        <v>0.3713534936</v>
      </c>
      <c r="M152" s="7">
        <f>(Deviation_sequence!$B$233 + 0.5 *Deviation_sequence!$B$232) / (Deviation_sequence!M152 + 0.5 * Deviation_sequence!$B$232)</f>
        <v>0.3570708834</v>
      </c>
      <c r="O152" s="7">
        <f t="shared" si="5"/>
        <v>0.3607588546</v>
      </c>
    </row>
    <row r="153">
      <c r="A153" s="10" t="s">
        <v>22</v>
      </c>
      <c r="B153" s="7">
        <f>(Deviation_sequence!$B$233 + 0.5 *Deviation_sequence!$B$232) / (Deviation_sequence!B153 + 0.5 * Deviation_sequence!$B$232)</f>
        <v>0.3816051364</v>
      </c>
      <c r="C153" s="7">
        <f>(Deviation_sequence!$B$233 + 0.5 *Deviation_sequence!$B$232) / (Deviation_sequence!C153 + 0.5 * Deviation_sequence!$B$232)</f>
        <v>0.4045183252</v>
      </c>
      <c r="D153" s="7">
        <f>(Deviation_sequence!$B$233 + 0.5 *Deviation_sequence!$B$232) / (Deviation_sequence!D153 + 0.5 * Deviation_sequence!$B$232)</f>
        <v>0.3804563818</v>
      </c>
      <c r="E153" s="7">
        <f>(Deviation_sequence!$B$233 + 0.5 *Deviation_sequence!$B$232) / (Deviation_sequence!E153 + 0.5 * Deviation_sequence!$B$232)</f>
        <v>0.4028488604</v>
      </c>
      <c r="F153" s="7">
        <f>(Deviation_sequence!$B$233 + 0.5 *Deviation_sequence!$B$232) / (Deviation_sequence!F153 + 0.5 * Deviation_sequence!$B$232)</f>
        <v>0.4057703356</v>
      </c>
      <c r="G153" s="7">
        <f>(Deviation_sequence!$B$233 + 0.5 *Deviation_sequence!$B$232) / (Deviation_sequence!G153 + 0.5 * Deviation_sequence!$B$232)</f>
        <v>0.3653346971</v>
      </c>
      <c r="H153" s="7">
        <f>(Deviation_sequence!$B$233 + 0.5 *Deviation_sequence!$B$232) / (Deviation_sequence!H153 + 0.5 * Deviation_sequence!$B$232)</f>
        <v>0.3857460128</v>
      </c>
      <c r="I153" s="7">
        <f>(Deviation_sequence!$B$233 + 0.5 *Deviation_sequence!$B$232) / (Deviation_sequence!I153 + 0.5 * Deviation_sequence!$B$232)</f>
        <v>0.3680940284</v>
      </c>
      <c r="J153" s="7">
        <f>(Deviation_sequence!$B$233 + 0.5 *Deviation_sequence!$B$232) / (Deviation_sequence!J153 + 0.5 * Deviation_sequence!$B$232)</f>
        <v>0.3644223076</v>
      </c>
      <c r="K153" s="7">
        <f>(Deviation_sequence!$B$233 + 0.5 *Deviation_sequence!$B$232) / (Deviation_sequence!K153 + 0.5 * Deviation_sequence!$B$232)</f>
        <v>0.359135248</v>
      </c>
      <c r="L153" s="7">
        <f>(Deviation_sequence!$B$233 + 0.5 *Deviation_sequence!$B$232) / (Deviation_sequence!L153 + 0.5 * Deviation_sequence!$B$232)</f>
        <v>0.3512383785</v>
      </c>
      <c r="M153" s="7">
        <f>(Deviation_sequence!$B$233 + 0.5 *Deviation_sequence!$B$232) / (Deviation_sequence!M153 + 0.5 * Deviation_sequence!$B$232)</f>
        <v>0.3617816344</v>
      </c>
      <c r="O153" s="7">
        <f t="shared" si="5"/>
        <v>0.3775792789</v>
      </c>
    </row>
    <row r="154">
      <c r="A154" s="10" t="s">
        <v>23</v>
      </c>
      <c r="B154" s="7">
        <f>(Deviation_sequence!$B$233 + 0.5 *Deviation_sequence!$B$232) / (Deviation_sequence!B154 + 0.5 * Deviation_sequence!$B$232)</f>
        <v>0.3505183805</v>
      </c>
      <c r="C154" s="7">
        <f>(Deviation_sequence!$B$233 + 0.5 *Deviation_sequence!$B$232) / (Deviation_sequence!C154 + 0.5 * Deviation_sequence!$B$232)</f>
        <v>0.3607512348</v>
      </c>
      <c r="D154" s="7">
        <f>(Deviation_sequence!$B$233 + 0.5 *Deviation_sequence!$B$232) / (Deviation_sequence!D154 + 0.5 * Deviation_sequence!$B$232)</f>
        <v>0.3516240765</v>
      </c>
      <c r="E154" s="7">
        <f>(Deviation_sequence!$B$233 + 0.5 *Deviation_sequence!$B$232) / (Deviation_sequence!E154 + 0.5 * Deviation_sequence!$B$232)</f>
        <v>0.3648702188</v>
      </c>
      <c r="F154" s="7">
        <f>(Deviation_sequence!$B$233 + 0.5 *Deviation_sequence!$B$232) / (Deviation_sequence!F154 + 0.5 * Deviation_sequence!$B$232)</f>
        <v>0.3778165915</v>
      </c>
      <c r="G154" s="7">
        <f>(Deviation_sequence!$B$233 + 0.5 *Deviation_sequence!$B$232) / (Deviation_sequence!G154 + 0.5 * Deviation_sequence!$B$232)</f>
        <v>0.3441826553</v>
      </c>
      <c r="H154" s="7">
        <f>(Deviation_sequence!$B$233 + 0.5 *Deviation_sequence!$B$232) / (Deviation_sequence!H154 + 0.5 * Deviation_sequence!$B$232)</f>
        <v>0.9632395373</v>
      </c>
      <c r="I154" s="7">
        <f>(Deviation_sequence!$B$233 + 0.5 *Deviation_sequence!$B$232) / (Deviation_sequence!I154 + 0.5 * Deviation_sequence!$B$232)</f>
        <v>0.342518709</v>
      </c>
      <c r="J154" s="7">
        <f>(Deviation_sequence!$B$233 + 0.5 *Deviation_sequence!$B$232) / (Deviation_sequence!J154 + 0.5 * Deviation_sequence!$B$232)</f>
        <v>0.939456646</v>
      </c>
      <c r="K154" s="7">
        <f>(Deviation_sequence!$B$233 + 0.5 *Deviation_sequence!$B$232) / (Deviation_sequence!K154 + 0.5 * Deviation_sequence!$B$232)</f>
        <v>0.351344056</v>
      </c>
      <c r="L154" s="7">
        <f>(Deviation_sequence!$B$233 + 0.5 *Deviation_sequence!$B$232) / (Deviation_sequence!L154 + 0.5 * Deviation_sequence!$B$232)</f>
        <v>0.3636127727</v>
      </c>
      <c r="M154" s="7">
        <f>(Deviation_sequence!$B$233 + 0.5 *Deviation_sequence!$B$232) / (Deviation_sequence!M154 + 0.5 * Deviation_sequence!$B$232)</f>
        <v>0.3528859849</v>
      </c>
      <c r="O154" s="7">
        <f t="shared" si="5"/>
        <v>0.4552350719</v>
      </c>
    </row>
    <row r="155">
      <c r="A155" s="10" t="s">
        <v>24</v>
      </c>
      <c r="B155" s="7">
        <f>(Deviation_sequence!$B$233 + 0.5 *Deviation_sequence!$B$232) / (Deviation_sequence!B155 + 0.5 * Deviation_sequence!$B$232)</f>
        <v>0.4230671838</v>
      </c>
      <c r="C155" s="7">
        <f>(Deviation_sequence!$B$233 + 0.5 *Deviation_sequence!$B$232) / (Deviation_sequence!C155 + 0.5 * Deviation_sequence!$B$232)</f>
        <v>0.4447245192</v>
      </c>
      <c r="D155" s="7">
        <f>(Deviation_sequence!$B$233 + 0.5 *Deviation_sequence!$B$232) / (Deviation_sequence!D155 + 0.5 * Deviation_sequence!$B$232)</f>
        <v>0.3957646255</v>
      </c>
      <c r="E155" s="7">
        <f>(Deviation_sequence!$B$233 + 0.5 *Deviation_sequence!$B$232) / (Deviation_sequence!E155 + 0.5 * Deviation_sequence!$B$232)</f>
        <v>0.5481790327</v>
      </c>
      <c r="F155" s="7">
        <f>(Deviation_sequence!$B$233 + 0.5 *Deviation_sequence!$B$232) / (Deviation_sequence!F155 + 0.5 * Deviation_sequence!$B$232)</f>
        <v>0.4755635534</v>
      </c>
      <c r="G155" s="7">
        <f>(Deviation_sequence!$B$233 + 0.5 *Deviation_sequence!$B$232) / (Deviation_sequence!G155 + 0.5 * Deviation_sequence!$B$232)</f>
        <v>0.3747184708</v>
      </c>
      <c r="H155" s="7">
        <f>(Deviation_sequence!$B$233 + 0.5 *Deviation_sequence!$B$232) / (Deviation_sequence!H155 + 0.5 * Deviation_sequence!$B$232)</f>
        <v>0.4386681229</v>
      </c>
      <c r="I155" s="7">
        <f>(Deviation_sequence!$B$233 + 0.5 *Deviation_sequence!$B$232) / (Deviation_sequence!I155 + 0.5 * Deviation_sequence!$B$232)</f>
        <v>0.467425492</v>
      </c>
      <c r="J155" s="7">
        <f>(Deviation_sequence!$B$233 + 0.5 *Deviation_sequence!$B$232) / (Deviation_sequence!J155 + 0.5 * Deviation_sequence!$B$232)</f>
        <v>0.3786338766</v>
      </c>
      <c r="K155" s="7">
        <f>(Deviation_sequence!$B$233 + 0.5 *Deviation_sequence!$B$232) / (Deviation_sequence!K155 + 0.5 * Deviation_sequence!$B$232)</f>
        <v>0.4337798363</v>
      </c>
      <c r="L155" s="7">
        <f>(Deviation_sequence!$B$233 + 0.5 *Deviation_sequence!$B$232) / (Deviation_sequence!L155 + 0.5 * Deviation_sequence!$B$232)</f>
        <v>0.4146318081</v>
      </c>
      <c r="M155" s="7">
        <f>(Deviation_sequence!$B$233 + 0.5 *Deviation_sequence!$B$232) / (Deviation_sequence!M155 + 0.5 * Deviation_sequence!$B$232)</f>
        <v>0.4317247652</v>
      </c>
      <c r="O155" s="7">
        <f t="shared" si="5"/>
        <v>0.4355734405</v>
      </c>
    </row>
    <row r="156">
      <c r="A156" s="10" t="s">
        <v>25</v>
      </c>
      <c r="B156" s="7">
        <f>(Deviation_sequence!$B$233 + 0.5 *Deviation_sequence!$B$232) / (Deviation_sequence!B156 + 0.5 * Deviation_sequence!$B$232)</f>
        <v>0.3693817506</v>
      </c>
      <c r="C156" s="7">
        <f>(Deviation_sequence!$B$233 + 0.5 *Deviation_sequence!$B$232) / (Deviation_sequence!C156 + 0.5 * Deviation_sequence!$B$232)</f>
        <v>0.4487593731</v>
      </c>
      <c r="D156" s="7">
        <f>(Deviation_sequence!$B$233 + 0.5 *Deviation_sequence!$B$232) / (Deviation_sequence!D156 + 0.5 * Deviation_sequence!$B$232)</f>
        <v>0.5973115202</v>
      </c>
      <c r="E156" s="7">
        <f>(Deviation_sequence!$B$233 + 0.5 *Deviation_sequence!$B$232) / (Deviation_sequence!E156 + 0.5 * Deviation_sequence!$B$232)</f>
        <v>0.391073637</v>
      </c>
      <c r="F156" s="7">
        <f>(Deviation_sequence!$B$233 + 0.5 *Deviation_sequence!$B$232) / (Deviation_sequence!F156 + 0.5 * Deviation_sequence!$B$232)</f>
        <v>0.5392093028</v>
      </c>
      <c r="G156" s="7">
        <f>(Deviation_sequence!$B$233 + 0.5 *Deviation_sequence!$B$232) / (Deviation_sequence!G156 + 0.5 * Deviation_sequence!$B$232)</f>
        <v>0.3553682599</v>
      </c>
      <c r="H156" s="7">
        <f>(Deviation_sequence!$B$233 + 0.5 *Deviation_sequence!$B$232) / (Deviation_sequence!H156 + 0.5 * Deviation_sequence!$B$232)</f>
        <v>0.3593451041</v>
      </c>
      <c r="I156" s="7">
        <f>(Deviation_sequence!$B$233 + 0.5 *Deviation_sequence!$B$232) / (Deviation_sequence!I156 + 0.5 * Deviation_sequence!$B$232)</f>
        <v>0.3790298482</v>
      </c>
      <c r="J156" s="7">
        <f>(Deviation_sequence!$B$233 + 0.5 *Deviation_sequence!$B$232) / (Deviation_sequence!J156 + 0.5 * Deviation_sequence!$B$232)</f>
        <v>0.4225423638</v>
      </c>
      <c r="K156" s="7">
        <f>(Deviation_sequence!$B$233 + 0.5 *Deviation_sequence!$B$232) / (Deviation_sequence!K156 + 0.5 * Deviation_sequence!$B$232)</f>
        <v>0.3764418</v>
      </c>
      <c r="L156" s="7">
        <f>(Deviation_sequence!$B$233 + 0.5 *Deviation_sequence!$B$232) / (Deviation_sequence!L156 + 0.5 * Deviation_sequence!$B$232)</f>
        <v>0.4057927778</v>
      </c>
      <c r="M156" s="7">
        <f>(Deviation_sequence!$B$233 + 0.5 *Deviation_sequence!$B$232) / (Deviation_sequence!M156 + 0.5 * Deviation_sequence!$B$232)</f>
        <v>0.4004190899</v>
      </c>
      <c r="O156" s="7">
        <f t="shared" si="5"/>
        <v>0.4203895689</v>
      </c>
    </row>
    <row r="157">
      <c r="A157" s="10" t="s">
        <v>26</v>
      </c>
      <c r="B157" s="7">
        <f>(Deviation_sequence!$B$233 + 0.5 *Deviation_sequence!$B$232) / (Deviation_sequence!B157 + 0.5 * Deviation_sequence!$B$232)</f>
        <v>0.48107625</v>
      </c>
      <c r="C157" s="7">
        <f>(Deviation_sequence!$B$233 + 0.5 *Deviation_sequence!$B$232) / (Deviation_sequence!C157 + 0.5 * Deviation_sequence!$B$232)</f>
        <v>0.3529816961</v>
      </c>
      <c r="D157" s="7">
        <f>(Deviation_sequence!$B$233 + 0.5 *Deviation_sequence!$B$232) / (Deviation_sequence!D157 + 0.5 * Deviation_sequence!$B$232)</f>
        <v>0.3598639559</v>
      </c>
      <c r="E157" s="7">
        <f>(Deviation_sequence!$B$233 + 0.5 *Deviation_sequence!$B$232) / (Deviation_sequence!E157 + 0.5 * Deviation_sequence!$B$232)</f>
        <v>0.3554094743</v>
      </c>
      <c r="F157" s="7">
        <f>(Deviation_sequence!$B$233 + 0.5 *Deviation_sequence!$B$232) / (Deviation_sequence!F157 + 0.5 * Deviation_sequence!$B$232)</f>
        <v>0.3856169298</v>
      </c>
      <c r="G157" s="7">
        <f>(Deviation_sequence!$B$233 + 0.5 *Deviation_sequence!$B$232) / (Deviation_sequence!G157 + 0.5 * Deviation_sequence!$B$232)</f>
        <v>0.3700944726</v>
      </c>
      <c r="H157" s="7">
        <f>(Deviation_sequence!$B$233 + 0.5 *Deviation_sequence!$B$232) / (Deviation_sequence!H157 + 0.5 * Deviation_sequence!$B$232)</f>
        <v>0.3425168568</v>
      </c>
      <c r="I157" s="7">
        <f>(Deviation_sequence!$B$233 + 0.5 *Deviation_sequence!$B$232) / (Deviation_sequence!I157 + 0.5 * Deviation_sequence!$B$232)</f>
        <v>0.3495582203</v>
      </c>
      <c r="J157" s="7">
        <f>(Deviation_sequence!$B$233 + 0.5 *Deviation_sequence!$B$232) / (Deviation_sequence!J157 + 0.5 * Deviation_sequence!$B$232)</f>
        <v>0.3534803103</v>
      </c>
      <c r="K157" s="7">
        <f>(Deviation_sequence!$B$233 + 0.5 *Deviation_sequence!$B$232) / (Deviation_sequence!K157 + 0.5 * Deviation_sequence!$B$232)</f>
        <v>0.3473854618</v>
      </c>
      <c r="L157" s="7">
        <f>(Deviation_sequence!$B$233 + 0.5 *Deviation_sequence!$B$232) / (Deviation_sequence!L157 + 0.5 * Deviation_sequence!$B$232)</f>
        <v>0.3421417683</v>
      </c>
      <c r="M157" s="7">
        <f>(Deviation_sequence!$B$233 + 0.5 *Deviation_sequence!$B$232) / (Deviation_sequence!M157 + 0.5 * Deviation_sequence!$B$232)</f>
        <v>0.3623792856</v>
      </c>
      <c r="O157" s="7">
        <f t="shared" si="5"/>
        <v>0.3668753902</v>
      </c>
    </row>
    <row r="158">
      <c r="A158" s="10" t="s">
        <v>27</v>
      </c>
      <c r="B158" s="7">
        <f>(Deviation_sequence!$B$233 + 0.5 *Deviation_sequence!$B$232) / (Deviation_sequence!B158 + 0.5 * Deviation_sequence!$B$232)</f>
        <v>0.3904693635</v>
      </c>
      <c r="C158" s="7">
        <f>(Deviation_sequence!$B$233 + 0.5 *Deviation_sequence!$B$232) / (Deviation_sequence!C158 + 0.5 * Deviation_sequence!$B$232)</f>
        <v>0.4064359519</v>
      </c>
      <c r="D158" s="7">
        <f>(Deviation_sequence!$B$233 + 0.5 *Deviation_sequence!$B$232) / (Deviation_sequence!D158 + 0.5 * Deviation_sequence!$B$232)</f>
        <v>0.3904954343</v>
      </c>
      <c r="E158" s="7">
        <f>(Deviation_sequence!$B$233 + 0.5 *Deviation_sequence!$B$232) / (Deviation_sequence!E158 + 0.5 * Deviation_sequence!$B$232)</f>
        <v>0.4203761824</v>
      </c>
      <c r="F158" s="7">
        <f>(Deviation_sequence!$B$233 + 0.5 *Deviation_sequence!$B$232) / (Deviation_sequence!F158 + 0.5 * Deviation_sequence!$B$232)</f>
        <v>0.434145949</v>
      </c>
      <c r="G158" s="7">
        <f>(Deviation_sequence!$B$233 + 0.5 *Deviation_sequence!$B$232) / (Deviation_sequence!G158 + 0.5 * Deviation_sequence!$B$232)</f>
        <v>0.3754048723</v>
      </c>
      <c r="H158" s="7">
        <f>(Deviation_sequence!$B$233 + 0.5 *Deviation_sequence!$B$232) / (Deviation_sequence!H158 + 0.5 * Deviation_sequence!$B$232)</f>
        <v>0.3928990006</v>
      </c>
      <c r="I158" s="7">
        <f>(Deviation_sequence!$B$233 + 0.5 *Deviation_sequence!$B$232) / (Deviation_sequence!I158 + 0.5 * Deviation_sequence!$B$232)</f>
        <v>0.3821366968</v>
      </c>
      <c r="J158" s="7">
        <f>(Deviation_sequence!$B$233 + 0.5 *Deviation_sequence!$B$232) / (Deviation_sequence!J158 + 0.5 * Deviation_sequence!$B$232)</f>
        <v>0.3700442593</v>
      </c>
      <c r="K158" s="7">
        <f>(Deviation_sequence!$B$233 + 0.5 *Deviation_sequence!$B$232) / (Deviation_sequence!K158 + 0.5 * Deviation_sequence!$B$232)</f>
        <v>0.3755779498</v>
      </c>
      <c r="L158" s="7">
        <f>(Deviation_sequence!$B$233 + 0.5 *Deviation_sequence!$B$232) / (Deviation_sequence!L158 + 0.5 * Deviation_sequence!$B$232)</f>
        <v>0.3915986958</v>
      </c>
      <c r="M158" s="7">
        <f>(Deviation_sequence!$B$233 + 0.5 *Deviation_sequence!$B$232) / (Deviation_sequence!M158 + 0.5 * Deviation_sequence!$B$232)</f>
        <v>0.388001938</v>
      </c>
      <c r="O158" s="7">
        <f t="shared" si="5"/>
        <v>0.3931321911</v>
      </c>
    </row>
    <row r="159">
      <c r="A159" s="10" t="s">
        <v>28</v>
      </c>
      <c r="B159" s="7">
        <f>(Deviation_sequence!$B$233 + 0.5 *Deviation_sequence!$B$232) / (Deviation_sequence!B159 + 0.5 * Deviation_sequence!$B$232)</f>
        <v>0.4016819658</v>
      </c>
      <c r="C159" s="7">
        <f>(Deviation_sequence!$B$233 + 0.5 *Deviation_sequence!$B$232) / (Deviation_sequence!C159 + 0.5 * Deviation_sequence!$B$232)</f>
        <v>0.4541015241</v>
      </c>
      <c r="D159" s="7">
        <f>(Deviation_sequence!$B$233 + 0.5 *Deviation_sequence!$B$232) / (Deviation_sequence!D159 + 0.5 * Deviation_sequence!$B$232)</f>
        <v>0.3699667961</v>
      </c>
      <c r="E159" s="7">
        <f>(Deviation_sequence!$B$233 + 0.5 *Deviation_sequence!$B$232) / (Deviation_sequence!E159 + 0.5 * Deviation_sequence!$B$232)</f>
        <v>0.3948097615</v>
      </c>
      <c r="F159" s="7">
        <f>(Deviation_sequence!$B$233 + 0.5 *Deviation_sequence!$B$232) / (Deviation_sequence!F159 + 0.5 * Deviation_sequence!$B$232)</f>
        <v>0.3881880307</v>
      </c>
      <c r="G159" s="7">
        <f>(Deviation_sequence!$B$233 + 0.5 *Deviation_sequence!$B$232) / (Deviation_sequence!G159 + 0.5 * Deviation_sequence!$B$232)</f>
        <v>0.3520733334</v>
      </c>
      <c r="H159" s="7">
        <f>(Deviation_sequence!$B$233 + 0.5 *Deviation_sequence!$B$232) / (Deviation_sequence!H159 + 0.5 * Deviation_sequence!$B$232)</f>
        <v>0.3703182568</v>
      </c>
      <c r="I159" s="7">
        <f>(Deviation_sequence!$B$233 + 0.5 *Deviation_sequence!$B$232) / (Deviation_sequence!I159 + 0.5 * Deviation_sequence!$B$232)</f>
        <v>0.3701414077</v>
      </c>
      <c r="J159" s="7">
        <f>(Deviation_sequence!$B$233 + 0.5 *Deviation_sequence!$B$232) / (Deviation_sequence!J159 + 0.5 * Deviation_sequence!$B$232)</f>
        <v>0.3626672061</v>
      </c>
      <c r="K159" s="7">
        <f>(Deviation_sequence!$B$233 + 0.5 *Deviation_sequence!$B$232) / (Deviation_sequence!K159 + 0.5 * Deviation_sequence!$B$232)</f>
        <v>0.3560538966</v>
      </c>
      <c r="L159" s="7">
        <f>(Deviation_sequence!$B$233 + 0.5 *Deviation_sequence!$B$232) / (Deviation_sequence!L159 + 0.5 * Deviation_sequence!$B$232)</f>
        <v>0.3907391578</v>
      </c>
      <c r="M159" s="7">
        <f>(Deviation_sequence!$B$233 + 0.5 *Deviation_sequence!$B$232) / (Deviation_sequence!M159 + 0.5 * Deviation_sequence!$B$232)</f>
        <v>0.3729024764</v>
      </c>
      <c r="O159" s="7">
        <f t="shared" si="5"/>
        <v>0.3819703177</v>
      </c>
    </row>
    <row r="160">
      <c r="A160" s="10" t="s">
        <v>29</v>
      </c>
      <c r="B160" s="7">
        <f>(Deviation_sequence!$B$233 + 0.5 *Deviation_sequence!$B$232) / (Deviation_sequence!B160 + 0.5 * Deviation_sequence!$B$232)</f>
        <v>0.5903912303</v>
      </c>
      <c r="C160" s="7">
        <f>(Deviation_sequence!$B$233 + 0.5 *Deviation_sequence!$B$232) / (Deviation_sequence!C160 + 0.5 * Deviation_sequence!$B$232)</f>
        <v>0.7422297143</v>
      </c>
      <c r="D160" s="7">
        <f>(Deviation_sequence!$B$233 + 0.5 *Deviation_sequence!$B$232) / (Deviation_sequence!D160 + 0.5 * Deviation_sequence!$B$232)</f>
        <v>0.536998081</v>
      </c>
      <c r="E160" s="7">
        <f>(Deviation_sequence!$B$233 + 0.5 *Deviation_sequence!$B$232) / (Deviation_sequence!E160 + 0.5 * Deviation_sequence!$B$232)</f>
        <v>0.8203994497</v>
      </c>
      <c r="F160" s="7">
        <f>(Deviation_sequence!$B$233 + 0.5 *Deviation_sequence!$B$232) / (Deviation_sequence!F160 + 0.5 * Deviation_sequence!$B$232)</f>
        <v>0.9205409821</v>
      </c>
      <c r="G160" s="7">
        <f>(Deviation_sequence!$B$233 + 0.5 *Deviation_sequence!$B$232) / (Deviation_sequence!G160 + 0.5 * Deviation_sequence!$B$232)</f>
        <v>0.4748468332</v>
      </c>
      <c r="H160" s="7">
        <f>(Deviation_sequence!$B$233 + 0.5 *Deviation_sequence!$B$232) / (Deviation_sequence!H160 + 0.5 * Deviation_sequence!$B$232)</f>
        <v>0.5596294322</v>
      </c>
      <c r="I160" s="7">
        <f>(Deviation_sequence!$B$233 + 0.5 *Deviation_sequence!$B$232) / (Deviation_sequence!I160 + 0.5 * Deviation_sequence!$B$232)</f>
        <v>0.5996689214</v>
      </c>
      <c r="J160" s="7">
        <f>(Deviation_sequence!$B$233 + 0.5 *Deviation_sequence!$B$232) / (Deviation_sequence!J160 + 0.5 * Deviation_sequence!$B$232)</f>
        <v>0.4946384831</v>
      </c>
      <c r="K160" s="7">
        <f>(Deviation_sequence!$B$233 + 0.5 *Deviation_sequence!$B$232) / (Deviation_sequence!K160 + 0.5 * Deviation_sequence!$B$232)</f>
        <v>0.4412951501</v>
      </c>
      <c r="L160" s="7">
        <f>(Deviation_sequence!$B$233 + 0.5 *Deviation_sequence!$B$232) / (Deviation_sequence!L160 + 0.5 * Deviation_sequence!$B$232)</f>
        <v>0.4474516447</v>
      </c>
      <c r="M160" s="7">
        <f>(Deviation_sequence!$B$233 + 0.5 *Deviation_sequence!$B$232) / (Deviation_sequence!M160 + 0.5 * Deviation_sequence!$B$232)</f>
        <v>0.4074403977</v>
      </c>
      <c r="O160" s="7">
        <f t="shared" si="5"/>
        <v>0.5862941933</v>
      </c>
    </row>
    <row r="161">
      <c r="A161" s="10" t="s">
        <v>30</v>
      </c>
      <c r="B161" s="7">
        <f>(Deviation_sequence!$B$233 + 0.5 *Deviation_sequence!$B$232) / (Deviation_sequence!B161 + 0.5 * Deviation_sequence!$B$232)</f>
        <v>0.954443852</v>
      </c>
      <c r="C161" s="7">
        <f>(Deviation_sequence!$B$233 + 0.5 *Deviation_sequence!$B$232) / (Deviation_sequence!C161 + 0.5 * Deviation_sequence!$B$232)</f>
        <v>0.7878936546</v>
      </c>
      <c r="D161" s="7">
        <f>(Deviation_sequence!$B$233 + 0.5 *Deviation_sequence!$B$232) / (Deviation_sequence!D161 + 0.5 * Deviation_sequence!$B$232)</f>
        <v>0.8520195194</v>
      </c>
      <c r="E161" s="7">
        <f>(Deviation_sequence!$B$233 + 0.5 *Deviation_sequence!$B$232) / (Deviation_sequence!E161 + 0.5 * Deviation_sequence!$B$232)</f>
        <v>0.9204852652</v>
      </c>
      <c r="F161" s="7">
        <f>(Deviation_sequence!$B$233 + 0.5 *Deviation_sequence!$B$232) / (Deviation_sequence!F161 + 0.5 * Deviation_sequence!$B$232)</f>
        <v>0.3550740749</v>
      </c>
      <c r="G161" s="7">
        <f>(Deviation_sequence!$B$233 + 0.5 *Deviation_sequence!$B$232) / (Deviation_sequence!G161 + 0.5 * Deviation_sequence!$B$232)</f>
        <v>0.9396791451</v>
      </c>
      <c r="H161" s="7">
        <f>(Deviation_sequence!$B$233 + 0.5 *Deviation_sequence!$B$232) / (Deviation_sequence!H161 + 0.5 * Deviation_sequence!$B$232)</f>
        <v>0.9903708246</v>
      </c>
      <c r="I161" s="7">
        <f>(Deviation_sequence!$B$233 + 0.5 *Deviation_sequence!$B$232) / (Deviation_sequence!I161 + 0.5 * Deviation_sequence!$B$232)</f>
        <v>0.9732903277</v>
      </c>
      <c r="J161" s="7">
        <f>(Deviation_sequence!$B$233 + 0.5 *Deviation_sequence!$B$232) / (Deviation_sequence!J161 + 0.5 * Deviation_sequence!$B$232)</f>
        <v>0.828351219</v>
      </c>
      <c r="K161" s="7">
        <f>(Deviation_sequence!$B$233 + 0.5 *Deviation_sequence!$B$232) / (Deviation_sequence!K161 + 0.5 * Deviation_sequence!$B$232)</f>
        <v>0.9835084375</v>
      </c>
      <c r="L161" s="7">
        <f>(Deviation_sequence!$B$233 + 0.5 *Deviation_sequence!$B$232) / (Deviation_sequence!L161 + 0.5 * Deviation_sequence!$B$232)</f>
        <v>0.4326478465</v>
      </c>
      <c r="M161" s="7">
        <f>(Deviation_sequence!$B$233 + 0.5 *Deviation_sequence!$B$232) / (Deviation_sequence!M161 + 0.5 * Deviation_sequence!$B$232)</f>
        <v>0.3464583674</v>
      </c>
      <c r="O161" s="7">
        <f t="shared" si="5"/>
        <v>0.7803518778</v>
      </c>
    </row>
    <row r="162">
      <c r="A162" s="10" t="s">
        <v>31</v>
      </c>
      <c r="B162" s="7">
        <f>(Deviation_sequence!$B$233 + 0.5 *Deviation_sequence!$B$232) / (Deviation_sequence!B162 + 0.5 * Deviation_sequence!$B$232)</f>
        <v>0.4866305753</v>
      </c>
      <c r="C162" s="7">
        <f>(Deviation_sequence!$B$233 + 0.5 *Deviation_sequence!$B$232) / (Deviation_sequence!C162 + 0.5 * Deviation_sequence!$B$232)</f>
        <v>0.4342945762</v>
      </c>
      <c r="D162" s="7">
        <f>(Deviation_sequence!$B$233 + 0.5 *Deviation_sequence!$B$232) / (Deviation_sequence!D162 + 0.5 * Deviation_sequence!$B$232)</f>
        <v>0.4429496713</v>
      </c>
      <c r="E162" s="7">
        <f>(Deviation_sequence!$B$233 + 0.5 *Deviation_sequence!$B$232) / (Deviation_sequence!E162 + 0.5 * Deviation_sequence!$B$232)</f>
        <v>0.3880016826</v>
      </c>
      <c r="F162" s="7">
        <f>(Deviation_sequence!$B$233 + 0.5 *Deviation_sequence!$B$232) / (Deviation_sequence!F162 + 0.5 * Deviation_sequence!$B$232)</f>
        <v>0.4359305769</v>
      </c>
      <c r="G162" s="7">
        <f>(Deviation_sequence!$B$233 + 0.5 *Deviation_sequence!$B$232) / (Deviation_sequence!G162 + 0.5 * Deviation_sequence!$B$232)</f>
        <v>0.3636131101</v>
      </c>
      <c r="H162" s="7">
        <f>(Deviation_sequence!$B$233 + 0.5 *Deviation_sequence!$B$232) / (Deviation_sequence!H162 + 0.5 * Deviation_sequence!$B$232)</f>
        <v>0.450578774</v>
      </c>
      <c r="I162" s="7">
        <f>(Deviation_sequence!$B$233 + 0.5 *Deviation_sequence!$B$232) / (Deviation_sequence!I162 + 0.5 * Deviation_sequence!$B$232)</f>
        <v>0.4541234937</v>
      </c>
      <c r="J162" s="7">
        <f>(Deviation_sequence!$B$233 + 0.5 *Deviation_sequence!$B$232) / (Deviation_sequence!J162 + 0.5 * Deviation_sequence!$B$232)</f>
        <v>0.4346115785</v>
      </c>
      <c r="K162" s="7">
        <f>(Deviation_sequence!$B$233 + 0.5 *Deviation_sequence!$B$232) / (Deviation_sequence!K162 + 0.5 * Deviation_sequence!$B$232)</f>
        <v>0.4186775807</v>
      </c>
      <c r="L162" s="7">
        <f>(Deviation_sequence!$B$233 + 0.5 *Deviation_sequence!$B$232) / (Deviation_sequence!L162 + 0.5 * Deviation_sequence!$B$232)</f>
        <v>0.427637339</v>
      </c>
      <c r="M162" s="7">
        <f>(Deviation_sequence!$B$233 + 0.5 *Deviation_sequence!$B$232) / (Deviation_sequence!M162 + 0.5 * Deviation_sequence!$B$232)</f>
        <v>0.3972578204</v>
      </c>
      <c r="O162" s="7">
        <f t="shared" si="5"/>
        <v>0.4278588982</v>
      </c>
    </row>
    <row r="163">
      <c r="N163" s="10" t="s">
        <v>117</v>
      </c>
      <c r="O163" s="7">
        <f>AVERAGE(O134:O162)</f>
        <v>0.4413846908</v>
      </c>
    </row>
    <row r="166">
      <c r="A166" s="9" t="s">
        <v>84</v>
      </c>
      <c r="B166" s="10" t="s">
        <v>85</v>
      </c>
      <c r="C166" s="10" t="s">
        <v>86</v>
      </c>
      <c r="D166" s="10" t="s">
        <v>87</v>
      </c>
      <c r="E166" s="10" t="s">
        <v>88</v>
      </c>
      <c r="F166" s="10" t="s">
        <v>89</v>
      </c>
      <c r="G166" s="10" t="s">
        <v>90</v>
      </c>
      <c r="H166" s="10" t="s">
        <v>91</v>
      </c>
      <c r="I166" s="10" t="s">
        <v>92</v>
      </c>
      <c r="J166" s="10" t="s">
        <v>93</v>
      </c>
      <c r="K166" s="10" t="s">
        <v>94</v>
      </c>
      <c r="L166" s="10" t="s">
        <v>95</v>
      </c>
      <c r="M166" s="10" t="s">
        <v>96</v>
      </c>
    </row>
    <row r="167">
      <c r="A167" s="10" t="s">
        <v>3</v>
      </c>
      <c r="B167" s="7">
        <f>(Deviation_sequence!$B$233 + 0.5 *Deviation_sequence!$B$232) / (Deviation_sequence!B167 + 0.5 * Deviation_sequence!$B$232)</f>
        <v>0.8631385789</v>
      </c>
      <c r="C167" s="7">
        <f>(Deviation_sequence!$B$233 + 0.5 *Deviation_sequence!$B$232) / (Deviation_sequence!C167 + 0.5 * Deviation_sequence!$B$232)</f>
        <v>0.8905404954</v>
      </c>
      <c r="D167" s="7">
        <f>(Deviation_sequence!$B$233 + 0.5 *Deviation_sequence!$B$232) / (Deviation_sequence!D167 + 0.5 * Deviation_sequence!$B$232)</f>
        <v>0.6504126673</v>
      </c>
      <c r="E167" s="7">
        <f>(Deviation_sequence!$B$233 + 0.5 *Deviation_sequence!$B$232) / (Deviation_sequence!E167 + 0.5 * Deviation_sequence!$B$232)</f>
        <v>0.9911473035</v>
      </c>
      <c r="F167" s="7">
        <f>(Deviation_sequence!$B$233 + 0.5 *Deviation_sequence!$B$232) / (Deviation_sequence!F167 + 0.5 * Deviation_sequence!$B$232)</f>
        <v>0.8445249387</v>
      </c>
      <c r="G167" s="7">
        <f>(Deviation_sequence!$B$233 + 0.5 *Deviation_sequence!$B$232) / (Deviation_sequence!G167 + 0.5 * Deviation_sequence!$B$232)</f>
        <v>0.478814381</v>
      </c>
      <c r="H167" s="7">
        <f>(Deviation_sequence!$B$233 + 0.5 *Deviation_sequence!$B$232) / (Deviation_sequence!H167 + 0.5 * Deviation_sequence!$B$232)</f>
        <v>0.7394215295</v>
      </c>
      <c r="I167" s="7">
        <f>(Deviation_sequence!$B$233 + 0.5 *Deviation_sequence!$B$232) / (Deviation_sequence!I167 + 0.5 * Deviation_sequence!$B$232)</f>
        <v>0.6581665864</v>
      </c>
      <c r="J167" s="7">
        <f>(Deviation_sequence!$B$233 + 0.5 *Deviation_sequence!$B$232) / (Deviation_sequence!J167 + 0.5 * Deviation_sequence!$B$232)</f>
        <v>0.9604159032</v>
      </c>
      <c r="K167" s="7">
        <f>(Deviation_sequence!$B$233 + 0.5 *Deviation_sequence!$B$232) / (Deviation_sequence!K167 + 0.5 * Deviation_sequence!$B$232)</f>
        <v>0.7235480286</v>
      </c>
      <c r="L167" s="7">
        <f>(Deviation_sequence!$B$233 + 0.5 *Deviation_sequence!$B$232) / (Deviation_sequence!L167 + 0.5 * Deviation_sequence!$B$232)</f>
        <v>0.9206408394</v>
      </c>
      <c r="M167" s="7">
        <f>(Deviation_sequence!$B$233 + 0.5 *Deviation_sequence!$B$232) / (Deviation_sequence!M167 + 0.5 * Deviation_sequence!$B$232)</f>
        <v>0.9003433293</v>
      </c>
      <c r="O167" s="7">
        <f t="shared" ref="O167:O195" si="6">AVERAGE(B167:M167)</f>
        <v>0.8017595484</v>
      </c>
    </row>
    <row r="168">
      <c r="A168" s="10" t="s">
        <v>4</v>
      </c>
      <c r="B168" s="7">
        <f>(Deviation_sequence!$B$233 + 0.5 *Deviation_sequence!$B$232) / (Deviation_sequence!B168 + 0.5 * Deviation_sequence!$B$232)</f>
        <v>0.6546597409</v>
      </c>
      <c r="C168" s="7">
        <f>(Deviation_sequence!$B$233 + 0.5 *Deviation_sequence!$B$232) / (Deviation_sequence!C168 + 0.5 * Deviation_sequence!$B$232)</f>
        <v>0.8061717445</v>
      </c>
      <c r="D168" s="7">
        <f>(Deviation_sequence!$B$233 + 0.5 *Deviation_sequence!$B$232) / (Deviation_sequence!D168 + 0.5 * Deviation_sequence!$B$232)</f>
        <v>0.795057849</v>
      </c>
      <c r="E168" s="7">
        <f>(Deviation_sequence!$B$233 + 0.5 *Deviation_sequence!$B$232) / (Deviation_sequence!E168 + 0.5 * Deviation_sequence!$B$232)</f>
        <v>0.9676894831</v>
      </c>
      <c r="F168" s="7">
        <f>(Deviation_sequence!$B$233 + 0.5 *Deviation_sequence!$B$232) / (Deviation_sequence!F168 + 0.5 * Deviation_sequence!$B$232)</f>
        <v>0.9383367402</v>
      </c>
      <c r="G168" s="7">
        <f>(Deviation_sequence!$B$233 + 0.5 *Deviation_sequence!$B$232) / (Deviation_sequence!G168 + 0.5 * Deviation_sequence!$B$232)</f>
        <v>0.8495649646</v>
      </c>
      <c r="H168" s="7">
        <f>(Deviation_sequence!$B$233 + 0.5 *Deviation_sequence!$B$232) / (Deviation_sequence!H168 + 0.5 * Deviation_sequence!$B$232)</f>
        <v>0.7952788241</v>
      </c>
      <c r="I168" s="7">
        <f>(Deviation_sequence!$B$233 + 0.5 *Deviation_sequence!$B$232) / (Deviation_sequence!I168 + 0.5 * Deviation_sequence!$B$232)</f>
        <v>0.6474369862</v>
      </c>
      <c r="J168" s="7">
        <f>(Deviation_sequence!$B$233 + 0.5 *Deviation_sequence!$B$232) / (Deviation_sequence!J168 + 0.5 * Deviation_sequence!$B$232)</f>
        <v>0.7070576059</v>
      </c>
      <c r="K168" s="7">
        <f>(Deviation_sequence!$B$233 + 0.5 *Deviation_sequence!$B$232) / (Deviation_sequence!K168 + 0.5 * Deviation_sequence!$B$232)</f>
        <v>0.6001749889</v>
      </c>
      <c r="L168" s="7">
        <f>(Deviation_sequence!$B$233 + 0.5 *Deviation_sequence!$B$232) / (Deviation_sequence!L168 + 0.5 * Deviation_sequence!$B$232)</f>
        <v>0.5899532192</v>
      </c>
      <c r="M168" s="7">
        <f>(Deviation_sequence!$B$233 + 0.5 *Deviation_sequence!$B$232) / (Deviation_sequence!M168 + 0.5 * Deviation_sequence!$B$232)</f>
        <v>0.4877194335</v>
      </c>
      <c r="O168" s="7">
        <f t="shared" si="6"/>
        <v>0.7365917984</v>
      </c>
    </row>
    <row r="169">
      <c r="A169" s="10" t="s">
        <v>5</v>
      </c>
      <c r="B169" s="7">
        <f>(Deviation_sequence!$B$233 + 0.5 *Deviation_sequence!$B$232) / (Deviation_sequence!B169 + 0.5 * Deviation_sequence!$B$232)</f>
        <v>0.4156168556</v>
      </c>
      <c r="C169" s="7">
        <f>(Deviation_sequence!$B$233 + 0.5 *Deviation_sequence!$B$232) / (Deviation_sequence!C169 + 0.5 * Deviation_sequence!$B$232)</f>
        <v>0.427686102</v>
      </c>
      <c r="D169" s="7">
        <f>(Deviation_sequence!$B$233 + 0.5 *Deviation_sequence!$B$232) / (Deviation_sequence!D169 + 0.5 * Deviation_sequence!$B$232)</f>
        <v>0.4344526042</v>
      </c>
      <c r="E169" s="7">
        <f>(Deviation_sequence!$B$233 + 0.5 *Deviation_sequence!$B$232) / (Deviation_sequence!E169 + 0.5 * Deviation_sequence!$B$232)</f>
        <v>0.4472632501</v>
      </c>
      <c r="F169" s="7">
        <f>(Deviation_sequence!$B$233 + 0.5 *Deviation_sequence!$B$232) / (Deviation_sequence!F169 + 0.5 * Deviation_sequence!$B$232)</f>
        <v>0.4621519719</v>
      </c>
      <c r="G169" s="7">
        <f>(Deviation_sequence!$B$233 + 0.5 *Deviation_sequence!$B$232) / (Deviation_sequence!G169 + 0.5 * Deviation_sequence!$B$232)</f>
        <v>0.3666233854</v>
      </c>
      <c r="H169" s="7">
        <f>(Deviation_sequence!$B$233 + 0.5 *Deviation_sequence!$B$232) / (Deviation_sequence!H169 + 0.5 * Deviation_sequence!$B$232)</f>
        <v>0.4681321017</v>
      </c>
      <c r="I169" s="7">
        <f>(Deviation_sequence!$B$233 + 0.5 *Deviation_sequence!$B$232) / (Deviation_sequence!I169 + 0.5 * Deviation_sequence!$B$232)</f>
        <v>0.4206462508</v>
      </c>
      <c r="J169" s="7">
        <f>(Deviation_sequence!$B$233 + 0.5 *Deviation_sequence!$B$232) / (Deviation_sequence!J169 + 0.5 * Deviation_sequence!$B$232)</f>
        <v>0.4137555539</v>
      </c>
      <c r="K169" s="7">
        <f>(Deviation_sequence!$B$233 + 0.5 *Deviation_sequence!$B$232) / (Deviation_sequence!K169 + 0.5 * Deviation_sequence!$B$232)</f>
        <v>0.4040997471</v>
      </c>
      <c r="L169" s="7">
        <f>(Deviation_sequence!$B$233 + 0.5 *Deviation_sequence!$B$232) / (Deviation_sequence!L169 + 0.5 * Deviation_sequence!$B$232)</f>
        <v>0.4819697818</v>
      </c>
      <c r="M169" s="7">
        <f>(Deviation_sequence!$B$233 + 0.5 *Deviation_sequence!$B$232) / (Deviation_sequence!M169 + 0.5 * Deviation_sequence!$B$232)</f>
        <v>0.4036869209</v>
      </c>
      <c r="O169" s="7">
        <f t="shared" si="6"/>
        <v>0.4288403771</v>
      </c>
    </row>
    <row r="170">
      <c r="A170" s="10" t="s">
        <v>6</v>
      </c>
      <c r="B170" s="7">
        <f>(Deviation_sequence!$B$233 + 0.5 *Deviation_sequence!$B$232) / (Deviation_sequence!B170 + 0.5 * Deviation_sequence!$B$232)</f>
        <v>0.4074491507</v>
      </c>
      <c r="C170" s="7">
        <f>(Deviation_sequence!$B$233 + 0.5 *Deviation_sequence!$B$232) / (Deviation_sequence!C170 + 0.5 * Deviation_sequence!$B$232)</f>
        <v>0.4091277849</v>
      </c>
      <c r="D170" s="7">
        <f>(Deviation_sequence!$B$233 + 0.5 *Deviation_sequence!$B$232) / (Deviation_sequence!D170 + 0.5 * Deviation_sequence!$B$232)</f>
        <v>0.4010973061</v>
      </c>
      <c r="E170" s="7">
        <f>(Deviation_sequence!$B$233 + 0.5 *Deviation_sequence!$B$232) / (Deviation_sequence!E170 + 0.5 * Deviation_sequence!$B$232)</f>
        <v>0.4957170029</v>
      </c>
      <c r="F170" s="7">
        <f>(Deviation_sequence!$B$233 + 0.5 *Deviation_sequence!$B$232) / (Deviation_sequence!F170 + 0.5 * Deviation_sequence!$B$232)</f>
        <v>0.4342483663</v>
      </c>
      <c r="G170" s="7">
        <f>(Deviation_sequence!$B$233 + 0.5 *Deviation_sequence!$B$232) / (Deviation_sequence!G170 + 0.5 * Deviation_sequence!$B$232)</f>
        <v>0.3637010424</v>
      </c>
      <c r="H170" s="7">
        <f>(Deviation_sequence!$B$233 + 0.5 *Deviation_sequence!$B$232) / (Deviation_sequence!H170 + 0.5 * Deviation_sequence!$B$232)</f>
        <v>0.4213297411</v>
      </c>
      <c r="I170" s="7">
        <f>(Deviation_sequence!$B$233 + 0.5 *Deviation_sequence!$B$232) / (Deviation_sequence!I170 + 0.5 * Deviation_sequence!$B$232)</f>
        <v>0.4148357589</v>
      </c>
      <c r="J170" s="7">
        <f>(Deviation_sequence!$B$233 + 0.5 *Deviation_sequence!$B$232) / (Deviation_sequence!J170 + 0.5 * Deviation_sequence!$B$232)</f>
        <v>0.4389387102</v>
      </c>
      <c r="K170" s="7">
        <f>(Deviation_sequence!$B$233 + 0.5 *Deviation_sequence!$B$232) / (Deviation_sequence!K170 + 0.5 * Deviation_sequence!$B$232)</f>
        <v>0.427915857</v>
      </c>
      <c r="L170" s="7">
        <f>(Deviation_sequence!$B$233 + 0.5 *Deviation_sequence!$B$232) / (Deviation_sequence!L170 + 0.5 * Deviation_sequence!$B$232)</f>
        <v>0.4433453444</v>
      </c>
      <c r="M170" s="7">
        <f>(Deviation_sequence!$B$233 + 0.5 *Deviation_sequence!$B$232) / (Deviation_sequence!M170 + 0.5 * Deviation_sequence!$B$232)</f>
        <v>0.3939660175</v>
      </c>
      <c r="O170" s="7">
        <f t="shared" si="6"/>
        <v>0.4209726735</v>
      </c>
    </row>
    <row r="171">
      <c r="A171" s="10" t="s">
        <v>7</v>
      </c>
      <c r="B171" s="7">
        <f>(Deviation_sequence!$B$233 + 0.5 *Deviation_sequence!$B$232) / (Deviation_sequence!B171 + 0.5 * Deviation_sequence!$B$232)</f>
        <v>0.8684865695</v>
      </c>
      <c r="C171" s="7">
        <f>(Deviation_sequence!$B$233 + 0.5 *Deviation_sequence!$B$232) / (Deviation_sequence!C171 + 0.5 * Deviation_sequence!$B$232)</f>
        <v>0.9076557278</v>
      </c>
      <c r="D171" s="7">
        <f>(Deviation_sequence!$B$233 + 0.5 *Deviation_sequence!$B$232) / (Deviation_sequence!D171 + 0.5 * Deviation_sequence!$B$232)</f>
        <v>0.8667039282</v>
      </c>
      <c r="E171" s="7">
        <f>(Deviation_sequence!$B$233 + 0.5 *Deviation_sequence!$B$232) / (Deviation_sequence!E171 + 0.5 * Deviation_sequence!$B$232)</f>
        <v>0.9447931455</v>
      </c>
      <c r="F171" s="7">
        <f>(Deviation_sequence!$B$233 + 0.5 *Deviation_sequence!$B$232) / (Deviation_sequence!F171 + 0.5 * Deviation_sequence!$B$232)</f>
        <v>0.8602249865</v>
      </c>
      <c r="G171" s="7">
        <f>(Deviation_sequence!$B$233 + 0.5 *Deviation_sequence!$B$232) / (Deviation_sequence!G171 + 0.5 * Deviation_sequence!$B$232)</f>
        <v>0.5342952091</v>
      </c>
      <c r="H171" s="7">
        <f>(Deviation_sequence!$B$233 + 0.5 *Deviation_sequence!$B$232) / (Deviation_sequence!H171 + 0.5 * Deviation_sequence!$B$232)</f>
        <v>0.9171828112</v>
      </c>
      <c r="I171" s="7">
        <f>(Deviation_sequence!$B$233 + 0.5 *Deviation_sequence!$B$232) / (Deviation_sequence!I171 + 0.5 * Deviation_sequence!$B$232)</f>
        <v>0.8259246977</v>
      </c>
      <c r="J171" s="7">
        <f>(Deviation_sequence!$B$233 + 0.5 *Deviation_sequence!$B$232) / (Deviation_sequence!J171 + 0.5 * Deviation_sequence!$B$232)</f>
        <v>0.688457081</v>
      </c>
      <c r="K171" s="7">
        <f>(Deviation_sequence!$B$233 + 0.5 *Deviation_sequence!$B$232) / (Deviation_sequence!K171 + 0.5 * Deviation_sequence!$B$232)</f>
        <v>0.5645692134</v>
      </c>
      <c r="L171" s="7">
        <f>(Deviation_sequence!$B$233 + 0.5 *Deviation_sequence!$B$232) / (Deviation_sequence!L171 + 0.5 * Deviation_sequence!$B$232)</f>
        <v>0.4921640818</v>
      </c>
      <c r="M171" s="7">
        <f>(Deviation_sequence!$B$233 + 0.5 *Deviation_sequence!$B$232) / (Deviation_sequence!M171 + 0.5 * Deviation_sequence!$B$232)</f>
        <v>0.4037553338</v>
      </c>
      <c r="O171" s="7">
        <f t="shared" si="6"/>
        <v>0.7395177321</v>
      </c>
    </row>
    <row r="172">
      <c r="A172" s="10" t="s">
        <v>8</v>
      </c>
      <c r="B172" s="7">
        <f>(Deviation_sequence!$B$233 + 0.5 *Deviation_sequence!$B$232) / (Deviation_sequence!B172 + 0.5 * Deviation_sequence!$B$232)</f>
        <v>0.9499507802</v>
      </c>
      <c r="C172" s="7">
        <f>(Deviation_sequence!$B$233 + 0.5 *Deviation_sequence!$B$232) / (Deviation_sequence!C172 + 0.5 * Deviation_sequence!$B$232)</f>
        <v>0.8125509958</v>
      </c>
      <c r="D172" s="7">
        <f>(Deviation_sequence!$B$233 + 0.5 *Deviation_sequence!$B$232) / (Deviation_sequence!D172 + 0.5 * Deviation_sequence!$B$232)</f>
        <v>0.4887983682</v>
      </c>
      <c r="E172" s="7">
        <f>(Deviation_sequence!$B$233 + 0.5 *Deviation_sequence!$B$232) / (Deviation_sequence!E172 + 0.5 * Deviation_sequence!$B$232)</f>
        <v>0.4597007463</v>
      </c>
      <c r="F172" s="7">
        <f>(Deviation_sequence!$B$233 + 0.5 *Deviation_sequence!$B$232) / (Deviation_sequence!F172 + 0.5 * Deviation_sequence!$B$232)</f>
        <v>0.4106258166</v>
      </c>
      <c r="G172" s="7">
        <f>(Deviation_sequence!$B$233 + 0.5 *Deviation_sequence!$B$232) / (Deviation_sequence!G172 + 0.5 * Deviation_sequence!$B$232)</f>
        <v>0.3673638877</v>
      </c>
      <c r="H172" s="7">
        <f>(Deviation_sequence!$B$233 + 0.5 *Deviation_sequence!$B$232) / (Deviation_sequence!H172 + 0.5 * Deviation_sequence!$B$232)</f>
        <v>0.3757482251</v>
      </c>
      <c r="I172" s="7">
        <f>(Deviation_sequence!$B$233 + 0.5 *Deviation_sequence!$B$232) / (Deviation_sequence!I172 + 0.5 * Deviation_sequence!$B$232)</f>
        <v>0.4410644152</v>
      </c>
      <c r="J172" s="7">
        <f>(Deviation_sequence!$B$233 + 0.5 *Deviation_sequence!$B$232) / (Deviation_sequence!J172 + 0.5 * Deviation_sequence!$B$232)</f>
        <v>0.4861621322</v>
      </c>
      <c r="K172" s="7">
        <f>(Deviation_sequence!$B$233 + 0.5 *Deviation_sequence!$B$232) / (Deviation_sequence!K172 + 0.5 * Deviation_sequence!$B$232)</f>
        <v>0.4799058404</v>
      </c>
      <c r="L172" s="7">
        <f>(Deviation_sequence!$B$233 + 0.5 *Deviation_sequence!$B$232) / (Deviation_sequence!L172 + 0.5 * Deviation_sequence!$B$232)</f>
        <v>0.5105958156</v>
      </c>
      <c r="M172" s="7">
        <f>(Deviation_sequence!$B$233 + 0.5 *Deviation_sequence!$B$232) / (Deviation_sequence!M172 + 0.5 * Deviation_sequence!$B$232)</f>
        <v>0.3706303394</v>
      </c>
      <c r="O172" s="7">
        <f t="shared" si="6"/>
        <v>0.5127581136</v>
      </c>
    </row>
    <row r="173">
      <c r="A173" s="10" t="s">
        <v>9</v>
      </c>
      <c r="B173" s="7">
        <f>(Deviation_sequence!$B$233 + 0.5 *Deviation_sequence!$B$232) / (Deviation_sequence!B173 + 0.5 * Deviation_sequence!$B$232)</f>
        <v>0.6113255488</v>
      </c>
      <c r="C173" s="7">
        <f>(Deviation_sequence!$B$233 + 0.5 *Deviation_sequence!$B$232) / (Deviation_sequence!C173 + 0.5 * Deviation_sequence!$B$232)</f>
        <v>0.5397929496</v>
      </c>
      <c r="D173" s="7">
        <f>(Deviation_sequence!$B$233 + 0.5 *Deviation_sequence!$B$232) / (Deviation_sequence!D173 + 0.5 * Deviation_sequence!$B$232)</f>
        <v>0.4296970955</v>
      </c>
      <c r="E173" s="7">
        <f>(Deviation_sequence!$B$233 + 0.5 *Deviation_sequence!$B$232) / (Deviation_sequence!E173 + 0.5 * Deviation_sequence!$B$232)</f>
        <v>0.4691095126</v>
      </c>
      <c r="F173" s="7">
        <f>(Deviation_sequence!$B$233 + 0.5 *Deviation_sequence!$B$232) / (Deviation_sequence!F173 + 0.5 * Deviation_sequence!$B$232)</f>
        <v>0.4245784889</v>
      </c>
      <c r="G173" s="7">
        <f>(Deviation_sequence!$B$233 + 0.5 *Deviation_sequence!$B$232) / (Deviation_sequence!G173 + 0.5 * Deviation_sequence!$B$232)</f>
        <v>0.4272138199</v>
      </c>
      <c r="H173" s="7">
        <f>(Deviation_sequence!$B$233 + 0.5 *Deviation_sequence!$B$232) / (Deviation_sequence!H173 + 0.5 * Deviation_sequence!$B$232)</f>
        <v>0.3731142799</v>
      </c>
      <c r="I173" s="7">
        <f>(Deviation_sequence!$B$233 + 0.5 *Deviation_sequence!$B$232) / (Deviation_sequence!I173 + 0.5 * Deviation_sequence!$B$232)</f>
        <v>0.3890992339</v>
      </c>
      <c r="J173" s="7">
        <f>(Deviation_sequence!$B$233 + 0.5 *Deviation_sequence!$B$232) / (Deviation_sequence!J173 + 0.5 * Deviation_sequence!$B$232)</f>
        <v>0.3717103057</v>
      </c>
      <c r="K173" s="7">
        <f>(Deviation_sequence!$B$233 + 0.5 *Deviation_sequence!$B$232) / (Deviation_sequence!K173 + 0.5 * Deviation_sequence!$B$232)</f>
        <v>0.3698837514</v>
      </c>
      <c r="L173" s="7">
        <f>(Deviation_sequence!$B$233 + 0.5 *Deviation_sequence!$B$232) / (Deviation_sequence!L173 + 0.5 * Deviation_sequence!$B$232)</f>
        <v>0.3822697674</v>
      </c>
      <c r="M173" s="7">
        <f>(Deviation_sequence!$B$233 + 0.5 *Deviation_sequence!$B$232) / (Deviation_sequence!M173 + 0.5 * Deviation_sequence!$B$232)</f>
        <v>0.3745136713</v>
      </c>
      <c r="O173" s="7">
        <f t="shared" si="6"/>
        <v>0.4301923687</v>
      </c>
    </row>
    <row r="174">
      <c r="A174" s="10" t="s">
        <v>10</v>
      </c>
      <c r="B174" s="7">
        <f>(Deviation_sequence!$B$233 + 0.5 *Deviation_sequence!$B$232) / (Deviation_sequence!B174 + 0.5 * Deviation_sequence!$B$232)</f>
        <v>0.4617066965</v>
      </c>
      <c r="C174" s="7">
        <f>(Deviation_sequence!$B$233 + 0.5 *Deviation_sequence!$B$232) / (Deviation_sequence!C174 + 0.5 * Deviation_sequence!$B$232)</f>
        <v>0.4792579669</v>
      </c>
      <c r="D174" s="7">
        <f>(Deviation_sequence!$B$233 + 0.5 *Deviation_sequence!$B$232) / (Deviation_sequence!D174 + 0.5 * Deviation_sequence!$B$232)</f>
        <v>0.4241634261</v>
      </c>
      <c r="E174" s="7">
        <f>(Deviation_sequence!$B$233 + 0.5 *Deviation_sequence!$B$232) / (Deviation_sequence!E174 + 0.5 * Deviation_sequence!$B$232)</f>
        <v>0.4665251906</v>
      </c>
      <c r="F174" s="7">
        <f>(Deviation_sequence!$B$233 + 0.5 *Deviation_sequence!$B$232) / (Deviation_sequence!F174 + 0.5 * Deviation_sequence!$B$232)</f>
        <v>0.4834924359</v>
      </c>
      <c r="G174" s="7">
        <f>(Deviation_sequence!$B$233 + 0.5 *Deviation_sequence!$B$232) / (Deviation_sequence!G174 + 0.5 * Deviation_sequence!$B$232)</f>
        <v>0.3738192471</v>
      </c>
      <c r="H174" s="7">
        <f>(Deviation_sequence!$B$233 + 0.5 *Deviation_sequence!$B$232) / (Deviation_sequence!H174 + 0.5 * Deviation_sequence!$B$232)</f>
        <v>0.4086426955</v>
      </c>
      <c r="I174" s="7">
        <f>(Deviation_sequence!$B$233 + 0.5 *Deviation_sequence!$B$232) / (Deviation_sequence!I174 + 0.5 * Deviation_sequence!$B$232)</f>
        <v>0.4172706219</v>
      </c>
      <c r="J174" s="7">
        <f>(Deviation_sequence!$B$233 + 0.5 *Deviation_sequence!$B$232) / (Deviation_sequence!J174 + 0.5 * Deviation_sequence!$B$232)</f>
        <v>0.4142180137</v>
      </c>
      <c r="K174" s="7">
        <f>(Deviation_sequence!$B$233 + 0.5 *Deviation_sequence!$B$232) / (Deviation_sequence!K174 + 0.5 * Deviation_sequence!$B$232)</f>
        <v>0.4612872599</v>
      </c>
      <c r="L174" s="7">
        <f>(Deviation_sequence!$B$233 + 0.5 *Deviation_sequence!$B$232) / (Deviation_sequence!L174 + 0.5 * Deviation_sequence!$B$232)</f>
        <v>0.4628095553</v>
      </c>
      <c r="M174" s="7">
        <f>(Deviation_sequence!$B$233 + 0.5 *Deviation_sequence!$B$232) / (Deviation_sequence!M174 + 0.5 * Deviation_sequence!$B$232)</f>
        <v>0.4589544913</v>
      </c>
      <c r="O174" s="7">
        <f t="shared" si="6"/>
        <v>0.4426789667</v>
      </c>
    </row>
    <row r="175">
      <c r="A175" s="10" t="s">
        <v>11</v>
      </c>
      <c r="B175" s="7">
        <f>(Deviation_sequence!$B$233 + 0.5 *Deviation_sequence!$B$232) / (Deviation_sequence!B175 + 0.5 * Deviation_sequence!$B$232)</f>
        <v>0.5205571489</v>
      </c>
      <c r="C175" s="7">
        <f>(Deviation_sequence!$B$233 + 0.5 *Deviation_sequence!$B$232) / (Deviation_sequence!C175 + 0.5 * Deviation_sequence!$B$232)</f>
        <v>0.4864643725</v>
      </c>
      <c r="D175" s="7">
        <f>(Deviation_sequence!$B$233 + 0.5 *Deviation_sequence!$B$232) / (Deviation_sequence!D175 + 0.5 * Deviation_sequence!$B$232)</f>
        <v>0.5803171335</v>
      </c>
      <c r="E175" s="7">
        <f>(Deviation_sequence!$B$233 + 0.5 *Deviation_sequence!$B$232) / (Deviation_sequence!E175 + 0.5 * Deviation_sequence!$B$232)</f>
        <v>0.6459694136</v>
      </c>
      <c r="F175" s="7">
        <f>(Deviation_sequence!$B$233 + 0.5 *Deviation_sequence!$B$232) / (Deviation_sequence!F175 + 0.5 * Deviation_sequence!$B$232)</f>
        <v>0.7334240195</v>
      </c>
      <c r="G175" s="7">
        <f>(Deviation_sequence!$B$233 + 0.5 *Deviation_sequence!$B$232) / (Deviation_sequence!G175 + 0.5 * Deviation_sequence!$B$232)</f>
        <v>0.4729787757</v>
      </c>
      <c r="H175" s="7">
        <f>(Deviation_sequence!$B$233 + 0.5 *Deviation_sequence!$B$232) / (Deviation_sequence!H175 + 0.5 * Deviation_sequence!$B$232)</f>
        <v>0.6579438767</v>
      </c>
      <c r="I175" s="7">
        <f>(Deviation_sequence!$B$233 + 0.5 *Deviation_sequence!$B$232) / (Deviation_sequence!I175 + 0.5 * Deviation_sequence!$B$232)</f>
        <v>0.6376778374</v>
      </c>
      <c r="J175" s="7">
        <f>(Deviation_sequence!$B$233 + 0.5 *Deviation_sequence!$B$232) / (Deviation_sequence!J175 + 0.5 * Deviation_sequence!$B$232)</f>
        <v>0.5723445613</v>
      </c>
      <c r="K175" s="7">
        <f>(Deviation_sequence!$B$233 + 0.5 *Deviation_sequence!$B$232) / (Deviation_sequence!K175 + 0.5 * Deviation_sequence!$B$232)</f>
        <v>0.5053023607</v>
      </c>
      <c r="L175" s="7">
        <f>(Deviation_sequence!$B$233 + 0.5 *Deviation_sequence!$B$232) / (Deviation_sequence!L175 + 0.5 * Deviation_sequence!$B$232)</f>
        <v>0.5701567877</v>
      </c>
      <c r="M175" s="7">
        <f>(Deviation_sequence!$B$233 + 0.5 *Deviation_sequence!$B$232) / (Deviation_sequence!M175 + 0.5 * Deviation_sequence!$B$232)</f>
        <v>0.5030211742</v>
      </c>
      <c r="O175" s="7">
        <f t="shared" si="6"/>
        <v>0.5738464552</v>
      </c>
    </row>
    <row r="176">
      <c r="A176" s="10" t="s">
        <v>12</v>
      </c>
      <c r="B176" s="7">
        <f>(Deviation_sequence!$B$233 + 0.5 *Deviation_sequence!$B$232) / (Deviation_sequence!B176 + 0.5 * Deviation_sequence!$B$232)</f>
        <v>0.9298712899</v>
      </c>
      <c r="C176" s="7">
        <f>(Deviation_sequence!$B$233 + 0.5 *Deviation_sequence!$B$232) / (Deviation_sequence!C176 + 0.5 * Deviation_sequence!$B$232)</f>
        <v>0.9503270686</v>
      </c>
      <c r="D176" s="7">
        <f>(Deviation_sequence!$B$233 + 0.5 *Deviation_sequence!$B$232) / (Deviation_sequence!D176 + 0.5 * Deviation_sequence!$B$232)</f>
        <v>0.9644411376</v>
      </c>
      <c r="E176" s="7">
        <f>(Deviation_sequence!$B$233 + 0.5 *Deviation_sequence!$B$232) / (Deviation_sequence!E176 + 0.5 * Deviation_sequence!$B$232)</f>
        <v>0.9749438552</v>
      </c>
      <c r="F176" s="7">
        <f>(Deviation_sequence!$B$233 + 0.5 *Deviation_sequence!$B$232) / (Deviation_sequence!F176 + 0.5 * Deviation_sequence!$B$232)</f>
        <v>0.9881434765</v>
      </c>
      <c r="G176" s="7">
        <f>(Deviation_sequence!$B$233 + 0.5 *Deviation_sequence!$B$232) / (Deviation_sequence!G176 + 0.5 * Deviation_sequence!$B$232)</f>
        <v>0.954632037</v>
      </c>
      <c r="H176" s="7">
        <f>(Deviation_sequence!$B$233 + 0.5 *Deviation_sequence!$B$232) / (Deviation_sequence!H176 + 0.5 * Deviation_sequence!$B$232)</f>
        <v>0.9604592122</v>
      </c>
      <c r="I176" s="7">
        <f>(Deviation_sequence!$B$233 + 0.5 *Deviation_sequence!$B$232) / (Deviation_sequence!I176 + 0.5 * Deviation_sequence!$B$232)</f>
        <v>0.9222531246</v>
      </c>
      <c r="J176" s="7">
        <f>(Deviation_sequence!$B$233 + 0.5 *Deviation_sequence!$B$232) / (Deviation_sequence!J176 + 0.5 * Deviation_sequence!$B$232)</f>
        <v>0.606118031</v>
      </c>
      <c r="K176" s="7">
        <f>(Deviation_sequence!$B$233 + 0.5 *Deviation_sequence!$B$232) / (Deviation_sequence!K176 + 0.5 * Deviation_sequence!$B$232)</f>
        <v>0.5976534514</v>
      </c>
      <c r="L176" s="7">
        <f>(Deviation_sequence!$B$233 + 0.5 *Deviation_sequence!$B$232) / (Deviation_sequence!L176 + 0.5 * Deviation_sequence!$B$232)</f>
        <v>0.626036935</v>
      </c>
      <c r="M176" s="7">
        <f>(Deviation_sequence!$B$233 + 0.5 *Deviation_sequence!$B$232) / (Deviation_sequence!M176 + 0.5 * Deviation_sequence!$B$232)</f>
        <v>0.5145785009</v>
      </c>
      <c r="O176" s="7">
        <f t="shared" si="6"/>
        <v>0.8324548433</v>
      </c>
    </row>
    <row r="177">
      <c r="A177" s="10" t="s">
        <v>13</v>
      </c>
      <c r="B177" s="7">
        <f>(Deviation_sequence!$B$233 + 0.5 *Deviation_sequence!$B$232) / (Deviation_sequence!B177 + 0.5 * Deviation_sequence!$B$232)</f>
        <v>0.5529204519</v>
      </c>
      <c r="C177" s="7">
        <f>(Deviation_sequence!$B$233 + 0.5 *Deviation_sequence!$B$232) / (Deviation_sequence!C177 + 0.5 * Deviation_sequence!$B$232)</f>
        <v>0.5318178104</v>
      </c>
      <c r="D177" s="7">
        <f>(Deviation_sequence!$B$233 + 0.5 *Deviation_sequence!$B$232) / (Deviation_sequence!D177 + 0.5 * Deviation_sequence!$B$232)</f>
        <v>0.5488992159</v>
      </c>
      <c r="E177" s="7">
        <f>(Deviation_sequence!$B$233 + 0.5 *Deviation_sequence!$B$232) / (Deviation_sequence!E177 + 0.5 * Deviation_sequence!$B$232)</f>
        <v>0.5694209968</v>
      </c>
      <c r="F177" s="7">
        <f>(Deviation_sequence!$B$233 + 0.5 *Deviation_sequence!$B$232) / (Deviation_sequence!F177 + 0.5 * Deviation_sequence!$B$232)</f>
        <v>0.5268416815</v>
      </c>
      <c r="G177" s="7">
        <f>(Deviation_sequence!$B$233 + 0.5 *Deviation_sequence!$B$232) / (Deviation_sequence!G177 + 0.5 * Deviation_sequence!$B$232)</f>
        <v>0.4042157761</v>
      </c>
      <c r="H177" s="7">
        <f>(Deviation_sequence!$B$233 + 0.5 *Deviation_sequence!$B$232) / (Deviation_sequence!H177 + 0.5 * Deviation_sequence!$B$232)</f>
        <v>0.4663075381</v>
      </c>
      <c r="I177" s="7">
        <f>(Deviation_sequence!$B$233 + 0.5 *Deviation_sequence!$B$232) / (Deviation_sequence!I177 + 0.5 * Deviation_sequence!$B$232)</f>
        <v>0.4259458401</v>
      </c>
      <c r="J177" s="7">
        <f>(Deviation_sequence!$B$233 + 0.5 *Deviation_sequence!$B$232) / (Deviation_sequence!J177 + 0.5 * Deviation_sequence!$B$232)</f>
        <v>0.4204169734</v>
      </c>
      <c r="K177" s="7">
        <f>(Deviation_sequence!$B$233 + 0.5 *Deviation_sequence!$B$232) / (Deviation_sequence!K177 + 0.5 * Deviation_sequence!$B$232)</f>
        <v>0.3944154067</v>
      </c>
      <c r="L177" s="7">
        <f>(Deviation_sequence!$B$233 + 0.5 *Deviation_sequence!$B$232) / (Deviation_sequence!L177 + 0.5 * Deviation_sequence!$B$232)</f>
        <v>0.4499660132</v>
      </c>
      <c r="M177" s="7">
        <f>(Deviation_sequence!$B$233 + 0.5 *Deviation_sequence!$B$232) / (Deviation_sequence!M177 + 0.5 * Deviation_sequence!$B$232)</f>
        <v>0.4313247349</v>
      </c>
      <c r="O177" s="7">
        <f t="shared" si="6"/>
        <v>0.4768743699</v>
      </c>
    </row>
    <row r="178">
      <c r="A178" s="10" t="s">
        <v>14</v>
      </c>
      <c r="B178" s="7">
        <f>(Deviation_sequence!$B$233 + 0.5 *Deviation_sequence!$B$232) / (Deviation_sequence!B178 + 0.5 * Deviation_sequence!$B$232)</f>
        <v>0.4776151038</v>
      </c>
      <c r="C178" s="7">
        <f>(Deviation_sequence!$B$233 + 0.5 *Deviation_sequence!$B$232) / (Deviation_sequence!C178 + 0.5 * Deviation_sequence!$B$232)</f>
        <v>0.4804492606</v>
      </c>
      <c r="D178" s="7">
        <f>(Deviation_sequence!$B$233 + 0.5 *Deviation_sequence!$B$232) / (Deviation_sequence!D178 + 0.5 * Deviation_sequence!$B$232)</f>
        <v>0.4682949222</v>
      </c>
      <c r="E178" s="7">
        <f>(Deviation_sequence!$B$233 + 0.5 *Deviation_sequence!$B$232) / (Deviation_sequence!E178 + 0.5 * Deviation_sequence!$B$232)</f>
        <v>0.6897484228</v>
      </c>
      <c r="F178" s="7">
        <f>(Deviation_sequence!$B$233 + 0.5 *Deviation_sequence!$B$232) / (Deviation_sequence!F178 + 0.5 * Deviation_sequence!$B$232)</f>
        <v>0.6425389248</v>
      </c>
      <c r="G178" s="7">
        <f>(Deviation_sequence!$B$233 + 0.5 *Deviation_sequence!$B$232) / (Deviation_sequence!G178 + 0.5 * Deviation_sequence!$B$232)</f>
        <v>0.4242960921</v>
      </c>
      <c r="H178" s="7">
        <f>(Deviation_sequence!$B$233 + 0.5 *Deviation_sequence!$B$232) / (Deviation_sequence!H178 + 0.5 * Deviation_sequence!$B$232)</f>
        <v>0.4797870499</v>
      </c>
      <c r="I178" s="7">
        <f>(Deviation_sequence!$B$233 + 0.5 *Deviation_sequence!$B$232) / (Deviation_sequence!I178 + 0.5 * Deviation_sequence!$B$232)</f>
        <v>0.4541856796</v>
      </c>
      <c r="J178" s="7">
        <f>(Deviation_sequence!$B$233 + 0.5 *Deviation_sequence!$B$232) / (Deviation_sequence!J178 + 0.5 * Deviation_sequence!$B$232)</f>
        <v>0.4415128266</v>
      </c>
      <c r="K178" s="7">
        <f>(Deviation_sequence!$B$233 + 0.5 *Deviation_sequence!$B$232) / (Deviation_sequence!K178 + 0.5 * Deviation_sequence!$B$232)</f>
        <v>0.5055099459</v>
      </c>
      <c r="L178" s="7">
        <f>(Deviation_sequence!$B$233 + 0.5 *Deviation_sequence!$B$232) / (Deviation_sequence!L178 + 0.5 * Deviation_sequence!$B$232)</f>
        <v>0.5329625668</v>
      </c>
      <c r="M178" s="7">
        <f>(Deviation_sequence!$B$233 + 0.5 *Deviation_sequence!$B$232) / (Deviation_sequence!M178 + 0.5 * Deviation_sequence!$B$232)</f>
        <v>0.4679859388</v>
      </c>
      <c r="O178" s="7">
        <f t="shared" si="6"/>
        <v>0.5054072278</v>
      </c>
    </row>
    <row r="179">
      <c r="A179" s="10" t="s">
        <v>15</v>
      </c>
      <c r="B179" s="7">
        <f>(Deviation_sequence!$B$233 + 0.5 *Deviation_sequence!$B$232) / (Deviation_sequence!B179 + 0.5 * Deviation_sequence!$B$232)</f>
        <v>0.6896283733</v>
      </c>
      <c r="C179" s="7">
        <f>(Deviation_sequence!$B$233 + 0.5 *Deviation_sequence!$B$232) / (Deviation_sequence!C179 + 0.5 * Deviation_sequence!$B$232)</f>
        <v>0.7959453129</v>
      </c>
      <c r="D179" s="7">
        <f>(Deviation_sequence!$B$233 + 0.5 *Deviation_sequence!$B$232) / (Deviation_sequence!D179 + 0.5 * Deviation_sequence!$B$232)</f>
        <v>0.7169010414</v>
      </c>
      <c r="E179" s="7">
        <f>(Deviation_sequence!$B$233 + 0.5 *Deviation_sequence!$B$232) / (Deviation_sequence!E179 + 0.5 * Deviation_sequence!$B$232)</f>
        <v>0.5496498398</v>
      </c>
      <c r="F179" s="7">
        <f>(Deviation_sequence!$B$233 + 0.5 *Deviation_sequence!$B$232) / (Deviation_sequence!F179 + 0.5 * Deviation_sequence!$B$232)</f>
        <v>0.5812038388</v>
      </c>
      <c r="G179" s="7">
        <f>(Deviation_sequence!$B$233 + 0.5 *Deviation_sequence!$B$232) / (Deviation_sequence!G179 + 0.5 * Deviation_sequence!$B$232)</f>
        <v>0.474153226</v>
      </c>
      <c r="H179" s="7">
        <f>(Deviation_sequence!$B$233 + 0.5 *Deviation_sequence!$B$232) / (Deviation_sequence!H179 + 0.5 * Deviation_sequence!$B$232)</f>
        <v>0.7926721191</v>
      </c>
      <c r="I179" s="7">
        <f>(Deviation_sequence!$B$233 + 0.5 *Deviation_sequence!$B$232) / (Deviation_sequence!I179 + 0.5 * Deviation_sequence!$B$232)</f>
        <v>0.7206478062</v>
      </c>
      <c r="J179" s="7">
        <f>(Deviation_sequence!$B$233 + 0.5 *Deviation_sequence!$B$232) / (Deviation_sequence!J179 + 0.5 * Deviation_sequence!$B$232)</f>
        <v>0.8775441917</v>
      </c>
      <c r="K179" s="7">
        <f>(Deviation_sequence!$B$233 + 0.5 *Deviation_sequence!$B$232) / (Deviation_sequence!K179 + 0.5 * Deviation_sequence!$B$232)</f>
        <v>0.6837596944</v>
      </c>
      <c r="L179" s="7">
        <f>(Deviation_sequence!$B$233 + 0.5 *Deviation_sequence!$B$232) / (Deviation_sequence!L179 + 0.5 * Deviation_sequence!$B$232)</f>
        <v>0.6816245272</v>
      </c>
      <c r="M179" s="7">
        <f>(Deviation_sequence!$B$233 + 0.5 *Deviation_sequence!$B$232) / (Deviation_sequence!M179 + 0.5 * Deviation_sequence!$B$232)</f>
        <v>0.862129811</v>
      </c>
      <c r="O179" s="7">
        <f t="shared" si="6"/>
        <v>0.7021549818</v>
      </c>
    </row>
    <row r="180">
      <c r="A180" s="10" t="s">
        <v>16</v>
      </c>
      <c r="B180" s="7">
        <f>(Deviation_sequence!$B$233 + 0.5 *Deviation_sequence!$B$232) / (Deviation_sequence!B180 + 0.5 * Deviation_sequence!$B$232)</f>
        <v>0.6785287085</v>
      </c>
      <c r="C180" s="7">
        <f>(Deviation_sequence!$B$233 + 0.5 *Deviation_sequence!$B$232) / (Deviation_sequence!C180 + 0.5 * Deviation_sequence!$B$232)</f>
        <v>0.6428773108</v>
      </c>
      <c r="D180" s="7">
        <f>(Deviation_sequence!$B$233 + 0.5 *Deviation_sequence!$B$232) / (Deviation_sequence!D180 + 0.5 * Deviation_sequence!$B$232)</f>
        <v>0.8865585361</v>
      </c>
      <c r="E180" s="7">
        <f>(Deviation_sequence!$B$233 + 0.5 *Deviation_sequence!$B$232) / (Deviation_sequence!E180 + 0.5 * Deviation_sequence!$B$232)</f>
        <v>0.9993702616</v>
      </c>
      <c r="F180" s="7">
        <f>(Deviation_sequence!$B$233 + 0.5 *Deviation_sequence!$B$232) / (Deviation_sequence!F180 + 0.5 * Deviation_sequence!$B$232)</f>
        <v>0.945045326</v>
      </c>
      <c r="G180" s="7">
        <f>(Deviation_sequence!$B$233 + 0.5 *Deviation_sequence!$B$232) / (Deviation_sequence!G180 + 0.5 * Deviation_sequence!$B$232)</f>
        <v>0.766062192</v>
      </c>
      <c r="H180" s="7">
        <f>(Deviation_sequence!$B$233 + 0.5 *Deviation_sequence!$B$232) / (Deviation_sequence!H180 + 0.5 * Deviation_sequence!$B$232)</f>
        <v>0.9934101396</v>
      </c>
      <c r="I180" s="7">
        <f>(Deviation_sequence!$B$233 + 0.5 *Deviation_sequence!$B$232) / (Deviation_sequence!I180 + 0.5 * Deviation_sequence!$B$232)</f>
        <v>0.8637978652</v>
      </c>
      <c r="J180" s="7">
        <f>(Deviation_sequence!$B$233 + 0.5 *Deviation_sequence!$B$232) / (Deviation_sequence!J180 + 0.5 * Deviation_sequence!$B$232)</f>
        <v>0.7538065995</v>
      </c>
      <c r="K180" s="7">
        <f>(Deviation_sequence!$B$233 + 0.5 *Deviation_sequence!$B$232) / (Deviation_sequence!K180 + 0.5 * Deviation_sequence!$B$232)</f>
        <v>0.6262469674</v>
      </c>
      <c r="L180" s="7">
        <f>(Deviation_sequence!$B$233 + 0.5 *Deviation_sequence!$B$232) / (Deviation_sequence!L180 + 0.5 * Deviation_sequence!$B$232)</f>
        <v>0.8427661717</v>
      </c>
      <c r="M180" s="7">
        <f>(Deviation_sequence!$B$233 + 0.5 *Deviation_sequence!$B$232) / (Deviation_sequence!M180 + 0.5 * Deviation_sequence!$B$232)</f>
        <v>0.5447365891</v>
      </c>
      <c r="O180" s="7">
        <f t="shared" si="6"/>
        <v>0.7952672223</v>
      </c>
    </row>
    <row r="181">
      <c r="A181" s="10" t="s">
        <v>17</v>
      </c>
      <c r="B181" s="7">
        <f>(Deviation_sequence!$B$233 + 0.5 *Deviation_sequence!$B$232) / (Deviation_sequence!B181 + 0.5 * Deviation_sequence!$B$232)</f>
        <v>0.3828154088</v>
      </c>
      <c r="C181" s="7">
        <f>(Deviation_sequence!$B$233 + 0.5 *Deviation_sequence!$B$232) / (Deviation_sequence!C181 + 0.5 * Deviation_sequence!$B$232)</f>
        <v>0.4163584925</v>
      </c>
      <c r="D181" s="7">
        <f>(Deviation_sequence!$B$233 + 0.5 *Deviation_sequence!$B$232) / (Deviation_sequence!D181 + 0.5 * Deviation_sequence!$B$232)</f>
        <v>0.383224916</v>
      </c>
      <c r="E181" s="7">
        <f>(Deviation_sequence!$B$233 + 0.5 *Deviation_sequence!$B$232) / (Deviation_sequence!E181 + 0.5 * Deviation_sequence!$B$232)</f>
        <v>0.3807823762</v>
      </c>
      <c r="F181" s="7">
        <f>(Deviation_sequence!$B$233 + 0.5 *Deviation_sequence!$B$232) / (Deviation_sequence!F181 + 0.5 * Deviation_sequence!$B$232)</f>
        <v>0.3845431412</v>
      </c>
      <c r="G181" s="7">
        <f>(Deviation_sequence!$B$233 + 0.5 *Deviation_sequence!$B$232) / (Deviation_sequence!G181 + 0.5 * Deviation_sequence!$B$232)</f>
        <v>0.3429767318</v>
      </c>
      <c r="H181" s="7">
        <f>(Deviation_sequence!$B$233 + 0.5 *Deviation_sequence!$B$232) / (Deviation_sequence!H181 + 0.5 * Deviation_sequence!$B$232)</f>
        <v>0.3706464613</v>
      </c>
      <c r="I181" s="7">
        <f>(Deviation_sequence!$B$233 + 0.5 *Deviation_sequence!$B$232) / (Deviation_sequence!I181 + 0.5 * Deviation_sequence!$B$232)</f>
        <v>0.3783696462</v>
      </c>
      <c r="J181" s="7">
        <f>(Deviation_sequence!$B$233 + 0.5 *Deviation_sequence!$B$232) / (Deviation_sequence!J181 + 0.5 * Deviation_sequence!$B$232)</f>
        <v>0.3737386217</v>
      </c>
      <c r="K181" s="7">
        <f>(Deviation_sequence!$B$233 + 0.5 *Deviation_sequence!$B$232) / (Deviation_sequence!K181 + 0.5 * Deviation_sequence!$B$232)</f>
        <v>0.3541029269</v>
      </c>
      <c r="L181" s="7">
        <f>(Deviation_sequence!$B$233 + 0.5 *Deviation_sequence!$B$232) / (Deviation_sequence!L181 + 0.5 * Deviation_sequence!$B$232)</f>
        <v>0.3871400172</v>
      </c>
      <c r="M181" s="7">
        <f>(Deviation_sequence!$B$233 + 0.5 *Deviation_sequence!$B$232) / (Deviation_sequence!M181 + 0.5 * Deviation_sequence!$B$232)</f>
        <v>0.3784379825</v>
      </c>
      <c r="O181" s="7">
        <f t="shared" si="6"/>
        <v>0.3777613935</v>
      </c>
    </row>
    <row r="182">
      <c r="A182" s="10" t="s">
        <v>18</v>
      </c>
      <c r="B182" s="7">
        <f>(Deviation_sequence!$B$233 + 0.5 *Deviation_sequence!$B$232) / (Deviation_sequence!B182 + 0.5 * Deviation_sequence!$B$232)</f>
        <v>0.3914962322</v>
      </c>
      <c r="C182" s="7">
        <f>(Deviation_sequence!$B$233 + 0.5 *Deviation_sequence!$B$232) / (Deviation_sequence!C182 + 0.5 * Deviation_sequence!$B$232)</f>
        <v>0.3851050978</v>
      </c>
      <c r="D182" s="7">
        <f>(Deviation_sequence!$B$233 + 0.5 *Deviation_sequence!$B$232) / (Deviation_sequence!D182 + 0.5 * Deviation_sequence!$B$232)</f>
        <v>0.3666602269</v>
      </c>
      <c r="E182" s="7">
        <f>(Deviation_sequence!$B$233 + 0.5 *Deviation_sequence!$B$232) / (Deviation_sequence!E182 + 0.5 * Deviation_sequence!$B$232)</f>
        <v>0.3573432894</v>
      </c>
      <c r="F182" s="7">
        <f>(Deviation_sequence!$B$233 + 0.5 *Deviation_sequence!$B$232) / (Deviation_sequence!F182 + 0.5 * Deviation_sequence!$B$232)</f>
        <v>0.3874294866</v>
      </c>
      <c r="G182" s="7">
        <f>(Deviation_sequence!$B$233 + 0.5 *Deviation_sequence!$B$232) / (Deviation_sequence!G182 + 0.5 * Deviation_sequence!$B$232)</f>
        <v>0.3333882737</v>
      </c>
      <c r="H182" s="7">
        <f>(Deviation_sequence!$B$233 + 0.5 *Deviation_sequence!$B$232) / (Deviation_sequence!H182 + 0.5 * Deviation_sequence!$B$232)</f>
        <v>0.345322471</v>
      </c>
      <c r="I182" s="7">
        <f>(Deviation_sequence!$B$233 + 0.5 *Deviation_sequence!$B$232) / (Deviation_sequence!I182 + 0.5 * Deviation_sequence!$B$232)</f>
        <v>0.355184389</v>
      </c>
      <c r="J182" s="7">
        <f>(Deviation_sequence!$B$233 + 0.5 *Deviation_sequence!$B$232) / (Deviation_sequence!J182 + 0.5 * Deviation_sequence!$B$232)</f>
        <v>0.3531708683</v>
      </c>
      <c r="K182" s="7">
        <f>(Deviation_sequence!$B$233 + 0.5 *Deviation_sequence!$B$232) / (Deviation_sequence!K182 + 0.5 * Deviation_sequence!$B$232)</f>
        <v>0.3538658915</v>
      </c>
      <c r="L182" s="7">
        <f>(Deviation_sequence!$B$233 + 0.5 *Deviation_sequence!$B$232) / (Deviation_sequence!L182 + 0.5 * Deviation_sequence!$B$232)</f>
        <v>0.3613087221</v>
      </c>
      <c r="M182" s="7">
        <f>(Deviation_sequence!$B$233 + 0.5 *Deviation_sequence!$B$232) / (Deviation_sequence!M182 + 0.5 * Deviation_sequence!$B$232)</f>
        <v>0.3546241191</v>
      </c>
      <c r="O182" s="7">
        <f t="shared" si="6"/>
        <v>0.3620749223</v>
      </c>
    </row>
    <row r="183">
      <c r="A183" s="10" t="s">
        <v>19</v>
      </c>
      <c r="B183" s="7">
        <f>(Deviation_sequence!$B$233 + 0.5 *Deviation_sequence!$B$232) / (Deviation_sequence!B183 + 0.5 * Deviation_sequence!$B$232)</f>
        <v>0.3999375874</v>
      </c>
      <c r="C183" s="7">
        <f>(Deviation_sequence!$B$233 + 0.5 *Deviation_sequence!$B$232) / (Deviation_sequence!C183 + 0.5 * Deviation_sequence!$B$232)</f>
        <v>0.4316987831</v>
      </c>
      <c r="D183" s="7">
        <f>(Deviation_sequence!$B$233 + 0.5 *Deviation_sequence!$B$232) / (Deviation_sequence!D183 + 0.5 * Deviation_sequence!$B$232)</f>
        <v>0.3960303905</v>
      </c>
      <c r="E183" s="7">
        <f>(Deviation_sequence!$B$233 + 0.5 *Deviation_sequence!$B$232) / (Deviation_sequence!E183 + 0.5 * Deviation_sequence!$B$232)</f>
        <v>0.4141193256</v>
      </c>
      <c r="F183" s="7">
        <f>(Deviation_sequence!$B$233 + 0.5 *Deviation_sequence!$B$232) / (Deviation_sequence!F183 + 0.5 * Deviation_sequence!$B$232)</f>
        <v>0.4391787928</v>
      </c>
      <c r="G183" s="7">
        <f>(Deviation_sequence!$B$233 + 0.5 *Deviation_sequence!$B$232) / (Deviation_sequence!G183 + 0.5 * Deviation_sequence!$B$232)</f>
        <v>0.3725531851</v>
      </c>
      <c r="H183" s="7">
        <f>(Deviation_sequence!$B$233 + 0.5 *Deviation_sequence!$B$232) / (Deviation_sequence!H183 + 0.5 * Deviation_sequence!$B$232)</f>
        <v>0.3939708214</v>
      </c>
      <c r="I183" s="7">
        <f>(Deviation_sequence!$B$233 + 0.5 *Deviation_sequence!$B$232) / (Deviation_sequence!I183 + 0.5 * Deviation_sequence!$B$232)</f>
        <v>0.4539165484</v>
      </c>
      <c r="J183" s="7">
        <f>(Deviation_sequence!$B$233 + 0.5 *Deviation_sequence!$B$232) / (Deviation_sequence!J183 + 0.5 * Deviation_sequence!$B$232)</f>
        <v>0.4270335674</v>
      </c>
      <c r="K183" s="7">
        <f>(Deviation_sequence!$B$233 + 0.5 *Deviation_sequence!$B$232) / (Deviation_sequence!K183 + 0.5 * Deviation_sequence!$B$232)</f>
        <v>0.3878499568</v>
      </c>
      <c r="L183" s="7">
        <f>(Deviation_sequence!$B$233 + 0.5 *Deviation_sequence!$B$232) / (Deviation_sequence!L183 + 0.5 * Deviation_sequence!$B$232)</f>
        <v>0.4138407618</v>
      </c>
      <c r="M183" s="7">
        <f>(Deviation_sequence!$B$233 + 0.5 *Deviation_sequence!$B$232) / (Deviation_sequence!M183 + 0.5 * Deviation_sequence!$B$232)</f>
        <v>0.3797518571</v>
      </c>
      <c r="O183" s="7">
        <f t="shared" si="6"/>
        <v>0.4091567981</v>
      </c>
    </row>
    <row r="184">
      <c r="A184" s="10" t="s">
        <v>20</v>
      </c>
      <c r="B184" s="7">
        <f>(Deviation_sequence!$B$233 + 0.5 *Deviation_sequence!$B$232) / (Deviation_sequence!B184 + 0.5 * Deviation_sequence!$B$232)</f>
        <v>0.383450188</v>
      </c>
      <c r="C184" s="7">
        <f>(Deviation_sequence!$B$233 + 0.5 *Deviation_sequence!$B$232) / (Deviation_sequence!C184 + 0.5 * Deviation_sequence!$B$232)</f>
        <v>0.4001011545</v>
      </c>
      <c r="D184" s="7">
        <f>(Deviation_sequence!$B$233 + 0.5 *Deviation_sequence!$B$232) / (Deviation_sequence!D184 + 0.5 * Deviation_sequence!$B$232)</f>
        <v>0.3619159303</v>
      </c>
      <c r="E184" s="7">
        <f>(Deviation_sequence!$B$233 + 0.5 *Deviation_sequence!$B$232) / (Deviation_sequence!E184 + 0.5 * Deviation_sequence!$B$232)</f>
        <v>0.3625365238</v>
      </c>
      <c r="F184" s="7">
        <f>(Deviation_sequence!$B$233 + 0.5 *Deviation_sequence!$B$232) / (Deviation_sequence!F184 + 0.5 * Deviation_sequence!$B$232)</f>
        <v>0.3618493576</v>
      </c>
      <c r="G184" s="7">
        <f>(Deviation_sequence!$B$233 + 0.5 *Deviation_sequence!$B$232) / (Deviation_sequence!G184 + 0.5 * Deviation_sequence!$B$232)</f>
        <v>0.3418464193</v>
      </c>
      <c r="H184" s="7">
        <f>(Deviation_sequence!$B$233 + 0.5 *Deviation_sequence!$B$232) / (Deviation_sequence!H184 + 0.5 * Deviation_sequence!$B$232)</f>
        <v>0.367493785</v>
      </c>
      <c r="I184" s="7">
        <f>(Deviation_sequence!$B$233 + 0.5 *Deviation_sequence!$B$232) / (Deviation_sequence!I184 + 0.5 * Deviation_sequence!$B$232)</f>
        <v>0.3763561954</v>
      </c>
      <c r="J184" s="7">
        <f>(Deviation_sequence!$B$233 + 0.5 *Deviation_sequence!$B$232) / (Deviation_sequence!J184 + 0.5 * Deviation_sequence!$B$232)</f>
        <v>0.3844946741</v>
      </c>
      <c r="K184" s="7">
        <f>(Deviation_sequence!$B$233 + 0.5 *Deviation_sequence!$B$232) / (Deviation_sequence!K184 + 0.5 * Deviation_sequence!$B$232)</f>
        <v>0.369059051</v>
      </c>
      <c r="L184" s="7">
        <f>(Deviation_sequence!$B$233 + 0.5 *Deviation_sequence!$B$232) / (Deviation_sequence!L184 + 0.5 * Deviation_sequence!$B$232)</f>
        <v>0.3787747006</v>
      </c>
      <c r="M184" s="7">
        <f>(Deviation_sequence!$B$233 + 0.5 *Deviation_sequence!$B$232) / (Deviation_sequence!M184 + 0.5 * Deviation_sequence!$B$232)</f>
        <v>0.362424455</v>
      </c>
      <c r="O184" s="7">
        <f t="shared" si="6"/>
        <v>0.3708585362</v>
      </c>
    </row>
    <row r="185">
      <c r="A185" s="10" t="s">
        <v>21</v>
      </c>
      <c r="B185" s="7">
        <f>(Deviation_sequence!$B$233 + 0.5 *Deviation_sequence!$B$232) / (Deviation_sequence!B185 + 0.5 * Deviation_sequence!$B$232)</f>
        <v>0.6018213652</v>
      </c>
      <c r="C185" s="7">
        <f>(Deviation_sequence!$B$233 + 0.5 *Deviation_sequence!$B$232) / (Deviation_sequence!C185 + 0.5 * Deviation_sequence!$B$232)</f>
        <v>0.6096509199</v>
      </c>
      <c r="D185" s="7">
        <f>(Deviation_sequence!$B$233 + 0.5 *Deviation_sequence!$B$232) / (Deviation_sequence!D185 + 0.5 * Deviation_sequence!$B$232)</f>
        <v>0.4507597088</v>
      </c>
      <c r="E185" s="7">
        <f>(Deviation_sequence!$B$233 + 0.5 *Deviation_sequence!$B$232) / (Deviation_sequence!E185 + 0.5 * Deviation_sequence!$B$232)</f>
        <v>0.4687566348</v>
      </c>
      <c r="F185" s="7">
        <f>(Deviation_sequence!$B$233 + 0.5 *Deviation_sequence!$B$232) / (Deviation_sequence!F185 + 0.5 * Deviation_sequence!$B$232)</f>
        <v>0.4315111088</v>
      </c>
      <c r="G185" s="7">
        <f>(Deviation_sequence!$B$233 + 0.5 *Deviation_sequence!$B$232) / (Deviation_sequence!G185 + 0.5 * Deviation_sequence!$B$232)</f>
        <v>0.3920336422</v>
      </c>
      <c r="H185" s="7">
        <f>(Deviation_sequence!$B$233 + 0.5 *Deviation_sequence!$B$232) / (Deviation_sequence!H185 + 0.5 * Deviation_sequence!$B$232)</f>
        <v>0.4287491105</v>
      </c>
      <c r="I185" s="7">
        <f>(Deviation_sequence!$B$233 + 0.5 *Deviation_sequence!$B$232) / (Deviation_sequence!I185 + 0.5 * Deviation_sequence!$B$232)</f>
        <v>0.4448804685</v>
      </c>
      <c r="J185" s="7">
        <f>(Deviation_sequence!$B$233 + 0.5 *Deviation_sequence!$B$232) / (Deviation_sequence!J185 + 0.5 * Deviation_sequence!$B$232)</f>
        <v>0.4888197851</v>
      </c>
      <c r="K185" s="7">
        <f>(Deviation_sequence!$B$233 + 0.5 *Deviation_sequence!$B$232) / (Deviation_sequence!K185 + 0.5 * Deviation_sequence!$B$232)</f>
        <v>0.4501271281</v>
      </c>
      <c r="L185" s="7">
        <f>(Deviation_sequence!$B$233 + 0.5 *Deviation_sequence!$B$232) / (Deviation_sequence!L185 + 0.5 * Deviation_sequence!$B$232)</f>
        <v>0.505797756</v>
      </c>
      <c r="M185" s="7">
        <f>(Deviation_sequence!$B$233 + 0.5 *Deviation_sequence!$B$232) / (Deviation_sequence!M185 + 0.5 * Deviation_sequence!$B$232)</f>
        <v>0.4538968479</v>
      </c>
      <c r="O185" s="7">
        <f t="shared" si="6"/>
        <v>0.4772337063</v>
      </c>
    </row>
    <row r="186">
      <c r="A186" s="10" t="s">
        <v>22</v>
      </c>
      <c r="B186" s="7">
        <f>(Deviation_sequence!$B$233 + 0.5 *Deviation_sequence!$B$232) / (Deviation_sequence!B186 + 0.5 * Deviation_sequence!$B$232)</f>
        <v>0.3775959349</v>
      </c>
      <c r="C186" s="7">
        <f>(Deviation_sequence!$B$233 + 0.5 *Deviation_sequence!$B$232) / (Deviation_sequence!C186 + 0.5 * Deviation_sequence!$B$232)</f>
        <v>0.4058920089</v>
      </c>
      <c r="D186" s="7">
        <f>(Deviation_sequence!$B$233 + 0.5 *Deviation_sequence!$B$232) / (Deviation_sequence!D186 + 0.5 * Deviation_sequence!$B$232)</f>
        <v>0.3794563882</v>
      </c>
      <c r="E186" s="7">
        <f>(Deviation_sequence!$B$233 + 0.5 *Deviation_sequence!$B$232) / (Deviation_sequence!E186 + 0.5 * Deviation_sequence!$B$232)</f>
        <v>0.4171994709</v>
      </c>
      <c r="F186" s="7">
        <f>(Deviation_sequence!$B$233 + 0.5 *Deviation_sequence!$B$232) / (Deviation_sequence!F186 + 0.5 * Deviation_sequence!$B$232)</f>
        <v>0.4369894802</v>
      </c>
      <c r="G186" s="7">
        <f>(Deviation_sequence!$B$233 + 0.5 *Deviation_sequence!$B$232) / (Deviation_sequence!G186 + 0.5 * Deviation_sequence!$B$232)</f>
        <v>0.3584957714</v>
      </c>
      <c r="H186" s="7">
        <f>(Deviation_sequence!$B$233 + 0.5 *Deviation_sequence!$B$232) / (Deviation_sequence!H186 + 0.5 * Deviation_sequence!$B$232)</f>
        <v>0.379616097</v>
      </c>
      <c r="I186" s="7">
        <f>(Deviation_sequence!$B$233 + 0.5 *Deviation_sequence!$B$232) / (Deviation_sequence!I186 + 0.5 * Deviation_sequence!$B$232)</f>
        <v>0.372838198</v>
      </c>
      <c r="J186" s="7">
        <f>(Deviation_sequence!$B$233 + 0.5 *Deviation_sequence!$B$232) / (Deviation_sequence!J186 + 0.5 * Deviation_sequence!$B$232)</f>
        <v>0.3707876569</v>
      </c>
      <c r="K186" s="7">
        <f>(Deviation_sequence!$B$233 + 0.5 *Deviation_sequence!$B$232) / (Deviation_sequence!K186 + 0.5 * Deviation_sequence!$B$232)</f>
        <v>0.3662125044</v>
      </c>
      <c r="L186" s="7">
        <f>(Deviation_sequence!$B$233 + 0.5 *Deviation_sequence!$B$232) / (Deviation_sequence!L186 + 0.5 * Deviation_sequence!$B$232)</f>
        <v>0.3446359837</v>
      </c>
      <c r="M186" s="7">
        <f>(Deviation_sequence!$B$233 + 0.5 *Deviation_sequence!$B$232) / (Deviation_sequence!M186 + 0.5 * Deviation_sequence!$B$232)</f>
        <v>0.3504197902</v>
      </c>
      <c r="O186" s="7">
        <f t="shared" si="6"/>
        <v>0.3800116071</v>
      </c>
    </row>
    <row r="187">
      <c r="A187" s="10" t="s">
        <v>23</v>
      </c>
      <c r="B187" s="7">
        <f>(Deviation_sequence!$B$233 + 0.5 *Deviation_sequence!$B$232) / (Deviation_sequence!B187 + 0.5 * Deviation_sequence!$B$232)</f>
        <v>0.3690420685</v>
      </c>
      <c r="C187" s="7">
        <f>(Deviation_sequence!$B$233 + 0.5 *Deviation_sequence!$B$232) / (Deviation_sequence!C187 + 0.5 * Deviation_sequence!$B$232)</f>
        <v>0.382082807</v>
      </c>
      <c r="D187" s="7">
        <f>(Deviation_sequence!$B$233 + 0.5 *Deviation_sequence!$B$232) / (Deviation_sequence!D187 + 0.5 * Deviation_sequence!$B$232)</f>
        <v>0.3691203908</v>
      </c>
      <c r="E187" s="7">
        <f>(Deviation_sequence!$B$233 + 0.5 *Deviation_sequence!$B$232) / (Deviation_sequence!E187 + 0.5 * Deviation_sequence!$B$232)</f>
        <v>0.3804648606</v>
      </c>
      <c r="F187" s="7">
        <f>(Deviation_sequence!$B$233 + 0.5 *Deviation_sequence!$B$232) / (Deviation_sequence!F187 + 0.5 * Deviation_sequence!$B$232)</f>
        <v>0.3773842425</v>
      </c>
      <c r="G187" s="7">
        <f>(Deviation_sequence!$B$233 + 0.5 *Deviation_sequence!$B$232) / (Deviation_sequence!G187 + 0.5 * Deviation_sequence!$B$232)</f>
        <v>0.3404981142</v>
      </c>
      <c r="H187" s="7">
        <f>(Deviation_sequence!$B$233 + 0.5 *Deviation_sequence!$B$232) / (Deviation_sequence!H187 + 0.5 * Deviation_sequence!$B$232)</f>
        <v>0.3657426854</v>
      </c>
      <c r="I187" s="7">
        <f>(Deviation_sequence!$B$233 + 0.5 *Deviation_sequence!$B$232) / (Deviation_sequence!I187 + 0.5 * Deviation_sequence!$B$232)</f>
        <v>0.3531084247</v>
      </c>
      <c r="J187" s="7">
        <f>(Deviation_sequence!$B$233 + 0.5 *Deviation_sequence!$B$232) / (Deviation_sequence!J187 + 0.5 * Deviation_sequence!$B$232)</f>
        <v>0.3655254458</v>
      </c>
      <c r="K187" s="7">
        <f>(Deviation_sequence!$B$233 + 0.5 *Deviation_sequence!$B$232) / (Deviation_sequence!K187 + 0.5 * Deviation_sequence!$B$232)</f>
        <v>0.3418972013</v>
      </c>
      <c r="L187" s="7">
        <f>(Deviation_sequence!$B$233 + 0.5 *Deviation_sequence!$B$232) / (Deviation_sequence!L187 + 0.5 * Deviation_sequence!$B$232)</f>
        <v>0.362807319</v>
      </c>
      <c r="M187" s="7">
        <f>(Deviation_sequence!$B$233 + 0.5 *Deviation_sequence!$B$232) / (Deviation_sequence!M187 + 0.5 * Deviation_sequence!$B$232)</f>
        <v>0.3496986887</v>
      </c>
      <c r="O187" s="7">
        <f t="shared" si="6"/>
        <v>0.363114354</v>
      </c>
    </row>
    <row r="188">
      <c r="A188" s="10" t="s">
        <v>24</v>
      </c>
      <c r="B188" s="7">
        <f>(Deviation_sequence!$B$233 + 0.5 *Deviation_sequence!$B$232) / (Deviation_sequence!B188 + 0.5 * Deviation_sequence!$B$232)</f>
        <v>0.8440703886</v>
      </c>
      <c r="C188" s="7">
        <f>(Deviation_sequence!$B$233 + 0.5 *Deviation_sequence!$B$232) / (Deviation_sequence!C188 + 0.5 * Deviation_sequence!$B$232)</f>
        <v>0.9187292376</v>
      </c>
      <c r="D188" s="7">
        <f>(Deviation_sequence!$B$233 + 0.5 *Deviation_sequence!$B$232) / (Deviation_sequence!D188 + 0.5 * Deviation_sequence!$B$232)</f>
        <v>0.5641056582</v>
      </c>
      <c r="E188" s="7">
        <f>(Deviation_sequence!$B$233 + 0.5 *Deviation_sequence!$B$232) / (Deviation_sequence!E188 + 0.5 * Deviation_sequence!$B$232)</f>
        <v>0.6071145486</v>
      </c>
      <c r="F188" s="7">
        <f>(Deviation_sequence!$B$233 + 0.5 *Deviation_sequence!$B$232) / (Deviation_sequence!F188 + 0.5 * Deviation_sequence!$B$232)</f>
        <v>0.5110145289</v>
      </c>
      <c r="G188" s="7">
        <f>(Deviation_sequence!$B$233 + 0.5 *Deviation_sequence!$B$232) / (Deviation_sequence!G188 + 0.5 * Deviation_sequence!$B$232)</f>
        <v>0.4037808718</v>
      </c>
      <c r="H188" s="7">
        <f>(Deviation_sequence!$B$233 + 0.5 *Deviation_sequence!$B$232) / (Deviation_sequence!H188 + 0.5 * Deviation_sequence!$B$232)</f>
        <v>0.4748644332</v>
      </c>
      <c r="I188" s="7">
        <f>(Deviation_sequence!$B$233 + 0.5 *Deviation_sequence!$B$232) / (Deviation_sequence!I188 + 0.5 * Deviation_sequence!$B$232)</f>
        <v>0.4912854313</v>
      </c>
      <c r="J188" s="7">
        <f>(Deviation_sequence!$B$233 + 0.5 *Deviation_sequence!$B$232) / (Deviation_sequence!J188 + 0.5 * Deviation_sequence!$B$232)</f>
        <v>0.5428341211</v>
      </c>
      <c r="K188" s="7">
        <f>(Deviation_sequence!$B$233 + 0.5 *Deviation_sequence!$B$232) / (Deviation_sequence!K188 + 0.5 * Deviation_sequence!$B$232)</f>
        <v>0.6914788969</v>
      </c>
      <c r="L188" s="7">
        <f>(Deviation_sequence!$B$233 + 0.5 *Deviation_sequence!$B$232) / (Deviation_sequence!L188 + 0.5 * Deviation_sequence!$B$232)</f>
        <v>0.8679242893</v>
      </c>
      <c r="M188" s="7">
        <f>(Deviation_sequence!$B$233 + 0.5 *Deviation_sequence!$B$232) / (Deviation_sequence!M188 + 0.5 * Deviation_sequence!$B$232)</f>
        <v>0.7953207985</v>
      </c>
      <c r="O188" s="7">
        <f t="shared" si="6"/>
        <v>0.642710267</v>
      </c>
    </row>
    <row r="189">
      <c r="A189" s="10" t="s">
        <v>25</v>
      </c>
      <c r="B189" s="7">
        <f>(Deviation_sequence!$B$233 + 0.5 *Deviation_sequence!$B$232) / (Deviation_sequence!B189 + 0.5 * Deviation_sequence!$B$232)</f>
        <v>0.3641336224</v>
      </c>
      <c r="C189" s="7">
        <f>(Deviation_sequence!$B$233 + 0.5 *Deviation_sequence!$B$232) / (Deviation_sequence!C189 + 0.5 * Deviation_sequence!$B$232)</f>
        <v>0.4421340406</v>
      </c>
      <c r="D189" s="7">
        <f>(Deviation_sequence!$B$233 + 0.5 *Deviation_sequence!$B$232) / (Deviation_sequence!D189 + 0.5 * Deviation_sequence!$B$232)</f>
        <v>0.3740493053</v>
      </c>
      <c r="E189" s="7">
        <f>(Deviation_sequence!$B$233 + 0.5 *Deviation_sequence!$B$232) / (Deviation_sequence!E189 + 0.5 * Deviation_sequence!$B$232)</f>
        <v>0.3913049576</v>
      </c>
      <c r="F189" s="7">
        <f>(Deviation_sequence!$B$233 + 0.5 *Deviation_sequence!$B$232) / (Deviation_sequence!F189 + 0.5 * Deviation_sequence!$B$232)</f>
        <v>0.5392093028</v>
      </c>
      <c r="G189" s="7">
        <f>(Deviation_sequence!$B$233 + 0.5 *Deviation_sequence!$B$232) / (Deviation_sequence!G189 + 0.5 * Deviation_sequence!$B$232)</f>
        <v>0.3553682599</v>
      </c>
      <c r="H189" s="7">
        <f>(Deviation_sequence!$B$233 + 0.5 *Deviation_sequence!$B$232) / (Deviation_sequence!H189 + 0.5 * Deviation_sequence!$B$232)</f>
        <v>0.3593451041</v>
      </c>
      <c r="I189" s="7">
        <f>(Deviation_sequence!$B$233 + 0.5 *Deviation_sequence!$B$232) / (Deviation_sequence!I189 + 0.5 * Deviation_sequence!$B$232)</f>
        <v>0.3649288892</v>
      </c>
      <c r="J189" s="7">
        <f>(Deviation_sequence!$B$233 + 0.5 *Deviation_sequence!$B$232) / (Deviation_sequence!J189 + 0.5 * Deviation_sequence!$B$232)</f>
        <v>0.3824814873</v>
      </c>
      <c r="K189" s="7">
        <f>(Deviation_sequence!$B$233 + 0.5 *Deviation_sequence!$B$232) / (Deviation_sequence!K189 + 0.5 * Deviation_sequence!$B$232)</f>
        <v>0.3649179117</v>
      </c>
      <c r="L189" s="7">
        <f>(Deviation_sequence!$B$233 + 0.5 *Deviation_sequence!$B$232) / (Deviation_sequence!L189 + 0.5 * Deviation_sequence!$B$232)</f>
        <v>0.3916722852</v>
      </c>
      <c r="M189" s="7">
        <f>(Deviation_sequence!$B$233 + 0.5 *Deviation_sequence!$B$232) / (Deviation_sequence!M189 + 0.5 * Deviation_sequence!$B$232)</f>
        <v>0.3927256814</v>
      </c>
      <c r="O189" s="7">
        <f t="shared" si="6"/>
        <v>0.3935225706</v>
      </c>
    </row>
    <row r="190">
      <c r="A190" s="10" t="s">
        <v>26</v>
      </c>
      <c r="B190" s="7">
        <f>(Deviation_sequence!$B$233 + 0.5 *Deviation_sequence!$B$232) / (Deviation_sequence!B190 + 0.5 * Deviation_sequence!$B$232)</f>
        <v>0.3524569663</v>
      </c>
      <c r="C190" s="7">
        <f>(Deviation_sequence!$B$233 + 0.5 *Deviation_sequence!$B$232) / (Deviation_sequence!C190 + 0.5 * Deviation_sequence!$B$232)</f>
        <v>0.3605737736</v>
      </c>
      <c r="D190" s="7">
        <f>(Deviation_sequence!$B$233 + 0.5 *Deviation_sequence!$B$232) / (Deviation_sequence!D190 + 0.5 * Deviation_sequence!$B$232)</f>
        <v>0.3428192563</v>
      </c>
      <c r="E190" s="7">
        <f>(Deviation_sequence!$B$233 + 0.5 *Deviation_sequence!$B$232) / (Deviation_sequence!E190 + 0.5 * Deviation_sequence!$B$232)</f>
        <v>0.3570769758</v>
      </c>
      <c r="F190" s="7">
        <f>(Deviation_sequence!$B$233 + 0.5 *Deviation_sequence!$B$232) / (Deviation_sequence!F190 + 0.5 * Deviation_sequence!$B$232)</f>
        <v>0.3710742104</v>
      </c>
      <c r="G190" s="7">
        <f>(Deviation_sequence!$B$233 + 0.5 *Deviation_sequence!$B$232) / (Deviation_sequence!G190 + 0.5 * Deviation_sequence!$B$232)</f>
        <v>0.3361674977</v>
      </c>
      <c r="H190" s="7">
        <f>(Deviation_sequence!$B$233 + 0.5 *Deviation_sequence!$B$232) / (Deviation_sequence!H190 + 0.5 * Deviation_sequence!$B$232)</f>
        <v>0.3425168568</v>
      </c>
      <c r="I190" s="7">
        <f>(Deviation_sequence!$B$233 + 0.5 *Deviation_sequence!$B$232) / (Deviation_sequence!I190 + 0.5 * Deviation_sequence!$B$232)</f>
        <v>0.3495582203</v>
      </c>
      <c r="J190" s="7">
        <f>(Deviation_sequence!$B$233 + 0.5 *Deviation_sequence!$B$232) / (Deviation_sequence!J190 + 0.5 * Deviation_sequence!$B$232)</f>
        <v>0.3534803103</v>
      </c>
      <c r="K190" s="7">
        <f>(Deviation_sequence!$B$233 + 0.5 *Deviation_sequence!$B$232) / (Deviation_sequence!K190 + 0.5 * Deviation_sequence!$B$232)</f>
        <v>0.3473854618</v>
      </c>
      <c r="L190" s="7">
        <f>(Deviation_sequence!$B$233 + 0.5 *Deviation_sequence!$B$232) / (Deviation_sequence!L190 + 0.5 * Deviation_sequence!$B$232)</f>
        <v>0.3421417683</v>
      </c>
      <c r="M190" s="7">
        <f>(Deviation_sequence!$B$233 + 0.5 *Deviation_sequence!$B$232) / (Deviation_sequence!M190 + 0.5 * Deviation_sequence!$B$232)</f>
        <v>0.3518647432</v>
      </c>
      <c r="O190" s="7">
        <f t="shared" si="6"/>
        <v>0.3505930034</v>
      </c>
    </row>
    <row r="191">
      <c r="A191" s="10" t="s">
        <v>27</v>
      </c>
      <c r="B191" s="7">
        <f>(Deviation_sequence!$B$233 + 0.5 *Deviation_sequence!$B$232) / (Deviation_sequence!B191 + 0.5 * Deviation_sequence!$B$232)</f>
        <v>0.540201664</v>
      </c>
      <c r="C191" s="7">
        <f>(Deviation_sequence!$B$233 + 0.5 *Deviation_sequence!$B$232) / (Deviation_sequence!C191 + 0.5 * Deviation_sequence!$B$232)</f>
        <v>0.6073501582</v>
      </c>
      <c r="D191" s="7">
        <f>(Deviation_sequence!$B$233 + 0.5 *Deviation_sequence!$B$232) / (Deviation_sequence!D191 + 0.5 * Deviation_sequence!$B$232)</f>
        <v>0.5417037157</v>
      </c>
      <c r="E191" s="7">
        <f>(Deviation_sequence!$B$233 + 0.5 *Deviation_sequence!$B$232) / (Deviation_sequence!E191 + 0.5 * Deviation_sequence!$B$232)</f>
        <v>0.741445944</v>
      </c>
      <c r="F191" s="7">
        <f>(Deviation_sequence!$B$233 + 0.5 *Deviation_sequence!$B$232) / (Deviation_sequence!F191 + 0.5 * Deviation_sequence!$B$232)</f>
        <v>0.782526726</v>
      </c>
      <c r="G191" s="7">
        <f>(Deviation_sequence!$B$233 + 0.5 *Deviation_sequence!$B$232) / (Deviation_sequence!G191 + 0.5 * Deviation_sequence!$B$232)</f>
        <v>0.491561707</v>
      </c>
      <c r="H191" s="7">
        <f>(Deviation_sequence!$B$233 + 0.5 *Deviation_sequence!$B$232) / (Deviation_sequence!H191 + 0.5 * Deviation_sequence!$B$232)</f>
        <v>0.5594978793</v>
      </c>
      <c r="I191" s="7">
        <f>(Deviation_sequence!$B$233 + 0.5 *Deviation_sequence!$B$232) / (Deviation_sequence!I191 + 0.5 * Deviation_sequence!$B$232)</f>
        <v>0.5063803458</v>
      </c>
      <c r="J191" s="7">
        <f>(Deviation_sequence!$B$233 + 0.5 *Deviation_sequence!$B$232) / (Deviation_sequence!J191 + 0.5 * Deviation_sequence!$B$232)</f>
        <v>0.477449766</v>
      </c>
      <c r="K191" s="7">
        <f>(Deviation_sequence!$B$233 + 0.5 *Deviation_sequence!$B$232) / (Deviation_sequence!K191 + 0.5 * Deviation_sequence!$B$232)</f>
        <v>0.506420448</v>
      </c>
      <c r="L191" s="7">
        <f>(Deviation_sequence!$B$233 + 0.5 *Deviation_sequence!$B$232) / (Deviation_sequence!L191 + 0.5 * Deviation_sequence!$B$232)</f>
        <v>0.5624029413</v>
      </c>
      <c r="M191" s="7">
        <f>(Deviation_sequence!$B$233 + 0.5 *Deviation_sequence!$B$232) / (Deviation_sequence!M191 + 0.5 * Deviation_sequence!$B$232)</f>
        <v>0.5598242492</v>
      </c>
      <c r="O191" s="7">
        <f t="shared" si="6"/>
        <v>0.5730637954</v>
      </c>
    </row>
    <row r="192">
      <c r="A192" s="10" t="s">
        <v>28</v>
      </c>
      <c r="B192" s="7">
        <f>(Deviation_sequence!$B$233 + 0.5 *Deviation_sequence!$B$232) / (Deviation_sequence!B192 + 0.5 * Deviation_sequence!$B$232)</f>
        <v>0.4063354549</v>
      </c>
      <c r="C192" s="7">
        <f>(Deviation_sequence!$B$233 + 0.5 *Deviation_sequence!$B$232) / (Deviation_sequence!C192 + 0.5 * Deviation_sequence!$B$232)</f>
        <v>0.3971964818</v>
      </c>
      <c r="D192" s="7">
        <f>(Deviation_sequence!$B$233 + 0.5 *Deviation_sequence!$B$232) / (Deviation_sequence!D192 + 0.5 * Deviation_sequence!$B$232)</f>
        <v>0.3777553559</v>
      </c>
      <c r="E192" s="7">
        <f>(Deviation_sequence!$B$233 + 0.5 *Deviation_sequence!$B$232) / (Deviation_sequence!E192 + 0.5 * Deviation_sequence!$B$232)</f>
        <v>0.4399633976</v>
      </c>
      <c r="F192" s="7">
        <f>(Deviation_sequence!$B$233 + 0.5 *Deviation_sequence!$B$232) / (Deviation_sequence!F192 + 0.5 * Deviation_sequence!$B$232)</f>
        <v>0.416313971</v>
      </c>
      <c r="G192" s="7">
        <f>(Deviation_sequence!$B$233 + 0.5 *Deviation_sequence!$B$232) / (Deviation_sequence!G192 + 0.5 * Deviation_sequence!$B$232)</f>
        <v>0.3615072393</v>
      </c>
      <c r="H192" s="7">
        <f>(Deviation_sequence!$B$233 + 0.5 *Deviation_sequence!$B$232) / (Deviation_sequence!H192 + 0.5 * Deviation_sequence!$B$232)</f>
        <v>0.3937309824</v>
      </c>
      <c r="I192" s="7">
        <f>(Deviation_sequence!$B$233 + 0.5 *Deviation_sequence!$B$232) / (Deviation_sequence!I192 + 0.5 * Deviation_sequence!$B$232)</f>
        <v>0.3911441735</v>
      </c>
      <c r="J192" s="7">
        <f>(Deviation_sequence!$B$233 + 0.5 *Deviation_sequence!$B$232) / (Deviation_sequence!J192 + 0.5 * Deviation_sequence!$B$232)</f>
        <v>0.3692651158</v>
      </c>
      <c r="K192" s="7">
        <f>(Deviation_sequence!$B$233 + 0.5 *Deviation_sequence!$B$232) / (Deviation_sequence!K192 + 0.5 * Deviation_sequence!$B$232)</f>
        <v>0.3691632304</v>
      </c>
      <c r="L192" s="7">
        <f>(Deviation_sequence!$B$233 + 0.5 *Deviation_sequence!$B$232) / (Deviation_sequence!L192 + 0.5 * Deviation_sequence!$B$232)</f>
        <v>0.4251746834</v>
      </c>
      <c r="M192" s="7">
        <f>(Deviation_sequence!$B$233 + 0.5 *Deviation_sequence!$B$232) / (Deviation_sequence!M192 + 0.5 * Deviation_sequence!$B$232)</f>
        <v>0.4121794944</v>
      </c>
      <c r="O192" s="7">
        <f t="shared" si="6"/>
        <v>0.3966441317</v>
      </c>
    </row>
    <row r="193">
      <c r="A193" s="10" t="s">
        <v>29</v>
      </c>
      <c r="B193" s="7">
        <f>(Deviation_sequence!$B$233 + 0.5 *Deviation_sequence!$B$232) / (Deviation_sequence!B193 + 0.5 * Deviation_sequence!$B$232)</f>
        <v>0.4945030091</v>
      </c>
      <c r="C193" s="7">
        <f>(Deviation_sequence!$B$233 + 0.5 *Deviation_sequence!$B$232) / (Deviation_sequence!C193 + 0.5 * Deviation_sequence!$B$232)</f>
        <v>0.6984197924</v>
      </c>
      <c r="D193" s="7">
        <f>(Deviation_sequence!$B$233 + 0.5 *Deviation_sequence!$B$232) / (Deviation_sequence!D193 + 0.5 * Deviation_sequence!$B$232)</f>
        <v>0.572751196</v>
      </c>
      <c r="E193" s="7">
        <f>(Deviation_sequence!$B$233 + 0.5 *Deviation_sequence!$B$232) / (Deviation_sequence!E193 + 0.5 * Deviation_sequence!$B$232)</f>
        <v>0.879375868</v>
      </c>
      <c r="F193" s="7">
        <f>(Deviation_sequence!$B$233 + 0.5 *Deviation_sequence!$B$232) / (Deviation_sequence!F193 + 0.5 * Deviation_sequence!$B$232)</f>
        <v>0.6847252</v>
      </c>
      <c r="G193" s="7">
        <f>(Deviation_sequence!$B$233 + 0.5 *Deviation_sequence!$B$232) / (Deviation_sequence!G193 + 0.5 * Deviation_sequence!$B$232)</f>
        <v>0.46840607</v>
      </c>
      <c r="H193" s="7">
        <f>(Deviation_sequence!$B$233 + 0.5 *Deviation_sequence!$B$232) / (Deviation_sequence!H193 + 0.5 * Deviation_sequence!$B$232)</f>
        <v>0.5498307644</v>
      </c>
      <c r="I193" s="7">
        <f>(Deviation_sequence!$B$233 + 0.5 *Deviation_sequence!$B$232) / (Deviation_sequence!I193 + 0.5 * Deviation_sequence!$B$232)</f>
        <v>0.5831861926</v>
      </c>
      <c r="J193" s="7">
        <f>(Deviation_sequence!$B$233 + 0.5 *Deviation_sequence!$B$232) / (Deviation_sequence!J193 + 0.5 * Deviation_sequence!$B$232)</f>
        <v>0.440715916</v>
      </c>
      <c r="K193" s="7">
        <f>(Deviation_sequence!$B$233 + 0.5 *Deviation_sequence!$B$232) / (Deviation_sequence!K193 + 0.5 * Deviation_sequence!$B$232)</f>
        <v>0.4140106379</v>
      </c>
      <c r="L193" s="7">
        <f>(Deviation_sequence!$B$233 + 0.5 *Deviation_sequence!$B$232) / (Deviation_sequence!L193 + 0.5 * Deviation_sequence!$B$232)</f>
        <v>0.4358437861</v>
      </c>
      <c r="M193" s="7">
        <f>(Deviation_sequence!$B$233 + 0.5 *Deviation_sequence!$B$232) / (Deviation_sequence!M193 + 0.5 * Deviation_sequence!$B$232)</f>
        <v>0.3972764657</v>
      </c>
      <c r="O193" s="7">
        <f t="shared" si="6"/>
        <v>0.5515870748</v>
      </c>
    </row>
    <row r="194">
      <c r="A194" s="10" t="s">
        <v>30</v>
      </c>
      <c r="B194" s="7">
        <f>(Deviation_sequence!$B$233 + 0.5 *Deviation_sequence!$B$232) / (Deviation_sequence!B194 + 0.5 * Deviation_sequence!$B$232)</f>
        <v>0.954443852</v>
      </c>
      <c r="C194" s="7">
        <f>(Deviation_sequence!$B$233 + 0.5 *Deviation_sequence!$B$232) / (Deviation_sequence!C194 + 0.5 * Deviation_sequence!$B$232)</f>
        <v>0.8510736215</v>
      </c>
      <c r="D194" s="7">
        <f>(Deviation_sequence!$B$233 + 0.5 *Deviation_sequence!$B$232) / (Deviation_sequence!D194 + 0.5 * Deviation_sequence!$B$232)</f>
        <v>0.6094359033</v>
      </c>
      <c r="E194" s="7">
        <f>(Deviation_sequence!$B$233 + 0.5 *Deviation_sequence!$B$232) / (Deviation_sequence!E194 + 0.5 * Deviation_sequence!$B$232)</f>
        <v>0.9204852652</v>
      </c>
      <c r="F194" s="7">
        <f>(Deviation_sequence!$B$233 + 0.5 *Deviation_sequence!$B$232) / (Deviation_sequence!F194 + 0.5 * Deviation_sequence!$B$232)</f>
        <v>0.9252590443</v>
      </c>
      <c r="G194" s="7">
        <f>(Deviation_sequence!$B$233 + 0.5 *Deviation_sequence!$B$232) / (Deviation_sequence!G194 + 0.5 * Deviation_sequence!$B$232)</f>
        <v>0.5453384362</v>
      </c>
      <c r="H194" s="7">
        <f>(Deviation_sequence!$B$233 + 0.5 *Deviation_sequence!$B$232) / (Deviation_sequence!H194 + 0.5 * Deviation_sequence!$B$232)</f>
        <v>0.5083204851</v>
      </c>
      <c r="I194" s="7">
        <f>(Deviation_sequence!$B$233 + 0.5 *Deviation_sequence!$B$232) / (Deviation_sequence!I194 + 0.5 * Deviation_sequence!$B$232)</f>
        <v>0.5655630196</v>
      </c>
      <c r="J194" s="7">
        <f>(Deviation_sequence!$B$233 + 0.5 *Deviation_sequence!$B$232) / (Deviation_sequence!J194 + 0.5 * Deviation_sequence!$B$232)</f>
        <v>0.5475443447</v>
      </c>
      <c r="K194" s="7">
        <f>(Deviation_sequence!$B$233 + 0.5 *Deviation_sequence!$B$232) / (Deviation_sequence!K194 + 0.5 * Deviation_sequence!$B$232)</f>
        <v>0.4451842376</v>
      </c>
      <c r="L194" s="7">
        <f>(Deviation_sequence!$B$233 + 0.5 *Deviation_sequence!$B$232) / (Deviation_sequence!L194 + 0.5 * Deviation_sequence!$B$232)</f>
        <v>0.4046749145</v>
      </c>
      <c r="M194" s="7">
        <f>(Deviation_sequence!$B$233 + 0.5 *Deviation_sequence!$B$232) / (Deviation_sequence!M194 + 0.5 * Deviation_sequence!$B$232)</f>
        <v>0.3718175245</v>
      </c>
      <c r="O194" s="7">
        <f t="shared" si="6"/>
        <v>0.6374283874</v>
      </c>
    </row>
    <row r="195">
      <c r="A195" s="10" t="s">
        <v>31</v>
      </c>
      <c r="B195" s="7">
        <f>(Deviation_sequence!$B$233 + 0.5 *Deviation_sequence!$B$232) / (Deviation_sequence!B195 + 0.5 * Deviation_sequence!$B$232)</f>
        <v>0.5058934779</v>
      </c>
      <c r="C195" s="7">
        <f>(Deviation_sequence!$B$233 + 0.5 *Deviation_sequence!$B$232) / (Deviation_sequence!C195 + 0.5 * Deviation_sequence!$B$232)</f>
        <v>0.4817507118</v>
      </c>
      <c r="D195" s="7">
        <f>(Deviation_sequence!$B$233 + 0.5 *Deviation_sequence!$B$232) / (Deviation_sequence!D195 + 0.5 * Deviation_sequence!$B$232)</f>
        <v>0.4547665179</v>
      </c>
      <c r="E195" s="7">
        <f>(Deviation_sequence!$B$233 + 0.5 *Deviation_sequence!$B$232) / (Deviation_sequence!E195 + 0.5 * Deviation_sequence!$B$232)</f>
        <v>0.454837745</v>
      </c>
      <c r="F195" s="7">
        <f>(Deviation_sequence!$B$233 + 0.5 *Deviation_sequence!$B$232) / (Deviation_sequence!F195 + 0.5 * Deviation_sequence!$B$232)</f>
        <v>0.5251357099</v>
      </c>
      <c r="G195" s="7">
        <f>(Deviation_sequence!$B$233 + 0.5 *Deviation_sequence!$B$232) / (Deviation_sequence!G195 + 0.5 * Deviation_sequence!$B$232)</f>
        <v>0.3935531342</v>
      </c>
      <c r="H195" s="7">
        <f>(Deviation_sequence!$B$233 + 0.5 *Deviation_sequence!$B$232) / (Deviation_sequence!H195 + 0.5 * Deviation_sequence!$B$232)</f>
        <v>0.4123076543</v>
      </c>
      <c r="I195" s="7">
        <f>(Deviation_sequence!$B$233 + 0.5 *Deviation_sequence!$B$232) / (Deviation_sequence!I195 + 0.5 * Deviation_sequence!$B$232)</f>
        <v>0.4489418619</v>
      </c>
      <c r="J195" s="7">
        <f>(Deviation_sequence!$B$233 + 0.5 *Deviation_sequence!$B$232) / (Deviation_sequence!J195 + 0.5 * Deviation_sequence!$B$232)</f>
        <v>0.500840055</v>
      </c>
      <c r="K195" s="7">
        <f>(Deviation_sequence!$B$233 + 0.5 *Deviation_sequence!$B$232) / (Deviation_sequence!K195 + 0.5 * Deviation_sequence!$B$232)</f>
        <v>0.4556782573</v>
      </c>
      <c r="L195" s="7">
        <f>(Deviation_sequence!$B$233 + 0.5 *Deviation_sequence!$B$232) / (Deviation_sequence!L195 + 0.5 * Deviation_sequence!$B$232)</f>
        <v>0.4463983514</v>
      </c>
      <c r="M195" s="7">
        <f>(Deviation_sequence!$B$233 + 0.5 *Deviation_sequence!$B$232) / (Deviation_sequence!M195 + 0.5 * Deviation_sequence!$B$232)</f>
        <v>0.424214506</v>
      </c>
      <c r="O195" s="7">
        <f t="shared" si="6"/>
        <v>0.4586931652</v>
      </c>
    </row>
    <row r="196">
      <c r="N196" s="10" t="s">
        <v>115</v>
      </c>
      <c r="O196" s="7">
        <f>AVERAGE(O167:O195)</f>
        <v>0.522198979</v>
      </c>
    </row>
    <row r="199">
      <c r="A199" s="9" t="s">
        <v>97</v>
      </c>
      <c r="B199" s="10" t="s">
        <v>98</v>
      </c>
      <c r="C199" s="10" t="s">
        <v>99</v>
      </c>
      <c r="D199" s="10" t="s">
        <v>100</v>
      </c>
      <c r="E199" s="10" t="s">
        <v>101</v>
      </c>
      <c r="F199" s="10" t="s">
        <v>102</v>
      </c>
      <c r="G199" s="10" t="s">
        <v>103</v>
      </c>
      <c r="H199" s="10" t="s">
        <v>104</v>
      </c>
      <c r="I199" s="10" t="s">
        <v>105</v>
      </c>
      <c r="J199" s="10" t="s">
        <v>106</v>
      </c>
      <c r="K199" s="10" t="s">
        <v>107</v>
      </c>
      <c r="L199" s="10" t="s">
        <v>108</v>
      </c>
      <c r="M199" s="10" t="s">
        <v>109</v>
      </c>
    </row>
    <row r="200">
      <c r="A200" s="10" t="s">
        <v>3</v>
      </c>
      <c r="B200" s="7">
        <f>(Deviation_sequence!$B$233 + 0.5 *Deviation_sequence!$B$232) / (Deviation_sequence!B200 + 0.5 * Deviation_sequence!$B$232)</f>
        <v>0.4271890818</v>
      </c>
      <c r="C200" s="7">
        <f>(Deviation_sequence!$B$233 + 0.5 *Deviation_sequence!$B$232) / (Deviation_sequence!C200 + 0.5 * Deviation_sequence!$B$232)</f>
        <v>0.4407390724</v>
      </c>
      <c r="D200" s="7">
        <f>(Deviation_sequence!$B$233 + 0.5 *Deviation_sequence!$B$232) / (Deviation_sequence!D200 + 0.5 * Deviation_sequence!$B$232)</f>
        <v>0.3886030952</v>
      </c>
      <c r="E200" s="7">
        <f>(Deviation_sequence!$B$233 + 0.5 *Deviation_sequence!$B$232) / (Deviation_sequence!E200 + 0.5 * Deviation_sequence!$B$232)</f>
        <v>0.374089779</v>
      </c>
      <c r="F200" s="7">
        <f>(Deviation_sequence!$B$233 + 0.5 *Deviation_sequence!$B$232) / (Deviation_sequence!F200 + 0.5 * Deviation_sequence!$B$232)</f>
        <v>0.3853948318</v>
      </c>
      <c r="G200" s="7">
        <f>(Deviation_sequence!$B$233 + 0.5 *Deviation_sequence!$B$232) / (Deviation_sequence!G200 + 0.5 * Deviation_sequence!$B$232)</f>
        <v>0.3433083081</v>
      </c>
      <c r="H200" s="7">
        <f>(Deviation_sequence!$B$233 + 0.5 *Deviation_sequence!$B$232) / (Deviation_sequence!H200 + 0.5 * Deviation_sequence!$B$232)</f>
        <v>0.3899124756</v>
      </c>
      <c r="I200" s="7">
        <f>(Deviation_sequence!$B$233 + 0.5 *Deviation_sequence!$B$232) / (Deviation_sequence!I200 + 0.5 * Deviation_sequence!$B$232)</f>
        <v>0.4873018745</v>
      </c>
      <c r="J200" s="7">
        <f>(Deviation_sequence!$B$233 + 0.5 *Deviation_sequence!$B$232) / (Deviation_sequence!J200 + 0.5 * Deviation_sequence!$B$232)</f>
        <v>0.3641719309</v>
      </c>
      <c r="K200" s="7">
        <f>(Deviation_sequence!$B$233 + 0.5 *Deviation_sequence!$B$232) / (Deviation_sequence!K200 + 0.5 * Deviation_sequence!$B$232)</f>
        <v>0.429835993</v>
      </c>
      <c r="L200" s="7">
        <f>(Deviation_sequence!$B$233 + 0.5 *Deviation_sequence!$B$232) / (Deviation_sequence!L200 + 0.5 * Deviation_sequence!$B$232)</f>
        <v>0.4153242493</v>
      </c>
      <c r="M200" s="7">
        <f>(Deviation_sequence!$B$233 + 0.5 *Deviation_sequence!$B$232) / (Deviation_sequence!M200 + 0.5 * Deviation_sequence!$B$232)</f>
        <v>0.3653320157</v>
      </c>
      <c r="O200" s="7">
        <f t="shared" ref="O200:O228" si="7">AVERAGE(B200:M200)</f>
        <v>0.4009335589</v>
      </c>
    </row>
    <row r="201">
      <c r="A201" s="10" t="s">
        <v>4</v>
      </c>
      <c r="B201" s="7">
        <f>(Deviation_sequence!$B$233 + 0.5 *Deviation_sequence!$B$232) / (Deviation_sequence!B201 + 0.5 * Deviation_sequence!$B$232)</f>
        <v>0.3474265653</v>
      </c>
      <c r="C201" s="7">
        <f>(Deviation_sequence!$B$233 + 0.5 *Deviation_sequence!$B$232) / (Deviation_sequence!C201 + 0.5 * Deviation_sequence!$B$232)</f>
        <v>0.3498324795</v>
      </c>
      <c r="D201" s="7">
        <f>(Deviation_sequence!$B$233 + 0.5 *Deviation_sequence!$B$232) / (Deviation_sequence!D201 + 0.5 * Deviation_sequence!$B$232)</f>
        <v>0.3499685384</v>
      </c>
      <c r="E201" s="7">
        <f>(Deviation_sequence!$B$233 + 0.5 *Deviation_sequence!$B$232) / (Deviation_sequence!E201 + 0.5 * Deviation_sequence!$B$232)</f>
        <v>0.3491982455</v>
      </c>
      <c r="F201" s="7">
        <f>(Deviation_sequence!$B$233 + 0.5 *Deviation_sequence!$B$232) / (Deviation_sequence!F201 + 0.5 * Deviation_sequence!$B$232)</f>
        <v>0.3552080801</v>
      </c>
      <c r="G201" s="7">
        <f>(Deviation_sequence!$B$233 + 0.5 *Deviation_sequence!$B$232) / (Deviation_sequence!G201 + 0.5 * Deviation_sequence!$B$232)</f>
        <v>0.3658396441</v>
      </c>
      <c r="H201" s="7">
        <f>(Deviation_sequence!$B$233 + 0.5 *Deviation_sequence!$B$232) / (Deviation_sequence!H201 + 0.5 * Deviation_sequence!$B$232)</f>
        <v>0.3899044325</v>
      </c>
      <c r="I201" s="7">
        <f>(Deviation_sequence!$B$233 + 0.5 *Deviation_sequence!$B$232) / (Deviation_sequence!I201 + 0.5 * Deviation_sequence!$B$232)</f>
        <v>0.3772617027</v>
      </c>
      <c r="J201" s="7">
        <f>(Deviation_sequence!$B$233 + 0.5 *Deviation_sequence!$B$232) / (Deviation_sequence!J201 + 0.5 * Deviation_sequence!$B$232)</f>
        <v>0.3637101574</v>
      </c>
      <c r="K201" s="7">
        <f>(Deviation_sequence!$B$233 + 0.5 *Deviation_sequence!$B$232) / (Deviation_sequence!K201 + 0.5 * Deviation_sequence!$B$232)</f>
        <v>0.3584831113</v>
      </c>
      <c r="L201" s="7">
        <f>(Deviation_sequence!$B$233 + 0.5 *Deviation_sequence!$B$232) / (Deviation_sequence!L201 + 0.5 * Deviation_sequence!$B$232)</f>
        <v>0.3889384286</v>
      </c>
      <c r="M201" s="7">
        <f>(Deviation_sequence!$B$233 + 0.5 *Deviation_sequence!$B$232) / (Deviation_sequence!M201 + 0.5 * Deviation_sequence!$B$232)</f>
        <v>0.3859573518</v>
      </c>
      <c r="O201" s="7">
        <f t="shared" si="7"/>
        <v>0.3651440614</v>
      </c>
    </row>
    <row r="202">
      <c r="A202" s="10" t="s">
        <v>5</v>
      </c>
      <c r="B202" s="7">
        <f>(Deviation_sequence!$B$233 + 0.5 *Deviation_sequence!$B$232) / (Deviation_sequence!B202 + 0.5 * Deviation_sequence!$B$232)</f>
        <v>0.4131500711</v>
      </c>
      <c r="C202" s="7">
        <f>(Deviation_sequence!$B$233 + 0.5 *Deviation_sequence!$B$232) / (Deviation_sequence!C202 + 0.5 * Deviation_sequence!$B$232)</f>
        <v>0.4182696557</v>
      </c>
      <c r="D202" s="7">
        <f>(Deviation_sequence!$B$233 + 0.5 *Deviation_sequence!$B$232) / (Deviation_sequence!D202 + 0.5 * Deviation_sequence!$B$232)</f>
        <v>0.4195763408</v>
      </c>
      <c r="E202" s="7">
        <f>(Deviation_sequence!$B$233 + 0.5 *Deviation_sequence!$B$232) / (Deviation_sequence!E202 + 0.5 * Deviation_sequence!$B$232)</f>
        <v>0.415785319</v>
      </c>
      <c r="F202" s="7">
        <f>(Deviation_sequence!$B$233 + 0.5 *Deviation_sequence!$B$232) / (Deviation_sequence!F202 + 0.5 * Deviation_sequence!$B$232)</f>
        <v>0.4321001996</v>
      </c>
      <c r="G202" s="7">
        <f>(Deviation_sequence!$B$233 + 0.5 *Deviation_sequence!$B$232) / (Deviation_sequence!G202 + 0.5 * Deviation_sequence!$B$232)</f>
        <v>0.4008189576</v>
      </c>
      <c r="H202" s="7">
        <f>(Deviation_sequence!$B$233 + 0.5 *Deviation_sequence!$B$232) / (Deviation_sequence!H202 + 0.5 * Deviation_sequence!$B$232)</f>
        <v>0.4284121278</v>
      </c>
      <c r="I202" s="7">
        <f>(Deviation_sequence!$B$233 + 0.5 *Deviation_sequence!$B$232) / (Deviation_sequence!I202 + 0.5 * Deviation_sequence!$B$232)</f>
        <v>0.4160700303</v>
      </c>
      <c r="J202" s="7">
        <f>(Deviation_sequence!$B$233 + 0.5 *Deviation_sequence!$B$232) / (Deviation_sequence!J202 + 0.5 * Deviation_sequence!$B$232)</f>
        <v>0.417177803</v>
      </c>
      <c r="K202" s="7">
        <f>(Deviation_sequence!$B$233 + 0.5 *Deviation_sequence!$B$232) / (Deviation_sequence!K202 + 0.5 * Deviation_sequence!$B$232)</f>
        <v>0.4081057294</v>
      </c>
      <c r="L202" s="7">
        <f>(Deviation_sequence!$B$233 + 0.5 *Deviation_sequence!$B$232) / (Deviation_sequence!L202 + 0.5 * Deviation_sequence!$B$232)</f>
        <v>0.4312799061</v>
      </c>
      <c r="M202" s="7">
        <f>(Deviation_sequence!$B$233 + 0.5 *Deviation_sequence!$B$232) / (Deviation_sequence!M202 + 0.5 * Deviation_sequence!$B$232)</f>
        <v>0.4209471407</v>
      </c>
      <c r="O202" s="7">
        <f t="shared" si="7"/>
        <v>0.4184744401</v>
      </c>
    </row>
    <row r="203">
      <c r="A203" s="10" t="s">
        <v>6</v>
      </c>
      <c r="B203" s="7">
        <f>(Deviation_sequence!$B$233 + 0.5 *Deviation_sequence!$B$232) / (Deviation_sequence!B203 + 0.5 * Deviation_sequence!$B$232)</f>
        <v>0.405914962</v>
      </c>
      <c r="C203" s="7">
        <f>(Deviation_sequence!$B$233 + 0.5 *Deviation_sequence!$B$232) / (Deviation_sequence!C203 + 0.5 * Deviation_sequence!$B$232)</f>
        <v>0.3566832514</v>
      </c>
      <c r="D203" s="7">
        <f>(Deviation_sequence!$B$233 + 0.5 *Deviation_sequence!$B$232) / (Deviation_sequence!D203 + 0.5 * Deviation_sequence!$B$232)</f>
        <v>0.3454261297</v>
      </c>
      <c r="E203" s="7">
        <f>(Deviation_sequence!$B$233 + 0.5 *Deviation_sequence!$B$232) / (Deviation_sequence!E203 + 0.5 * Deviation_sequence!$B$232)</f>
        <v>0.3595824035</v>
      </c>
      <c r="F203" s="7">
        <f>(Deviation_sequence!$B$233 + 0.5 *Deviation_sequence!$B$232) / (Deviation_sequence!F203 + 0.5 * Deviation_sequence!$B$232)</f>
        <v>0.3664851422</v>
      </c>
      <c r="G203" s="7">
        <f>(Deviation_sequence!$B$233 + 0.5 *Deviation_sequence!$B$232) / (Deviation_sequence!G203 + 0.5 * Deviation_sequence!$B$232)</f>
        <v>0.3472086346</v>
      </c>
      <c r="H203" s="7">
        <f>(Deviation_sequence!$B$233 + 0.5 *Deviation_sequence!$B$232) / (Deviation_sequence!H203 + 0.5 * Deviation_sequence!$B$232)</f>
        <v>0.3600799693</v>
      </c>
      <c r="I203" s="7">
        <f>(Deviation_sequence!$B$233 + 0.5 *Deviation_sequence!$B$232) / (Deviation_sequence!I203 + 0.5 * Deviation_sequence!$B$232)</f>
        <v>0.3832842924</v>
      </c>
      <c r="J203" s="7">
        <f>(Deviation_sequence!$B$233 + 0.5 *Deviation_sequence!$B$232) / (Deviation_sequence!J203 + 0.5 * Deviation_sequence!$B$232)</f>
        <v>0.4338466286</v>
      </c>
      <c r="K203" s="7">
        <f>(Deviation_sequence!$B$233 + 0.5 *Deviation_sequence!$B$232) / (Deviation_sequence!K203 + 0.5 * Deviation_sequence!$B$232)</f>
        <v>0.3964615737</v>
      </c>
      <c r="L203" s="7">
        <f>(Deviation_sequence!$B$233 + 0.5 *Deviation_sequence!$B$232) / (Deviation_sequence!L203 + 0.5 * Deviation_sequence!$B$232)</f>
        <v>0.4410084535</v>
      </c>
      <c r="M203" s="7">
        <f>(Deviation_sequence!$B$233 + 0.5 *Deviation_sequence!$B$232) / (Deviation_sequence!M203 + 0.5 * Deviation_sequence!$B$232)</f>
        <v>0.4388044239</v>
      </c>
      <c r="O203" s="7">
        <f t="shared" si="7"/>
        <v>0.3862321554</v>
      </c>
    </row>
    <row r="204">
      <c r="A204" s="10" t="s">
        <v>7</v>
      </c>
      <c r="B204" s="7">
        <f>(Deviation_sequence!$B$233 + 0.5 *Deviation_sequence!$B$232) / (Deviation_sequence!B204 + 0.5 * Deviation_sequence!$B$232)</f>
        <v>0.4050033435</v>
      </c>
      <c r="C204" s="7">
        <f>(Deviation_sequence!$B$233 + 0.5 *Deviation_sequence!$B$232) / (Deviation_sequence!C204 + 0.5 * Deviation_sequence!$B$232)</f>
        <v>0.408461584</v>
      </c>
      <c r="D204" s="7">
        <f>(Deviation_sequence!$B$233 + 0.5 *Deviation_sequence!$B$232) / (Deviation_sequence!D204 + 0.5 * Deviation_sequence!$B$232)</f>
        <v>0.3985896162</v>
      </c>
      <c r="E204" s="7">
        <f>(Deviation_sequence!$B$233 + 0.5 *Deviation_sequence!$B$232) / (Deviation_sequence!E204 + 0.5 * Deviation_sequence!$B$232)</f>
        <v>0.4105891791</v>
      </c>
      <c r="F204" s="7">
        <f>(Deviation_sequence!$B$233 + 0.5 *Deviation_sequence!$B$232) / (Deviation_sequence!F204 + 0.5 * Deviation_sequence!$B$232)</f>
        <v>0.427927254</v>
      </c>
      <c r="G204" s="7">
        <f>(Deviation_sequence!$B$233 + 0.5 *Deviation_sequence!$B$232) / (Deviation_sequence!G204 + 0.5 * Deviation_sequence!$B$232)</f>
        <v>0.4013166229</v>
      </c>
      <c r="H204" s="7">
        <f>(Deviation_sequence!$B$233 + 0.5 *Deviation_sequence!$B$232) / (Deviation_sequence!H204 + 0.5 * Deviation_sequence!$B$232)</f>
        <v>0.4226478164</v>
      </c>
      <c r="I204" s="7">
        <f>(Deviation_sequence!$B$233 + 0.5 *Deviation_sequence!$B$232) / (Deviation_sequence!I204 + 0.5 * Deviation_sequence!$B$232)</f>
        <v>0.3772966574</v>
      </c>
      <c r="J204" s="7">
        <f>(Deviation_sequence!$B$233 + 0.5 *Deviation_sequence!$B$232) / (Deviation_sequence!J204 + 0.5 * Deviation_sequence!$B$232)</f>
        <v>0.3890627968</v>
      </c>
      <c r="K204" s="7">
        <f>(Deviation_sequence!$B$233 + 0.5 *Deviation_sequence!$B$232) / (Deviation_sequence!K204 + 0.5 * Deviation_sequence!$B$232)</f>
        <v>0.3870729479</v>
      </c>
      <c r="L204" s="7">
        <f>(Deviation_sequence!$B$233 + 0.5 *Deviation_sequence!$B$232) / (Deviation_sequence!L204 + 0.5 * Deviation_sequence!$B$232)</f>
        <v>0.3999438243</v>
      </c>
      <c r="M204" s="7">
        <f>(Deviation_sequence!$B$233 + 0.5 *Deviation_sequence!$B$232) / (Deviation_sequence!M204 + 0.5 * Deviation_sequence!$B$232)</f>
        <v>0.4359051669</v>
      </c>
      <c r="O204" s="7">
        <f t="shared" si="7"/>
        <v>0.4053180674</v>
      </c>
    </row>
    <row r="205">
      <c r="A205" s="10" t="s">
        <v>8</v>
      </c>
      <c r="B205" s="7">
        <f>(Deviation_sequence!$B$233 + 0.5 *Deviation_sequence!$B$232) / (Deviation_sequence!B205 + 0.5 * Deviation_sequence!$B$232)</f>
        <v>0.3682694796</v>
      </c>
      <c r="C205" s="7">
        <f>(Deviation_sequence!$B$233 + 0.5 *Deviation_sequence!$B$232) / (Deviation_sequence!C205 + 0.5 * Deviation_sequence!$B$232)</f>
        <v>0.393473225</v>
      </c>
      <c r="D205" s="7">
        <f>(Deviation_sequence!$B$233 + 0.5 *Deviation_sequence!$B$232) / (Deviation_sequence!D205 + 0.5 * Deviation_sequence!$B$232)</f>
        <v>0.3917837906</v>
      </c>
      <c r="E205" s="7">
        <f>(Deviation_sequence!$B$233 + 0.5 *Deviation_sequence!$B$232) / (Deviation_sequence!E205 + 0.5 * Deviation_sequence!$B$232)</f>
        <v>0.4022268423</v>
      </c>
      <c r="F205" s="7">
        <f>(Deviation_sequence!$B$233 + 0.5 *Deviation_sequence!$B$232) / (Deviation_sequence!F205 + 0.5 * Deviation_sequence!$B$232)</f>
        <v>0.4028241466</v>
      </c>
      <c r="G205" s="7">
        <f>(Deviation_sequence!$B$233 + 0.5 *Deviation_sequence!$B$232) / (Deviation_sequence!G205 + 0.5 * Deviation_sequence!$B$232)</f>
        <v>0.381767454</v>
      </c>
      <c r="H205" s="7">
        <f>(Deviation_sequence!$B$233 + 0.5 *Deviation_sequence!$B$232) / (Deviation_sequence!H205 + 0.5 * Deviation_sequence!$B$232)</f>
        <v>0.3703419073</v>
      </c>
      <c r="I205" s="7">
        <f>(Deviation_sequence!$B$233 + 0.5 *Deviation_sequence!$B$232) / (Deviation_sequence!I205 + 0.5 * Deviation_sequence!$B$232)</f>
        <v>0.3834357521</v>
      </c>
      <c r="J205" s="7">
        <f>(Deviation_sequence!$B$233 + 0.5 *Deviation_sequence!$B$232) / (Deviation_sequence!J205 + 0.5 * Deviation_sequence!$B$232)</f>
        <v>0.3778612059</v>
      </c>
      <c r="K205" s="7">
        <f>(Deviation_sequence!$B$233 + 0.5 *Deviation_sequence!$B$232) / (Deviation_sequence!K205 + 0.5 * Deviation_sequence!$B$232)</f>
        <v>0.3569624428</v>
      </c>
      <c r="L205" s="7">
        <f>(Deviation_sequence!$B$233 + 0.5 *Deviation_sequence!$B$232) / (Deviation_sequence!L205 + 0.5 * Deviation_sequence!$B$232)</f>
        <v>0.3711732326</v>
      </c>
      <c r="M205" s="7">
        <f>(Deviation_sequence!$B$233 + 0.5 *Deviation_sequence!$B$232) / (Deviation_sequence!M205 + 0.5 * Deviation_sequence!$B$232)</f>
        <v>0.355819912</v>
      </c>
      <c r="O205" s="7">
        <f t="shared" si="7"/>
        <v>0.3796616159</v>
      </c>
    </row>
    <row r="206">
      <c r="A206" s="10" t="s">
        <v>9</v>
      </c>
      <c r="B206" s="7">
        <f>(Deviation_sequence!$B$233 + 0.5 *Deviation_sequence!$B$232) / (Deviation_sequence!B206 + 0.5 * Deviation_sequence!$B$232)</f>
        <v>0.5074997876</v>
      </c>
      <c r="C206" s="7">
        <f>(Deviation_sequence!$B$233 + 0.5 *Deviation_sequence!$B$232) / (Deviation_sequence!C206 + 0.5 * Deviation_sequence!$B$232)</f>
        <v>0.5100462057</v>
      </c>
      <c r="D206" s="7">
        <f>(Deviation_sequence!$B$233 + 0.5 *Deviation_sequence!$B$232) / (Deviation_sequence!D206 + 0.5 * Deviation_sequence!$B$232)</f>
        <v>0.4816727122</v>
      </c>
      <c r="E206" s="7">
        <f>(Deviation_sequence!$B$233 + 0.5 *Deviation_sequence!$B$232) / (Deviation_sequence!E206 + 0.5 * Deviation_sequence!$B$232)</f>
        <v>0.4980680538</v>
      </c>
      <c r="F206" s="7">
        <f>(Deviation_sequence!$B$233 + 0.5 *Deviation_sequence!$B$232) / (Deviation_sequence!F206 + 0.5 * Deviation_sequence!$B$232)</f>
        <v>0.4851031304</v>
      </c>
      <c r="G206" s="7">
        <f>(Deviation_sequence!$B$233 + 0.5 *Deviation_sequence!$B$232) / (Deviation_sequence!G206 + 0.5 * Deviation_sequence!$B$232)</f>
        <v>0.4810037772</v>
      </c>
      <c r="H206" s="7">
        <f>(Deviation_sequence!$B$233 + 0.5 *Deviation_sequence!$B$232) / (Deviation_sequence!H206 + 0.5 * Deviation_sequence!$B$232)</f>
        <v>0.4904503861</v>
      </c>
      <c r="I206" s="7">
        <f>(Deviation_sequence!$B$233 + 0.5 *Deviation_sequence!$B$232) / (Deviation_sequence!I206 + 0.5 * Deviation_sequence!$B$232)</f>
        <v>0.4926164996</v>
      </c>
      <c r="J206" s="7">
        <f>(Deviation_sequence!$B$233 + 0.5 *Deviation_sequence!$B$232) / (Deviation_sequence!J206 + 0.5 * Deviation_sequence!$B$232)</f>
        <v>0.5069377141</v>
      </c>
      <c r="K206" s="7">
        <f>(Deviation_sequence!$B$233 + 0.5 *Deviation_sequence!$B$232) / (Deviation_sequence!K206 + 0.5 * Deviation_sequence!$B$232)</f>
        <v>0.4908361547</v>
      </c>
      <c r="L206" s="7">
        <f>(Deviation_sequence!$B$233 + 0.5 *Deviation_sequence!$B$232) / (Deviation_sequence!L206 + 0.5 * Deviation_sequence!$B$232)</f>
        <v>0.5097681611</v>
      </c>
      <c r="M206" s="7">
        <f>(Deviation_sequence!$B$233 + 0.5 *Deviation_sequence!$B$232) / (Deviation_sequence!M206 + 0.5 * Deviation_sequence!$B$232)</f>
        <v>0.4984441901</v>
      </c>
      <c r="O206" s="7">
        <f t="shared" si="7"/>
        <v>0.4960372311</v>
      </c>
    </row>
    <row r="207">
      <c r="A207" s="10" t="s">
        <v>10</v>
      </c>
      <c r="B207" s="7">
        <f>(Deviation_sequence!$B$233 + 0.5 *Deviation_sequence!$B$232) / (Deviation_sequence!B207 + 0.5 * Deviation_sequence!$B$232)</f>
        <v>0.3613065385</v>
      </c>
      <c r="C207" s="7">
        <f>(Deviation_sequence!$B$233 + 0.5 *Deviation_sequence!$B$232) / (Deviation_sequence!C207 + 0.5 * Deviation_sequence!$B$232)</f>
        <v>0.398932266</v>
      </c>
      <c r="D207" s="7">
        <f>(Deviation_sequence!$B$233 + 0.5 *Deviation_sequence!$B$232) / (Deviation_sequence!D207 + 0.5 * Deviation_sequence!$B$232)</f>
        <v>0.3805840537</v>
      </c>
      <c r="E207" s="7">
        <f>(Deviation_sequence!$B$233 + 0.5 *Deviation_sequence!$B$232) / (Deviation_sequence!E207 + 0.5 * Deviation_sequence!$B$232)</f>
        <v>0.3902274245</v>
      </c>
      <c r="F207" s="7">
        <f>(Deviation_sequence!$B$233 + 0.5 *Deviation_sequence!$B$232) / (Deviation_sequence!F207 + 0.5 * Deviation_sequence!$B$232)</f>
        <v>0.4007207166</v>
      </c>
      <c r="G207" s="7">
        <f>(Deviation_sequence!$B$233 + 0.5 *Deviation_sequence!$B$232) / (Deviation_sequence!G207 + 0.5 * Deviation_sequence!$B$232)</f>
        <v>0.367173734</v>
      </c>
      <c r="H207" s="7">
        <f>(Deviation_sequence!$B$233 + 0.5 *Deviation_sequence!$B$232) / (Deviation_sequence!H207 + 0.5 * Deviation_sequence!$B$232)</f>
        <v>0.37724687</v>
      </c>
      <c r="I207" s="7">
        <f>(Deviation_sequence!$B$233 + 0.5 *Deviation_sequence!$B$232) / (Deviation_sequence!I207 + 0.5 * Deviation_sequence!$B$232)</f>
        <v>0.3779329686</v>
      </c>
      <c r="J207" s="7">
        <f>(Deviation_sequence!$B$233 + 0.5 *Deviation_sequence!$B$232) / (Deviation_sequence!J207 + 0.5 * Deviation_sequence!$B$232)</f>
        <v>0.369264993</v>
      </c>
      <c r="K207" s="7">
        <f>(Deviation_sequence!$B$233 + 0.5 *Deviation_sequence!$B$232) / (Deviation_sequence!K207 + 0.5 * Deviation_sequence!$B$232)</f>
        <v>0.3849562106</v>
      </c>
      <c r="L207" s="7">
        <f>(Deviation_sequence!$B$233 + 0.5 *Deviation_sequence!$B$232) / (Deviation_sequence!L207 + 0.5 * Deviation_sequence!$B$232)</f>
        <v>0.3743059231</v>
      </c>
      <c r="M207" s="7">
        <f>(Deviation_sequence!$B$233 + 0.5 *Deviation_sequence!$B$232) / (Deviation_sequence!M207 + 0.5 * Deviation_sequence!$B$232)</f>
        <v>0.3635572032</v>
      </c>
      <c r="O207" s="7">
        <f t="shared" si="7"/>
        <v>0.3788507418</v>
      </c>
    </row>
    <row r="208">
      <c r="A208" s="10" t="s">
        <v>11</v>
      </c>
      <c r="B208" s="7">
        <f>(Deviation_sequence!$B$233 + 0.5 *Deviation_sequence!$B$232) / (Deviation_sequence!B208 + 0.5 * Deviation_sequence!$B$232)</f>
        <v>0.4254063559</v>
      </c>
      <c r="C208" s="7">
        <f>(Deviation_sequence!$B$233 + 0.5 *Deviation_sequence!$B$232) / (Deviation_sequence!C208 + 0.5 * Deviation_sequence!$B$232)</f>
        <v>0.4133636623</v>
      </c>
      <c r="D208" s="7">
        <f>(Deviation_sequence!$B$233 + 0.5 *Deviation_sequence!$B$232) / (Deviation_sequence!D208 + 0.5 * Deviation_sequence!$B$232)</f>
        <v>0.4352236655</v>
      </c>
      <c r="E208" s="7">
        <f>(Deviation_sequence!$B$233 + 0.5 *Deviation_sequence!$B$232) / (Deviation_sequence!E208 + 0.5 * Deviation_sequence!$B$232)</f>
        <v>0.4322959631</v>
      </c>
      <c r="F208" s="7">
        <f>(Deviation_sequence!$B$233 + 0.5 *Deviation_sequence!$B$232) / (Deviation_sequence!F208 + 0.5 * Deviation_sequence!$B$232)</f>
        <v>0.4508798958</v>
      </c>
      <c r="G208" s="7">
        <f>(Deviation_sequence!$B$233 + 0.5 *Deviation_sequence!$B$232) / (Deviation_sequence!G208 + 0.5 * Deviation_sequence!$B$232)</f>
        <v>0.4267845195</v>
      </c>
      <c r="H208" s="7">
        <f>(Deviation_sequence!$B$233 + 0.5 *Deviation_sequence!$B$232) / (Deviation_sequence!H208 + 0.5 * Deviation_sequence!$B$232)</f>
        <v>0.4339843496</v>
      </c>
      <c r="I208" s="7">
        <f>(Deviation_sequence!$B$233 + 0.5 *Deviation_sequence!$B$232) / (Deviation_sequence!I208 + 0.5 * Deviation_sequence!$B$232)</f>
        <v>0.4358447147</v>
      </c>
      <c r="J208" s="7">
        <f>(Deviation_sequence!$B$233 + 0.5 *Deviation_sequence!$B$232) / (Deviation_sequence!J208 + 0.5 * Deviation_sequence!$B$232)</f>
        <v>0.4419284401</v>
      </c>
      <c r="K208" s="7">
        <f>(Deviation_sequence!$B$233 + 0.5 *Deviation_sequence!$B$232) / (Deviation_sequence!K208 + 0.5 * Deviation_sequence!$B$232)</f>
        <v>0.4375454174</v>
      </c>
      <c r="L208" s="7">
        <f>(Deviation_sequence!$B$233 + 0.5 *Deviation_sequence!$B$232) / (Deviation_sequence!L208 + 0.5 * Deviation_sequence!$B$232)</f>
        <v>0.4445508301</v>
      </c>
      <c r="M208" s="7">
        <f>(Deviation_sequence!$B$233 + 0.5 *Deviation_sequence!$B$232) / (Deviation_sequence!M208 + 0.5 * Deviation_sequence!$B$232)</f>
        <v>0.4364724746</v>
      </c>
      <c r="O208" s="7">
        <f t="shared" si="7"/>
        <v>0.4345233574</v>
      </c>
    </row>
    <row r="209">
      <c r="A209" s="10" t="s">
        <v>12</v>
      </c>
      <c r="B209" s="7">
        <f>(Deviation_sequence!$B$233 + 0.5 *Deviation_sequence!$B$232) / (Deviation_sequence!B209 + 0.5 * Deviation_sequence!$B$232)</f>
        <v>0.394780183</v>
      </c>
      <c r="C209" s="7">
        <f>(Deviation_sequence!$B$233 + 0.5 *Deviation_sequence!$B$232) / (Deviation_sequence!C209 + 0.5 * Deviation_sequence!$B$232)</f>
        <v>0.365791559</v>
      </c>
      <c r="D209" s="7">
        <f>(Deviation_sequence!$B$233 + 0.5 *Deviation_sequence!$B$232) / (Deviation_sequence!D209 + 0.5 * Deviation_sequence!$B$232)</f>
        <v>0.3932225059</v>
      </c>
      <c r="E209" s="7">
        <f>(Deviation_sequence!$B$233 + 0.5 *Deviation_sequence!$B$232) / (Deviation_sequence!E209 + 0.5 * Deviation_sequence!$B$232)</f>
        <v>0.3861207164</v>
      </c>
      <c r="F209" s="7">
        <f>(Deviation_sequence!$B$233 + 0.5 *Deviation_sequence!$B$232) / (Deviation_sequence!F209 + 0.5 * Deviation_sequence!$B$232)</f>
        <v>0.4003068208</v>
      </c>
      <c r="G209" s="7">
        <f>(Deviation_sequence!$B$233 + 0.5 *Deviation_sequence!$B$232) / (Deviation_sequence!G209 + 0.5 * Deviation_sequence!$B$232)</f>
        <v>0.4025669074</v>
      </c>
      <c r="H209" s="7">
        <f>(Deviation_sequence!$B$233 + 0.5 *Deviation_sequence!$B$232) / (Deviation_sequence!H209 + 0.5 * Deviation_sequence!$B$232)</f>
        <v>0.3972525708</v>
      </c>
      <c r="I209" s="7">
        <f>(Deviation_sequence!$B$233 + 0.5 *Deviation_sequence!$B$232) / (Deviation_sequence!I209 + 0.5 * Deviation_sequence!$B$232)</f>
        <v>0.4058858046</v>
      </c>
      <c r="J209" s="7">
        <f>(Deviation_sequence!$B$233 + 0.5 *Deviation_sequence!$B$232) / (Deviation_sequence!J209 + 0.5 * Deviation_sequence!$B$232)</f>
        <v>0.3959818881</v>
      </c>
      <c r="K209" s="7">
        <f>(Deviation_sequence!$B$233 + 0.5 *Deviation_sequence!$B$232) / (Deviation_sequence!K209 + 0.5 * Deviation_sequence!$B$232)</f>
        <v>0.3841637491</v>
      </c>
      <c r="L209" s="7">
        <f>(Deviation_sequence!$B$233 + 0.5 *Deviation_sequence!$B$232) / (Deviation_sequence!L209 + 0.5 * Deviation_sequence!$B$232)</f>
        <v>0.4274929426</v>
      </c>
      <c r="M209" s="7">
        <f>(Deviation_sequence!$B$233 + 0.5 *Deviation_sequence!$B$232) / (Deviation_sequence!M209 + 0.5 * Deviation_sequence!$B$232)</f>
        <v>0.4284118306</v>
      </c>
      <c r="O209" s="7">
        <f t="shared" si="7"/>
        <v>0.3984981232</v>
      </c>
    </row>
    <row r="210">
      <c r="A210" s="10" t="s">
        <v>13</v>
      </c>
      <c r="B210" s="7">
        <f>(Deviation_sequence!$B$233 + 0.5 *Deviation_sequence!$B$232) / (Deviation_sequence!B210 + 0.5 * Deviation_sequence!$B$232)</f>
        <v>0.4290547073</v>
      </c>
      <c r="C210" s="7">
        <f>(Deviation_sequence!$B$233 + 0.5 *Deviation_sequence!$B$232) / (Deviation_sequence!C210 + 0.5 * Deviation_sequence!$B$232)</f>
        <v>0.4309692101</v>
      </c>
      <c r="D210" s="7">
        <f>(Deviation_sequence!$B$233 + 0.5 *Deviation_sequence!$B$232) / (Deviation_sequence!D210 + 0.5 * Deviation_sequence!$B$232)</f>
        <v>0.4294794927</v>
      </c>
      <c r="E210" s="7">
        <f>(Deviation_sequence!$B$233 + 0.5 *Deviation_sequence!$B$232) / (Deviation_sequence!E210 + 0.5 * Deviation_sequence!$B$232)</f>
        <v>0.4304396302</v>
      </c>
      <c r="F210" s="7">
        <f>(Deviation_sequence!$B$233 + 0.5 *Deviation_sequence!$B$232) / (Deviation_sequence!F210 + 0.5 * Deviation_sequence!$B$232)</f>
        <v>0.4423517831</v>
      </c>
      <c r="G210" s="7">
        <f>(Deviation_sequence!$B$233 + 0.5 *Deviation_sequence!$B$232) / (Deviation_sequence!G210 + 0.5 * Deviation_sequence!$B$232)</f>
        <v>0.417252599</v>
      </c>
      <c r="H210" s="7">
        <f>(Deviation_sequence!$B$233 + 0.5 *Deviation_sequence!$B$232) / (Deviation_sequence!H210 + 0.5 * Deviation_sequence!$B$232)</f>
        <v>0.4269495228</v>
      </c>
      <c r="I210" s="7">
        <f>(Deviation_sequence!$B$233 + 0.5 *Deviation_sequence!$B$232) / (Deviation_sequence!I210 + 0.5 * Deviation_sequence!$B$232)</f>
        <v>0.415551048</v>
      </c>
      <c r="J210" s="7">
        <f>(Deviation_sequence!$B$233 + 0.5 *Deviation_sequence!$B$232) / (Deviation_sequence!J210 + 0.5 * Deviation_sequence!$B$232)</f>
        <v>0.4157432747</v>
      </c>
      <c r="K210" s="7">
        <f>(Deviation_sequence!$B$233 + 0.5 *Deviation_sequence!$B$232) / (Deviation_sequence!K210 + 0.5 * Deviation_sequence!$B$232)</f>
        <v>0.3955077873</v>
      </c>
      <c r="L210" s="7">
        <f>(Deviation_sequence!$B$233 + 0.5 *Deviation_sequence!$B$232) / (Deviation_sequence!L210 + 0.5 * Deviation_sequence!$B$232)</f>
        <v>0.4063357702</v>
      </c>
      <c r="M210" s="7">
        <f>(Deviation_sequence!$B$233 + 0.5 *Deviation_sequence!$B$232) / (Deviation_sequence!M210 + 0.5 * Deviation_sequence!$B$232)</f>
        <v>0.4110965557</v>
      </c>
      <c r="O210" s="7">
        <f t="shared" si="7"/>
        <v>0.4208942817</v>
      </c>
    </row>
    <row r="211">
      <c r="A211" s="10" t="s">
        <v>14</v>
      </c>
      <c r="B211" s="7">
        <f>(Deviation_sequence!$B$233 + 0.5 *Deviation_sequence!$B$232) / (Deviation_sequence!B211 + 0.5 * Deviation_sequence!$B$232)</f>
        <v>0.3651656901</v>
      </c>
      <c r="C211" s="7">
        <f>(Deviation_sequence!$B$233 + 0.5 *Deviation_sequence!$B$232) / (Deviation_sequence!C211 + 0.5 * Deviation_sequence!$B$232)</f>
        <v>0.3681533687</v>
      </c>
      <c r="D211" s="7">
        <f>(Deviation_sequence!$B$233 + 0.5 *Deviation_sequence!$B$232) / (Deviation_sequence!D211 + 0.5 * Deviation_sequence!$B$232)</f>
        <v>0.3530504332</v>
      </c>
      <c r="E211" s="7">
        <f>(Deviation_sequence!$B$233 + 0.5 *Deviation_sequence!$B$232) / (Deviation_sequence!E211 + 0.5 * Deviation_sequence!$B$232)</f>
        <v>0.3518650678</v>
      </c>
      <c r="F211" s="7">
        <f>(Deviation_sequence!$B$233 + 0.5 *Deviation_sequence!$B$232) / (Deviation_sequence!F211 + 0.5 * Deviation_sequence!$B$232)</f>
        <v>0.4044949417</v>
      </c>
      <c r="G211" s="7">
        <f>(Deviation_sequence!$B$233 + 0.5 *Deviation_sequence!$B$232) / (Deviation_sequence!G211 + 0.5 * Deviation_sequence!$B$232)</f>
        <v>0.3874608114</v>
      </c>
      <c r="H211" s="7">
        <f>(Deviation_sequence!$B$233 + 0.5 *Deviation_sequence!$B$232) / (Deviation_sequence!H211 + 0.5 * Deviation_sequence!$B$232)</f>
        <v>0.4163730855</v>
      </c>
      <c r="I211" s="7">
        <f>(Deviation_sequence!$B$233 + 0.5 *Deviation_sequence!$B$232) / (Deviation_sequence!I211 + 0.5 * Deviation_sequence!$B$232)</f>
        <v>0.4891123037</v>
      </c>
      <c r="J211" s="7">
        <f>(Deviation_sequence!$B$233 + 0.5 *Deviation_sequence!$B$232) / (Deviation_sequence!J211 + 0.5 * Deviation_sequence!$B$232)</f>
        <v>0.5164532496</v>
      </c>
      <c r="K211" s="7">
        <f>(Deviation_sequence!$B$233 + 0.5 *Deviation_sequence!$B$232) / (Deviation_sequence!K211 + 0.5 * Deviation_sequence!$B$232)</f>
        <v>0.5403283037</v>
      </c>
      <c r="L211" s="7">
        <f>(Deviation_sequence!$B$233 + 0.5 *Deviation_sequence!$B$232) / (Deviation_sequence!L211 + 0.5 * Deviation_sequence!$B$232)</f>
        <v>0.4384313688</v>
      </c>
      <c r="M211" s="7">
        <f>(Deviation_sequence!$B$233 + 0.5 *Deviation_sequence!$B$232) / (Deviation_sequence!M211 + 0.5 * Deviation_sequence!$B$232)</f>
        <v>0.495225569</v>
      </c>
      <c r="O211" s="7">
        <f t="shared" si="7"/>
        <v>0.4271761828</v>
      </c>
    </row>
    <row r="212">
      <c r="A212" s="10" t="s">
        <v>15</v>
      </c>
      <c r="B212" s="7">
        <f>(Deviation_sequence!$B$233 + 0.5 *Deviation_sequence!$B$232) / (Deviation_sequence!B212 + 0.5 * Deviation_sequence!$B$232)</f>
        <v>0.4299272974</v>
      </c>
      <c r="C212" s="7">
        <f>(Deviation_sequence!$B$233 + 0.5 *Deviation_sequence!$B$232) / (Deviation_sequence!C212 + 0.5 * Deviation_sequence!$B$232)</f>
        <v>0.4279671334</v>
      </c>
      <c r="D212" s="7">
        <f>(Deviation_sequence!$B$233 + 0.5 *Deviation_sequence!$B$232) / (Deviation_sequence!D212 + 0.5 * Deviation_sequence!$B$232)</f>
        <v>0.4271207653</v>
      </c>
      <c r="E212" s="7">
        <f>(Deviation_sequence!$B$233 + 0.5 *Deviation_sequence!$B$232) / (Deviation_sequence!E212 + 0.5 * Deviation_sequence!$B$232)</f>
        <v>0.411583444</v>
      </c>
      <c r="F212" s="7">
        <f>(Deviation_sequence!$B$233 + 0.5 *Deviation_sequence!$B$232) / (Deviation_sequence!F212 + 0.5 * Deviation_sequence!$B$232)</f>
        <v>0.4609023195</v>
      </c>
      <c r="G212" s="7">
        <f>(Deviation_sequence!$B$233 + 0.5 *Deviation_sequence!$B$232) / (Deviation_sequence!G212 + 0.5 * Deviation_sequence!$B$232)</f>
        <v>0.5490173202</v>
      </c>
      <c r="H212" s="7">
        <f>(Deviation_sequence!$B$233 + 0.5 *Deviation_sequence!$B$232) / (Deviation_sequence!H212 + 0.5 * Deviation_sequence!$B$232)</f>
        <v>0.4457396553</v>
      </c>
      <c r="I212" s="7">
        <f>(Deviation_sequence!$B$233 + 0.5 *Deviation_sequence!$B$232) / (Deviation_sequence!I212 + 0.5 * Deviation_sequence!$B$232)</f>
        <v>0.4057111739</v>
      </c>
      <c r="J212" s="7">
        <f>(Deviation_sequence!$B$233 + 0.5 *Deviation_sequence!$B$232) / (Deviation_sequence!J212 + 0.5 * Deviation_sequence!$B$232)</f>
        <v>0.5143324531</v>
      </c>
      <c r="K212" s="7">
        <f>(Deviation_sequence!$B$233 + 0.5 *Deviation_sequence!$B$232) / (Deviation_sequence!K212 + 0.5 * Deviation_sequence!$B$232)</f>
        <v>0.5096820062</v>
      </c>
      <c r="L212" s="7">
        <f>(Deviation_sequence!$B$233 + 0.5 *Deviation_sequence!$B$232) / (Deviation_sequence!L212 + 0.5 * Deviation_sequence!$B$232)</f>
        <v>0.352350342</v>
      </c>
      <c r="M212" s="7">
        <f>(Deviation_sequence!$B$233 + 0.5 *Deviation_sequence!$B$232) / (Deviation_sequence!M212 + 0.5 * Deviation_sequence!$B$232)</f>
        <v>0.3549922848</v>
      </c>
      <c r="O212" s="7">
        <f t="shared" si="7"/>
        <v>0.4407771829</v>
      </c>
    </row>
    <row r="213">
      <c r="A213" s="10" t="s">
        <v>16</v>
      </c>
      <c r="B213" s="7">
        <f>(Deviation_sequence!$B$233 + 0.5 *Deviation_sequence!$B$232) / (Deviation_sequence!B213 + 0.5 * Deviation_sequence!$B$232)</f>
        <v>0.3888363086</v>
      </c>
      <c r="C213" s="7">
        <f>(Deviation_sequence!$B$233 + 0.5 *Deviation_sequence!$B$232) / (Deviation_sequence!C213 + 0.5 * Deviation_sequence!$B$232)</f>
        <v>0.3940610717</v>
      </c>
      <c r="D213" s="7">
        <f>(Deviation_sequence!$B$233 + 0.5 *Deviation_sequence!$B$232) / (Deviation_sequence!D213 + 0.5 * Deviation_sequence!$B$232)</f>
        <v>0.3918772706</v>
      </c>
      <c r="E213" s="7">
        <f>(Deviation_sequence!$B$233 + 0.5 *Deviation_sequence!$B$232) / (Deviation_sequence!E213 + 0.5 * Deviation_sequence!$B$232)</f>
        <v>0.3912889762</v>
      </c>
      <c r="F213" s="7">
        <f>(Deviation_sequence!$B$233 + 0.5 *Deviation_sequence!$B$232) / (Deviation_sequence!F213 + 0.5 * Deviation_sequence!$B$232)</f>
        <v>0.3876178615</v>
      </c>
      <c r="G213" s="7">
        <f>(Deviation_sequence!$B$233 + 0.5 *Deviation_sequence!$B$232) / (Deviation_sequence!G213 + 0.5 * Deviation_sequence!$B$232)</f>
        <v>0.4047280397</v>
      </c>
      <c r="H213" s="7">
        <f>(Deviation_sequence!$B$233 + 0.5 *Deviation_sequence!$B$232) / (Deviation_sequence!H213 + 0.5 * Deviation_sequence!$B$232)</f>
        <v>0.3873316188</v>
      </c>
      <c r="I213" s="7">
        <f>(Deviation_sequence!$B$233 + 0.5 *Deviation_sequence!$B$232) / (Deviation_sequence!I213 + 0.5 * Deviation_sequence!$B$232)</f>
        <v>0.4043014707</v>
      </c>
      <c r="J213" s="7">
        <f>(Deviation_sequence!$B$233 + 0.5 *Deviation_sequence!$B$232) / (Deviation_sequence!J213 + 0.5 * Deviation_sequence!$B$232)</f>
        <v>0.4063811802</v>
      </c>
      <c r="K213" s="7">
        <f>(Deviation_sequence!$B$233 + 0.5 *Deviation_sequence!$B$232) / (Deviation_sequence!K213 + 0.5 * Deviation_sequence!$B$232)</f>
        <v>0.4038428788</v>
      </c>
      <c r="L213" s="7">
        <f>(Deviation_sequence!$B$233 + 0.5 *Deviation_sequence!$B$232) / (Deviation_sequence!L213 + 0.5 * Deviation_sequence!$B$232)</f>
        <v>0.4194657375</v>
      </c>
      <c r="M213" s="7">
        <f>(Deviation_sequence!$B$233 + 0.5 *Deviation_sequence!$B$232) / (Deviation_sequence!M213 + 0.5 * Deviation_sequence!$B$232)</f>
        <v>0.4011477371</v>
      </c>
      <c r="O213" s="7">
        <f t="shared" si="7"/>
        <v>0.3984066793</v>
      </c>
    </row>
    <row r="214">
      <c r="A214" s="10" t="s">
        <v>17</v>
      </c>
      <c r="B214" s="7">
        <f>(Deviation_sequence!$B$233 + 0.5 *Deviation_sequence!$B$232) / (Deviation_sequence!B214 + 0.5 * Deviation_sequence!$B$232)</f>
        <v>0.4021276635</v>
      </c>
      <c r="C214" s="7">
        <f>(Deviation_sequence!$B$233 + 0.5 *Deviation_sequence!$B$232) / (Deviation_sequence!C214 + 0.5 * Deviation_sequence!$B$232)</f>
        <v>0.4172969168</v>
      </c>
      <c r="D214" s="7">
        <f>(Deviation_sequence!$B$233 + 0.5 *Deviation_sequence!$B$232) / (Deviation_sequence!D214 + 0.5 * Deviation_sequence!$B$232)</f>
        <v>0.3970111482</v>
      </c>
      <c r="E214" s="7">
        <f>(Deviation_sequence!$B$233 + 0.5 *Deviation_sequence!$B$232) / (Deviation_sequence!E214 + 0.5 * Deviation_sequence!$B$232)</f>
        <v>0.4020860944</v>
      </c>
      <c r="F214" s="7">
        <f>(Deviation_sequence!$B$233 + 0.5 *Deviation_sequence!$B$232) / (Deviation_sequence!F214 + 0.5 * Deviation_sequence!$B$232)</f>
        <v>0.4011930157</v>
      </c>
      <c r="G214" s="7">
        <f>(Deviation_sequence!$B$233 + 0.5 *Deviation_sequence!$B$232) / (Deviation_sequence!G214 + 0.5 * Deviation_sequence!$B$232)</f>
        <v>0.3904326024</v>
      </c>
      <c r="H214" s="7">
        <f>(Deviation_sequence!$B$233 + 0.5 *Deviation_sequence!$B$232) / (Deviation_sequence!H214 + 0.5 * Deviation_sequence!$B$232)</f>
        <v>0.4013304518</v>
      </c>
      <c r="I214" s="7">
        <f>(Deviation_sequence!$B$233 + 0.5 *Deviation_sequence!$B$232) / (Deviation_sequence!I214 + 0.5 * Deviation_sequence!$B$232)</f>
        <v>0.4065210614</v>
      </c>
      <c r="J214" s="7">
        <f>(Deviation_sequence!$B$233 + 0.5 *Deviation_sequence!$B$232) / (Deviation_sequence!J214 + 0.5 * Deviation_sequence!$B$232)</f>
        <v>0.3987898112</v>
      </c>
      <c r="K214" s="7">
        <f>(Deviation_sequence!$B$233 + 0.5 *Deviation_sequence!$B$232) / (Deviation_sequence!K214 + 0.5 * Deviation_sequence!$B$232)</f>
        <v>0.3923540523</v>
      </c>
      <c r="L214" s="7">
        <f>(Deviation_sequence!$B$233 + 0.5 *Deviation_sequence!$B$232) / (Deviation_sequence!L214 + 0.5 * Deviation_sequence!$B$232)</f>
        <v>0.4114532913</v>
      </c>
      <c r="M214" s="7">
        <f>(Deviation_sequence!$B$233 + 0.5 *Deviation_sequence!$B$232) / (Deviation_sequence!M214 + 0.5 * Deviation_sequence!$B$232)</f>
        <v>0.4124499581</v>
      </c>
      <c r="O214" s="7">
        <f t="shared" si="7"/>
        <v>0.4027538389</v>
      </c>
    </row>
    <row r="215">
      <c r="A215" s="10" t="s">
        <v>18</v>
      </c>
      <c r="B215" s="7">
        <f>(Deviation_sequence!$B$233 + 0.5 *Deviation_sequence!$B$232) / (Deviation_sequence!B215 + 0.5 * Deviation_sequence!$B$232)</f>
        <v>0.3954675665</v>
      </c>
      <c r="C215" s="7">
        <f>(Deviation_sequence!$B$233 + 0.5 *Deviation_sequence!$B$232) / (Deviation_sequence!C215 + 0.5 * Deviation_sequence!$B$232)</f>
        <v>0.4093539036</v>
      </c>
      <c r="D215" s="7">
        <f>(Deviation_sequence!$B$233 + 0.5 *Deviation_sequence!$B$232) / (Deviation_sequence!D215 + 0.5 * Deviation_sequence!$B$232)</f>
        <v>0.407469163</v>
      </c>
      <c r="E215" s="7">
        <f>(Deviation_sequence!$B$233 + 0.5 *Deviation_sequence!$B$232) / (Deviation_sequence!E215 + 0.5 * Deviation_sequence!$B$232)</f>
        <v>0.3943405698</v>
      </c>
      <c r="F215" s="7">
        <f>(Deviation_sequence!$B$233 + 0.5 *Deviation_sequence!$B$232) / (Deviation_sequence!F215 + 0.5 * Deviation_sequence!$B$232)</f>
        <v>0.4171313579</v>
      </c>
      <c r="G215" s="7">
        <f>(Deviation_sequence!$B$233 + 0.5 *Deviation_sequence!$B$232) / (Deviation_sequence!G215 + 0.5 * Deviation_sequence!$B$232)</f>
        <v>0.3899973646</v>
      </c>
      <c r="H215" s="7">
        <f>(Deviation_sequence!$B$233 + 0.5 *Deviation_sequence!$B$232) / (Deviation_sequence!H215 + 0.5 * Deviation_sequence!$B$232)</f>
        <v>0.4032501473</v>
      </c>
      <c r="I215" s="7">
        <f>(Deviation_sequence!$B$233 + 0.5 *Deviation_sequence!$B$232) / (Deviation_sequence!I215 + 0.5 * Deviation_sequence!$B$232)</f>
        <v>0.4082082345</v>
      </c>
      <c r="J215" s="7">
        <f>(Deviation_sequence!$B$233 + 0.5 *Deviation_sequence!$B$232) / (Deviation_sequence!J215 + 0.5 * Deviation_sequence!$B$232)</f>
        <v>0.4053128892</v>
      </c>
      <c r="K215" s="7">
        <f>(Deviation_sequence!$B$233 + 0.5 *Deviation_sequence!$B$232) / (Deviation_sequence!K215 + 0.5 * Deviation_sequence!$B$232)</f>
        <v>0.4068522351</v>
      </c>
      <c r="L215" s="7">
        <f>(Deviation_sequence!$B$233 + 0.5 *Deviation_sequence!$B$232) / (Deviation_sequence!L215 + 0.5 * Deviation_sequence!$B$232)</f>
        <v>0.4137637521</v>
      </c>
      <c r="M215" s="7">
        <f>(Deviation_sequence!$B$233 + 0.5 *Deviation_sequence!$B$232) / (Deviation_sequence!M215 + 0.5 * Deviation_sequence!$B$232)</f>
        <v>0.390281769</v>
      </c>
      <c r="O215" s="7">
        <f t="shared" si="7"/>
        <v>0.4034524127</v>
      </c>
    </row>
    <row r="216">
      <c r="A216" s="10" t="s">
        <v>19</v>
      </c>
      <c r="B216" s="7">
        <f>(Deviation_sequence!$B$233 + 0.5 *Deviation_sequence!$B$232) / (Deviation_sequence!B216 + 0.5 * Deviation_sequence!$B$232)</f>
        <v>0.4237491653</v>
      </c>
      <c r="C216" s="7">
        <f>(Deviation_sequence!$B$233 + 0.5 *Deviation_sequence!$B$232) / (Deviation_sequence!C216 + 0.5 * Deviation_sequence!$B$232)</f>
        <v>0.4500097444</v>
      </c>
      <c r="D216" s="7">
        <f>(Deviation_sequence!$B$233 + 0.5 *Deviation_sequence!$B$232) / (Deviation_sequence!D216 + 0.5 * Deviation_sequence!$B$232)</f>
        <v>0.4718958351</v>
      </c>
      <c r="E216" s="7">
        <f>(Deviation_sequence!$B$233 + 0.5 *Deviation_sequence!$B$232) / (Deviation_sequence!E216 + 0.5 * Deviation_sequence!$B$232)</f>
        <v>0.4284772105</v>
      </c>
      <c r="F216" s="7">
        <f>(Deviation_sequence!$B$233 + 0.5 *Deviation_sequence!$B$232) / (Deviation_sequence!F216 + 0.5 * Deviation_sequence!$B$232)</f>
        <v>0.4226931061</v>
      </c>
      <c r="G216" s="7">
        <f>(Deviation_sequence!$B$233 + 0.5 *Deviation_sequence!$B$232) / (Deviation_sequence!G216 + 0.5 * Deviation_sequence!$B$232)</f>
        <v>0.4401529782</v>
      </c>
      <c r="H216" s="7">
        <f>(Deviation_sequence!$B$233 + 0.5 *Deviation_sequence!$B$232) / (Deviation_sequence!H216 + 0.5 * Deviation_sequence!$B$232)</f>
        <v>0.427893969</v>
      </c>
      <c r="I216" s="7">
        <f>(Deviation_sequence!$B$233 + 0.5 *Deviation_sequence!$B$232) / (Deviation_sequence!I216 + 0.5 * Deviation_sequence!$B$232)</f>
        <v>0.4894299987</v>
      </c>
      <c r="J216" s="7">
        <f>(Deviation_sequence!$B$233 + 0.5 *Deviation_sequence!$B$232) / (Deviation_sequence!J216 + 0.5 * Deviation_sequence!$B$232)</f>
        <v>0.4752015144</v>
      </c>
      <c r="K216" s="7">
        <f>(Deviation_sequence!$B$233 + 0.5 *Deviation_sequence!$B$232) / (Deviation_sequence!K216 + 0.5 * Deviation_sequence!$B$232)</f>
        <v>0.453358178</v>
      </c>
      <c r="L216" s="7">
        <f>(Deviation_sequence!$B$233 + 0.5 *Deviation_sequence!$B$232) / (Deviation_sequence!L216 + 0.5 * Deviation_sequence!$B$232)</f>
        <v>0.4471571159</v>
      </c>
      <c r="M216" s="7">
        <f>(Deviation_sequence!$B$233 + 0.5 *Deviation_sequence!$B$232) / (Deviation_sequence!M216 + 0.5 * Deviation_sequence!$B$232)</f>
        <v>0.3726791485</v>
      </c>
      <c r="O216" s="7">
        <f t="shared" si="7"/>
        <v>0.441891497</v>
      </c>
    </row>
    <row r="217">
      <c r="A217" s="10" t="s">
        <v>20</v>
      </c>
      <c r="B217" s="7">
        <f>(Deviation_sequence!$B$233 + 0.5 *Deviation_sequence!$B$232) / (Deviation_sequence!B217 + 0.5 * Deviation_sequence!$B$232)</f>
        <v>0.4170326134</v>
      </c>
      <c r="C217" s="7">
        <f>(Deviation_sequence!$B$233 + 0.5 *Deviation_sequence!$B$232) / (Deviation_sequence!C217 + 0.5 * Deviation_sequence!$B$232)</f>
        <v>0.4493203276</v>
      </c>
      <c r="D217" s="7">
        <f>(Deviation_sequence!$B$233 + 0.5 *Deviation_sequence!$B$232) / (Deviation_sequence!D217 + 0.5 * Deviation_sequence!$B$232)</f>
        <v>0.439915251</v>
      </c>
      <c r="E217" s="7">
        <f>(Deviation_sequence!$B$233 + 0.5 *Deviation_sequence!$B$232) / (Deviation_sequence!E217 + 0.5 * Deviation_sequence!$B$232)</f>
        <v>0.4415670637</v>
      </c>
      <c r="F217" s="7">
        <f>(Deviation_sequence!$B$233 + 0.5 *Deviation_sequence!$B$232) / (Deviation_sequence!F217 + 0.5 * Deviation_sequence!$B$232)</f>
        <v>0.4411706081</v>
      </c>
      <c r="G217" s="7">
        <f>(Deviation_sequence!$B$233 + 0.5 *Deviation_sequence!$B$232) / (Deviation_sequence!G217 + 0.5 * Deviation_sequence!$B$232)</f>
        <v>0.4139505871</v>
      </c>
      <c r="H217" s="7">
        <f>(Deviation_sequence!$B$233 + 0.5 *Deviation_sequence!$B$232) / (Deviation_sequence!H217 + 0.5 * Deviation_sequence!$B$232)</f>
        <v>0.45988228</v>
      </c>
      <c r="I217" s="7">
        <f>(Deviation_sequence!$B$233 + 0.5 *Deviation_sequence!$B$232) / (Deviation_sequence!I217 + 0.5 * Deviation_sequence!$B$232)</f>
        <v>0.4252992041</v>
      </c>
      <c r="J217" s="7">
        <f>(Deviation_sequence!$B$233 + 0.5 *Deviation_sequence!$B$232) / (Deviation_sequence!J217 + 0.5 * Deviation_sequence!$B$232)</f>
        <v>0.4600036581</v>
      </c>
      <c r="K217" s="7">
        <f>(Deviation_sequence!$B$233 + 0.5 *Deviation_sequence!$B$232) / (Deviation_sequence!K217 + 0.5 * Deviation_sequence!$B$232)</f>
        <v>0.4365597506</v>
      </c>
      <c r="L217" s="7">
        <f>(Deviation_sequence!$B$233 + 0.5 *Deviation_sequence!$B$232) / (Deviation_sequence!L217 + 0.5 * Deviation_sequence!$B$232)</f>
        <v>0.4163686159</v>
      </c>
      <c r="M217" s="7">
        <f>(Deviation_sequence!$B$233 + 0.5 *Deviation_sequence!$B$232) / (Deviation_sequence!M217 + 0.5 * Deviation_sequence!$B$232)</f>
        <v>0.3783419104</v>
      </c>
      <c r="O217" s="7">
        <f t="shared" si="7"/>
        <v>0.4316176558</v>
      </c>
    </row>
    <row r="218">
      <c r="A218" s="10" t="s">
        <v>21</v>
      </c>
      <c r="B218" s="7">
        <f>(Deviation_sequence!$B$233 + 0.5 *Deviation_sequence!$B$232) / (Deviation_sequence!B218 + 0.5 * Deviation_sequence!$B$232)</f>
        <v>0.4260003685</v>
      </c>
      <c r="C218" s="7">
        <f>(Deviation_sequence!$B$233 + 0.5 *Deviation_sequence!$B$232) / (Deviation_sequence!C218 + 0.5 * Deviation_sequence!$B$232)</f>
        <v>0.4586454238</v>
      </c>
      <c r="D218" s="7">
        <f>(Deviation_sequence!$B$233 + 0.5 *Deviation_sequence!$B$232) / (Deviation_sequence!D218 + 0.5 * Deviation_sequence!$B$232)</f>
        <v>0.4353726814</v>
      </c>
      <c r="E218" s="7">
        <f>(Deviation_sequence!$B$233 + 0.5 *Deviation_sequence!$B$232) / (Deviation_sequence!E218 + 0.5 * Deviation_sequence!$B$232)</f>
        <v>0.4636462778</v>
      </c>
      <c r="F218" s="7">
        <f>(Deviation_sequence!$B$233 + 0.5 *Deviation_sequence!$B$232) / (Deviation_sequence!F218 + 0.5 * Deviation_sequence!$B$232)</f>
        <v>0.4453232907</v>
      </c>
      <c r="G218" s="7">
        <f>(Deviation_sequence!$B$233 + 0.5 *Deviation_sequence!$B$232) / (Deviation_sequence!G218 + 0.5 * Deviation_sequence!$B$232)</f>
        <v>0.4503977345</v>
      </c>
      <c r="H218" s="7">
        <f>(Deviation_sequence!$B$233 + 0.5 *Deviation_sequence!$B$232) / (Deviation_sequence!H218 + 0.5 * Deviation_sequence!$B$232)</f>
        <v>0.4682599476</v>
      </c>
      <c r="I218" s="7">
        <f>(Deviation_sequence!$B$233 + 0.5 *Deviation_sequence!$B$232) / (Deviation_sequence!I218 + 0.5 * Deviation_sequence!$B$232)</f>
        <v>0.4535672643</v>
      </c>
      <c r="J218" s="7">
        <f>(Deviation_sequence!$B$233 + 0.5 *Deviation_sequence!$B$232) / (Deviation_sequence!J218 + 0.5 * Deviation_sequence!$B$232)</f>
        <v>0.5091329324</v>
      </c>
      <c r="K218" s="7">
        <f>(Deviation_sequence!$B$233 + 0.5 *Deviation_sequence!$B$232) / (Deviation_sequence!K218 + 0.5 * Deviation_sequence!$B$232)</f>
        <v>0.5002134564</v>
      </c>
      <c r="L218" s="7">
        <f>(Deviation_sequence!$B$233 + 0.5 *Deviation_sequence!$B$232) / (Deviation_sequence!L218 + 0.5 * Deviation_sequence!$B$232)</f>
        <v>0.5066764525</v>
      </c>
      <c r="M218" s="7">
        <f>(Deviation_sequence!$B$233 + 0.5 *Deviation_sequence!$B$232) / (Deviation_sequence!M218 + 0.5 * Deviation_sequence!$B$232)</f>
        <v>0.483150753</v>
      </c>
      <c r="O218" s="7">
        <f t="shared" si="7"/>
        <v>0.4666988819</v>
      </c>
    </row>
    <row r="219">
      <c r="A219" s="10" t="s">
        <v>22</v>
      </c>
      <c r="B219" s="7">
        <f>(Deviation_sequence!$B$233 + 0.5 *Deviation_sequence!$B$232) / (Deviation_sequence!B219 + 0.5 * Deviation_sequence!$B$232)</f>
        <v>0.4093621884</v>
      </c>
      <c r="C219" s="7">
        <f>(Deviation_sequence!$B$233 + 0.5 *Deviation_sequence!$B$232) / (Deviation_sequence!C219 + 0.5 * Deviation_sequence!$B$232)</f>
        <v>0.4156532412</v>
      </c>
      <c r="D219" s="7">
        <f>(Deviation_sequence!$B$233 + 0.5 *Deviation_sequence!$B$232) / (Deviation_sequence!D219 + 0.5 * Deviation_sequence!$B$232)</f>
        <v>0.4139004201</v>
      </c>
      <c r="E219" s="7">
        <f>(Deviation_sequence!$B$233 + 0.5 *Deviation_sequence!$B$232) / (Deviation_sequence!E219 + 0.5 * Deviation_sequence!$B$232)</f>
        <v>0.4203590851</v>
      </c>
      <c r="F219" s="7">
        <f>(Deviation_sequence!$B$233 + 0.5 *Deviation_sequence!$B$232) / (Deviation_sequence!F219 + 0.5 * Deviation_sequence!$B$232)</f>
        <v>0.4098724682</v>
      </c>
      <c r="G219" s="7">
        <f>(Deviation_sequence!$B$233 + 0.5 *Deviation_sequence!$B$232) / (Deviation_sequence!G219 + 0.5 * Deviation_sequence!$B$232)</f>
        <v>0.4567390601</v>
      </c>
      <c r="H219" s="7">
        <f>(Deviation_sequence!$B$233 + 0.5 *Deviation_sequence!$B$232) / (Deviation_sequence!H219 + 0.5 * Deviation_sequence!$B$232)</f>
        <v>0.4664601857</v>
      </c>
      <c r="I219" s="7">
        <f>(Deviation_sequence!$B$233 + 0.5 *Deviation_sequence!$B$232) / (Deviation_sequence!I219 + 0.5 * Deviation_sequence!$B$232)</f>
        <v>0.4772102981</v>
      </c>
      <c r="J219" s="7">
        <f>(Deviation_sequence!$B$233 + 0.5 *Deviation_sequence!$B$232) / (Deviation_sequence!J219 + 0.5 * Deviation_sequence!$B$232)</f>
        <v>0.4728484288</v>
      </c>
      <c r="K219" s="7">
        <f>(Deviation_sequence!$B$233 + 0.5 *Deviation_sequence!$B$232) / (Deviation_sequence!K219 + 0.5 * Deviation_sequence!$B$232)</f>
        <v>0.4653428477</v>
      </c>
      <c r="L219" s="7">
        <f>(Deviation_sequence!$B$233 + 0.5 *Deviation_sequence!$B$232) / (Deviation_sequence!L219 + 0.5 * Deviation_sequence!$B$232)</f>
        <v>0.4216094593</v>
      </c>
      <c r="M219" s="7">
        <f>(Deviation_sequence!$B$233 + 0.5 *Deviation_sequence!$B$232) / (Deviation_sequence!M219 + 0.5 * Deviation_sequence!$B$232)</f>
        <v>0.4013929544</v>
      </c>
      <c r="O219" s="7">
        <f t="shared" si="7"/>
        <v>0.4358958864</v>
      </c>
    </row>
    <row r="220">
      <c r="A220" s="10" t="s">
        <v>23</v>
      </c>
      <c r="B220" s="7">
        <f>(Deviation_sequence!$B$233 + 0.5 *Deviation_sequence!$B$232) / (Deviation_sequence!B220 + 0.5 * Deviation_sequence!$B$232)</f>
        <v>0.4331446958</v>
      </c>
      <c r="C220" s="7">
        <f>(Deviation_sequence!$B$233 + 0.5 *Deviation_sequence!$B$232) / (Deviation_sequence!C220 + 0.5 * Deviation_sequence!$B$232)</f>
        <v>0.4314786371</v>
      </c>
      <c r="D220" s="7">
        <f>(Deviation_sequence!$B$233 + 0.5 *Deviation_sequence!$B$232) / (Deviation_sequence!D220 + 0.5 * Deviation_sequence!$B$232)</f>
        <v>0.4162952655</v>
      </c>
      <c r="E220" s="7">
        <f>(Deviation_sequence!$B$233 + 0.5 *Deviation_sequence!$B$232) / (Deviation_sequence!E220 + 0.5 * Deviation_sequence!$B$232)</f>
        <v>0.4193052059</v>
      </c>
      <c r="F220" s="7">
        <f>(Deviation_sequence!$B$233 + 0.5 *Deviation_sequence!$B$232) / (Deviation_sequence!F220 + 0.5 * Deviation_sequence!$B$232)</f>
        <v>0.4525578785</v>
      </c>
      <c r="G220" s="7">
        <f>(Deviation_sequence!$B$233 + 0.5 *Deviation_sequence!$B$232) / (Deviation_sequence!G220 + 0.5 * Deviation_sequence!$B$232)</f>
        <v>0.4434361491</v>
      </c>
      <c r="H220" s="7">
        <f>(Deviation_sequence!$B$233 + 0.5 *Deviation_sequence!$B$232) / (Deviation_sequence!H220 + 0.5 * Deviation_sequence!$B$232)</f>
        <v>0.4642799974</v>
      </c>
      <c r="I220" s="7">
        <f>(Deviation_sequence!$B$233 + 0.5 *Deviation_sequence!$B$232) / (Deviation_sequence!I220 + 0.5 * Deviation_sequence!$B$232)</f>
        <v>0.4583460031</v>
      </c>
      <c r="J220" s="7">
        <f>(Deviation_sequence!$B$233 + 0.5 *Deviation_sequence!$B$232) / (Deviation_sequence!J220 + 0.5 * Deviation_sequence!$B$232)</f>
        <v>0.4171894391</v>
      </c>
      <c r="K220" s="7">
        <f>(Deviation_sequence!$B$233 + 0.5 *Deviation_sequence!$B$232) / (Deviation_sequence!K220 + 0.5 * Deviation_sequence!$B$232)</f>
        <v>0.4171266639</v>
      </c>
      <c r="L220" s="7">
        <f>(Deviation_sequence!$B$233 + 0.5 *Deviation_sequence!$B$232) / (Deviation_sequence!L220 + 0.5 * Deviation_sequence!$B$232)</f>
        <v>0.3927329316</v>
      </c>
      <c r="M220" s="7">
        <f>(Deviation_sequence!$B$233 + 0.5 *Deviation_sequence!$B$232) / (Deviation_sequence!M220 + 0.5 * Deviation_sequence!$B$232)</f>
        <v>0.3698646647</v>
      </c>
      <c r="O220" s="7">
        <f t="shared" si="7"/>
        <v>0.4263131276</v>
      </c>
    </row>
    <row r="221">
      <c r="A221" s="10" t="s">
        <v>24</v>
      </c>
      <c r="B221" s="7">
        <f>(Deviation_sequence!$B$233 + 0.5 *Deviation_sequence!$B$232) / (Deviation_sequence!B221 + 0.5 * Deviation_sequence!$B$232)</f>
        <v>0.414908891</v>
      </c>
      <c r="C221" s="7">
        <f>(Deviation_sequence!$B$233 + 0.5 *Deviation_sequence!$B$232) / (Deviation_sequence!C221 + 0.5 * Deviation_sequence!$B$232)</f>
        <v>0.3976890648</v>
      </c>
      <c r="D221" s="7">
        <f>(Deviation_sequence!$B$233 + 0.5 *Deviation_sequence!$B$232) / (Deviation_sequence!D221 + 0.5 * Deviation_sequence!$B$232)</f>
        <v>0.34679839</v>
      </c>
      <c r="E221" s="7">
        <f>(Deviation_sequence!$B$233 + 0.5 *Deviation_sequence!$B$232) / (Deviation_sequence!E221 + 0.5 * Deviation_sequence!$B$232)</f>
        <v>0.3560582107</v>
      </c>
      <c r="F221" s="7">
        <f>(Deviation_sequence!$B$233 + 0.5 *Deviation_sequence!$B$232) / (Deviation_sequence!F221 + 0.5 * Deviation_sequence!$B$232)</f>
        <v>0.362965661</v>
      </c>
      <c r="G221" s="7">
        <f>(Deviation_sequence!$B$233 + 0.5 *Deviation_sequence!$B$232) / (Deviation_sequence!G221 + 0.5 * Deviation_sequence!$B$232)</f>
        <v>0.3418234478</v>
      </c>
      <c r="H221" s="7">
        <f>(Deviation_sequence!$B$233 + 0.5 *Deviation_sequence!$B$232) / (Deviation_sequence!H221 + 0.5 * Deviation_sequence!$B$232)</f>
        <v>0.3602454612</v>
      </c>
      <c r="I221" s="7">
        <f>(Deviation_sequence!$B$233 + 0.5 *Deviation_sequence!$B$232) / (Deviation_sequence!I221 + 0.5 * Deviation_sequence!$B$232)</f>
        <v>0.367164492</v>
      </c>
      <c r="J221" s="7">
        <f>(Deviation_sequence!$B$233 + 0.5 *Deviation_sequence!$B$232) / (Deviation_sequence!J221 + 0.5 * Deviation_sequence!$B$232)</f>
        <v>0.3516510868</v>
      </c>
      <c r="K221" s="7">
        <f>(Deviation_sequence!$B$233 + 0.5 *Deviation_sequence!$B$232) / (Deviation_sequence!K221 + 0.5 * Deviation_sequence!$B$232)</f>
        <v>0.3614106653</v>
      </c>
      <c r="L221" s="7">
        <f>(Deviation_sequence!$B$233 + 0.5 *Deviation_sequence!$B$232) / (Deviation_sequence!L221 + 0.5 * Deviation_sequence!$B$232)</f>
        <v>0.3715774006</v>
      </c>
      <c r="M221" s="7">
        <f>(Deviation_sequence!$B$233 + 0.5 *Deviation_sequence!$B$232) / (Deviation_sequence!M221 + 0.5 * Deviation_sequence!$B$232)</f>
        <v>0.4477120417</v>
      </c>
      <c r="O221" s="7">
        <f t="shared" si="7"/>
        <v>0.3733337344</v>
      </c>
    </row>
    <row r="222">
      <c r="A222" s="10" t="s">
        <v>25</v>
      </c>
      <c r="B222" s="7">
        <f>(Deviation_sequence!$B$233 + 0.5 *Deviation_sequence!$B$232) / (Deviation_sequence!B222 + 0.5 * Deviation_sequence!$B$232)</f>
        <v>0.4571991125</v>
      </c>
      <c r="C222" s="7">
        <f>(Deviation_sequence!$B$233 + 0.5 *Deviation_sequence!$B$232) / (Deviation_sequence!C222 + 0.5 * Deviation_sequence!$B$232)</f>
        <v>0.564200186</v>
      </c>
      <c r="D222" s="7">
        <f>(Deviation_sequence!$B$233 + 0.5 *Deviation_sequence!$B$232) / (Deviation_sequence!D222 + 0.5 * Deviation_sequence!$B$232)</f>
        <v>0.470548192</v>
      </c>
      <c r="E222" s="7">
        <f>(Deviation_sequence!$B$233 + 0.5 *Deviation_sequence!$B$232) / (Deviation_sequence!E222 + 0.5 * Deviation_sequence!$B$232)</f>
        <v>0.4978097177</v>
      </c>
      <c r="F222" s="7">
        <f>(Deviation_sequence!$B$233 + 0.5 *Deviation_sequence!$B$232) / (Deviation_sequence!F222 + 0.5 * Deviation_sequence!$B$232)</f>
        <v>0.7815991312</v>
      </c>
      <c r="G222" s="7">
        <f>(Deviation_sequence!$B$233 + 0.5 *Deviation_sequence!$B$232) / (Deviation_sequence!G222 + 0.5 * Deviation_sequence!$B$232)</f>
        <v>0.4554061539</v>
      </c>
      <c r="H222" s="7">
        <f>(Deviation_sequence!$B$233 + 0.5 *Deviation_sequence!$B$232) / (Deviation_sequence!H222 + 0.5 * Deviation_sequence!$B$232)</f>
        <v>0.4619577843</v>
      </c>
      <c r="I222" s="7">
        <f>(Deviation_sequence!$B$233 + 0.5 *Deviation_sequence!$B$232) / (Deviation_sequence!I222 + 0.5 * Deviation_sequence!$B$232)</f>
        <v>0.4595860713</v>
      </c>
      <c r="J222" s="7">
        <f>(Deviation_sequence!$B$233 + 0.5 *Deviation_sequence!$B$232) / (Deviation_sequence!J222 + 0.5 * Deviation_sequence!$B$232)</f>
        <v>0.4814654156</v>
      </c>
      <c r="K222" s="7">
        <f>(Deviation_sequence!$B$233 + 0.5 *Deviation_sequence!$B$232) / (Deviation_sequence!K222 + 0.5 * Deviation_sequence!$B$232)</f>
        <v>0.4506626918</v>
      </c>
      <c r="L222" s="7">
        <f>(Deviation_sequence!$B$233 + 0.5 *Deviation_sequence!$B$232) / (Deviation_sequence!L222 + 0.5 * Deviation_sequence!$B$232)</f>
        <v>0.4904828519</v>
      </c>
      <c r="M222" s="7">
        <f>(Deviation_sequence!$B$233 + 0.5 *Deviation_sequence!$B$232) / (Deviation_sequence!M222 + 0.5 * Deviation_sequence!$B$232)</f>
        <v>0.4925395285</v>
      </c>
      <c r="O222" s="7">
        <f t="shared" si="7"/>
        <v>0.5052880697</v>
      </c>
    </row>
    <row r="223">
      <c r="A223" s="10" t="s">
        <v>26</v>
      </c>
      <c r="B223" s="7">
        <f>(Deviation_sequence!$B$233 + 0.5 *Deviation_sequence!$B$232) / (Deviation_sequence!B223 + 0.5 * Deviation_sequence!$B$232)</f>
        <v>0.4437616469</v>
      </c>
      <c r="C223" s="7">
        <f>(Deviation_sequence!$B$233 + 0.5 *Deviation_sequence!$B$232) / (Deviation_sequence!C223 + 0.5 * Deviation_sequence!$B$232)</f>
        <v>0.4662023928</v>
      </c>
      <c r="D223" s="7">
        <f>(Deviation_sequence!$B$233 + 0.5 *Deviation_sequence!$B$232) / (Deviation_sequence!D223 + 0.5 * Deviation_sequence!$B$232)</f>
        <v>0.4309695957</v>
      </c>
      <c r="E223" s="7">
        <f>(Deviation_sequence!$B$233 + 0.5 *Deviation_sequence!$B$232) / (Deviation_sequence!E223 + 0.5 * Deviation_sequence!$B$232)</f>
        <v>0.4372744989</v>
      </c>
      <c r="F223" s="7">
        <f>(Deviation_sequence!$B$233 + 0.5 *Deviation_sequence!$B$232) / (Deviation_sequence!F223 + 0.5 * Deviation_sequence!$B$232)</f>
        <v>0.4800995765</v>
      </c>
      <c r="G223" s="7">
        <f>(Deviation_sequence!$B$233 + 0.5 *Deviation_sequence!$B$232) / (Deviation_sequence!G223 + 0.5 * Deviation_sequence!$B$232)</f>
        <v>0.4148829012</v>
      </c>
      <c r="H223" s="7">
        <f>(Deviation_sequence!$B$233 + 0.5 *Deviation_sequence!$B$232) / (Deviation_sequence!H223 + 0.5 * Deviation_sequence!$B$232)</f>
        <v>0.4226675427</v>
      </c>
      <c r="I223" s="7">
        <f>(Deviation_sequence!$B$233 + 0.5 *Deviation_sequence!$B$232) / (Deviation_sequence!I223 + 0.5 * Deviation_sequence!$B$232)</f>
        <v>0.4095853709</v>
      </c>
      <c r="J223" s="7">
        <f>(Deviation_sequence!$B$233 + 0.5 *Deviation_sequence!$B$232) / (Deviation_sequence!J223 + 0.5 * Deviation_sequence!$B$232)</f>
        <v>0.4353743816</v>
      </c>
      <c r="K223" s="7">
        <f>(Deviation_sequence!$B$233 + 0.5 *Deviation_sequence!$B$232) / (Deviation_sequence!K223 + 0.5 * Deviation_sequence!$B$232)</f>
        <v>0.4321039856</v>
      </c>
      <c r="L223" s="7">
        <f>(Deviation_sequence!$B$233 + 0.5 *Deviation_sequence!$B$232) / (Deviation_sequence!L223 + 0.5 * Deviation_sequence!$B$232)</f>
        <v>0.4037746387</v>
      </c>
      <c r="M223" s="7">
        <f>(Deviation_sequence!$B$233 + 0.5 *Deviation_sequence!$B$232) / (Deviation_sequence!M223 + 0.5 * Deviation_sequence!$B$232)</f>
        <v>0.4442989972</v>
      </c>
      <c r="O223" s="7">
        <f t="shared" si="7"/>
        <v>0.4350829607</v>
      </c>
    </row>
    <row r="224">
      <c r="A224" s="10" t="s">
        <v>27</v>
      </c>
      <c r="B224" s="7">
        <f>(Deviation_sequence!$B$233 + 0.5 *Deviation_sequence!$B$232) / (Deviation_sequence!B224 + 0.5 * Deviation_sequence!$B$232)</f>
        <v>0.366368272</v>
      </c>
      <c r="C224" s="7">
        <f>(Deviation_sequence!$B$233 + 0.5 *Deviation_sequence!$B$232) / (Deviation_sequence!C224 + 0.5 * Deviation_sequence!$B$232)</f>
        <v>0.3809931601</v>
      </c>
      <c r="D224" s="7">
        <f>(Deviation_sequence!$B$233 + 0.5 *Deviation_sequence!$B$232) / (Deviation_sequence!D224 + 0.5 * Deviation_sequence!$B$232)</f>
        <v>0.3798795609</v>
      </c>
      <c r="E224" s="7">
        <f>(Deviation_sequence!$B$233 + 0.5 *Deviation_sequence!$B$232) / (Deviation_sequence!E224 + 0.5 * Deviation_sequence!$B$232)</f>
        <v>0.3890847263</v>
      </c>
      <c r="F224" s="7">
        <f>(Deviation_sequence!$B$233 + 0.5 *Deviation_sequence!$B$232) / (Deviation_sequence!F224 + 0.5 * Deviation_sequence!$B$232)</f>
        <v>0.4318066328</v>
      </c>
      <c r="G224" s="7">
        <f>(Deviation_sequence!$B$233 + 0.5 *Deviation_sequence!$B$232) / (Deviation_sequence!G224 + 0.5 * Deviation_sequence!$B$232)</f>
        <v>0.4555059667</v>
      </c>
      <c r="H224" s="7">
        <f>(Deviation_sequence!$B$233 + 0.5 *Deviation_sequence!$B$232) / (Deviation_sequence!H224 + 0.5 * Deviation_sequence!$B$232)</f>
        <v>0.5975227677</v>
      </c>
      <c r="I224" s="7">
        <f>(Deviation_sequence!$B$233 + 0.5 *Deviation_sequence!$B$232) / (Deviation_sequence!I224 + 0.5 * Deviation_sequence!$B$232)</f>
        <v>0.6717538273</v>
      </c>
      <c r="J224" s="7">
        <f>(Deviation_sequence!$B$233 + 0.5 *Deviation_sequence!$B$232) / (Deviation_sequence!J224 + 0.5 * Deviation_sequence!$B$232)</f>
        <v>0.9968164917</v>
      </c>
      <c r="K224" s="7">
        <f>(Deviation_sequence!$B$233 + 0.5 *Deviation_sequence!$B$232) / (Deviation_sequence!K224 + 0.5 * Deviation_sequence!$B$232)</f>
        <v>0.55872208</v>
      </c>
      <c r="L224" s="7">
        <f>(Deviation_sequence!$B$233 + 0.5 *Deviation_sequence!$B$232) / (Deviation_sequence!L224 + 0.5 * Deviation_sequence!$B$232)</f>
        <v>0.3772693839</v>
      </c>
      <c r="M224" s="7">
        <f>(Deviation_sequence!$B$233 + 0.5 *Deviation_sequence!$B$232) / (Deviation_sequence!M224 + 0.5 * Deviation_sequence!$B$232)</f>
        <v>0.4104202012</v>
      </c>
      <c r="O224" s="7">
        <f t="shared" si="7"/>
        <v>0.5013452559</v>
      </c>
    </row>
    <row r="225">
      <c r="A225" s="10" t="s">
        <v>28</v>
      </c>
      <c r="B225" s="7">
        <f>(Deviation_sequence!$B$233 + 0.5 *Deviation_sequence!$B$232) / (Deviation_sequence!B225 + 0.5 * Deviation_sequence!$B$232)</f>
        <v>0.3565978713</v>
      </c>
      <c r="C225" s="7">
        <f>(Deviation_sequence!$B$233 + 0.5 *Deviation_sequence!$B$232) / (Deviation_sequence!C225 + 0.5 * Deviation_sequence!$B$232)</f>
        <v>0.3574760699</v>
      </c>
      <c r="D225" s="7">
        <f>(Deviation_sequence!$B$233 + 0.5 *Deviation_sequence!$B$232) / (Deviation_sequence!D225 + 0.5 * Deviation_sequence!$B$232)</f>
        <v>0.3622609263</v>
      </c>
      <c r="E225" s="7">
        <f>(Deviation_sequence!$B$233 + 0.5 *Deviation_sequence!$B$232) / (Deviation_sequence!E225 + 0.5 * Deviation_sequence!$B$232)</f>
        <v>0.357215159</v>
      </c>
      <c r="F225" s="7">
        <f>(Deviation_sequence!$B$233 + 0.5 *Deviation_sequence!$B$232) / (Deviation_sequence!F225 + 0.5 * Deviation_sequence!$B$232)</f>
        <v>0.392263334</v>
      </c>
      <c r="G225" s="7">
        <f>(Deviation_sequence!$B$233 + 0.5 *Deviation_sequence!$B$232) / (Deviation_sequence!G225 + 0.5 * Deviation_sequence!$B$232)</f>
        <v>0.3477900915</v>
      </c>
      <c r="H225" s="7">
        <f>(Deviation_sequence!$B$233 + 0.5 *Deviation_sequence!$B$232) / (Deviation_sequence!H225 + 0.5 * Deviation_sequence!$B$232)</f>
        <v>0.3553827656</v>
      </c>
      <c r="I225" s="7">
        <f>(Deviation_sequence!$B$233 + 0.5 *Deviation_sequence!$B$232) / (Deviation_sequence!I225 + 0.5 * Deviation_sequence!$B$232)</f>
        <v>0.3719852947</v>
      </c>
      <c r="J225" s="7">
        <f>(Deviation_sequence!$B$233 + 0.5 *Deviation_sequence!$B$232) / (Deviation_sequence!J225 + 0.5 * Deviation_sequence!$B$232)</f>
        <v>0.3853038668</v>
      </c>
      <c r="K225" s="7">
        <f>(Deviation_sequence!$B$233 + 0.5 *Deviation_sequence!$B$232) / (Deviation_sequence!K225 + 0.5 * Deviation_sequence!$B$232)</f>
        <v>0.387771976</v>
      </c>
      <c r="L225" s="7">
        <f>(Deviation_sequence!$B$233 + 0.5 *Deviation_sequence!$B$232) / (Deviation_sequence!L225 + 0.5 * Deviation_sequence!$B$232)</f>
        <v>0.3630753343</v>
      </c>
      <c r="M225" s="7">
        <f>(Deviation_sequence!$B$233 + 0.5 *Deviation_sequence!$B$232) / (Deviation_sequence!M225 + 0.5 * Deviation_sequence!$B$232)</f>
        <v>0.3787770118</v>
      </c>
      <c r="O225" s="7">
        <f t="shared" si="7"/>
        <v>0.3679916418</v>
      </c>
    </row>
    <row r="226">
      <c r="A226" s="10" t="s">
        <v>29</v>
      </c>
      <c r="B226" s="7">
        <f>(Deviation_sequence!$B$233 + 0.5 *Deviation_sequence!$B$232) / (Deviation_sequence!B226 + 0.5 * Deviation_sequence!$B$232)</f>
        <v>0.3878557786</v>
      </c>
      <c r="C226" s="7">
        <f>(Deviation_sequence!$B$233 + 0.5 *Deviation_sequence!$B$232) / (Deviation_sequence!C226 + 0.5 * Deviation_sequence!$B$232)</f>
        <v>0.3855429104</v>
      </c>
      <c r="D226" s="7">
        <f>(Deviation_sequence!$B$233 + 0.5 *Deviation_sequence!$B$232) / (Deviation_sequence!D226 + 0.5 * Deviation_sequence!$B$232)</f>
        <v>0.3669704245</v>
      </c>
      <c r="E226" s="7">
        <f>(Deviation_sequence!$B$233 + 0.5 *Deviation_sequence!$B$232) / (Deviation_sequence!E226 + 0.5 * Deviation_sequence!$B$232)</f>
        <v>0.3788409225</v>
      </c>
      <c r="F226" s="7">
        <f>(Deviation_sequence!$B$233 + 0.5 *Deviation_sequence!$B$232) / (Deviation_sequence!F226 + 0.5 * Deviation_sequence!$B$232)</f>
        <v>0.3766626481</v>
      </c>
      <c r="G226" s="7">
        <f>(Deviation_sequence!$B$233 + 0.5 *Deviation_sequence!$B$232) / (Deviation_sequence!G226 + 0.5 * Deviation_sequence!$B$232)</f>
        <v>0.3564243231</v>
      </c>
      <c r="H226" s="7">
        <f>(Deviation_sequence!$B$233 + 0.5 *Deviation_sequence!$B$232) / (Deviation_sequence!H226 + 0.5 * Deviation_sequence!$B$232)</f>
        <v>0.3649533844</v>
      </c>
      <c r="I226" s="7">
        <f>(Deviation_sequence!$B$233 + 0.5 *Deviation_sequence!$B$232) / (Deviation_sequence!I226 + 0.5 * Deviation_sequence!$B$232)</f>
        <v>0.3770267553</v>
      </c>
      <c r="J226" s="7">
        <f>(Deviation_sequence!$B$233 + 0.5 *Deviation_sequence!$B$232) / (Deviation_sequence!J226 + 0.5 * Deviation_sequence!$B$232)</f>
        <v>0.3742191117</v>
      </c>
      <c r="K226" s="7">
        <f>(Deviation_sequence!$B$233 + 0.5 *Deviation_sequence!$B$232) / (Deviation_sequence!K226 + 0.5 * Deviation_sequence!$B$232)</f>
        <v>0.3522153301</v>
      </c>
      <c r="L226" s="7">
        <f>(Deviation_sequence!$B$233 + 0.5 *Deviation_sequence!$B$232) / (Deviation_sequence!L226 + 0.5 * Deviation_sequence!$B$232)</f>
        <v>0.3665772237</v>
      </c>
      <c r="M226" s="7">
        <f>(Deviation_sequence!$B$233 + 0.5 *Deviation_sequence!$B$232) / (Deviation_sequence!M226 + 0.5 * Deviation_sequence!$B$232)</f>
        <v>0.3845667481</v>
      </c>
      <c r="O226" s="7">
        <f t="shared" si="7"/>
        <v>0.37265463</v>
      </c>
    </row>
    <row r="227">
      <c r="A227" s="10" t="s">
        <v>30</v>
      </c>
      <c r="B227" s="7">
        <f>(Deviation_sequence!$B$233 + 0.5 *Deviation_sequence!$B$232) / (Deviation_sequence!B227 + 0.5 * Deviation_sequence!$B$232)</f>
        <v>0.3625836393</v>
      </c>
      <c r="C227" s="7">
        <f>(Deviation_sequence!$B$233 + 0.5 *Deviation_sequence!$B$232) / (Deviation_sequence!C227 + 0.5 * Deviation_sequence!$B$232)</f>
        <v>0.3688192238</v>
      </c>
      <c r="D227" s="7">
        <f>(Deviation_sequence!$B$233 + 0.5 *Deviation_sequence!$B$232) / (Deviation_sequence!D227 + 0.5 * Deviation_sequence!$B$232)</f>
        <v>0.3583564371</v>
      </c>
      <c r="E227" s="7">
        <f>(Deviation_sequence!$B$233 + 0.5 *Deviation_sequence!$B$232) / (Deviation_sequence!E227 + 0.5 * Deviation_sequence!$B$232)</f>
        <v>0.4135095216</v>
      </c>
      <c r="F227" s="7">
        <f>(Deviation_sequence!$B$233 + 0.5 *Deviation_sequence!$B$232) / (Deviation_sequence!F227 + 0.5 * Deviation_sequence!$B$232)</f>
        <v>0.3641081114</v>
      </c>
      <c r="G227" s="7">
        <f>(Deviation_sequence!$B$233 + 0.5 *Deviation_sequence!$B$232) / (Deviation_sequence!G227 + 0.5 * Deviation_sequence!$B$232)</f>
        <v>0.4934301591</v>
      </c>
      <c r="H227" s="7">
        <f>(Deviation_sequence!$B$233 + 0.5 *Deviation_sequence!$B$232) / (Deviation_sequence!H227 + 0.5 * Deviation_sequence!$B$232)</f>
        <v>0.3795443595</v>
      </c>
      <c r="I227" s="7">
        <f>(Deviation_sequence!$B$233 + 0.5 *Deviation_sequence!$B$232) / (Deviation_sequence!I227 + 0.5 * Deviation_sequence!$B$232)</f>
        <v>0.4248743916</v>
      </c>
      <c r="J227" s="7">
        <f>(Deviation_sequence!$B$233 + 0.5 *Deviation_sequence!$B$232) / (Deviation_sequence!J227 + 0.5 * Deviation_sequence!$B$232)</f>
        <v>0.4348823308</v>
      </c>
      <c r="K227" s="7">
        <f>(Deviation_sequence!$B$233 + 0.5 *Deviation_sequence!$B$232) / (Deviation_sequence!K227 + 0.5 * Deviation_sequence!$B$232)</f>
        <v>0.4378888844</v>
      </c>
      <c r="L227" s="7">
        <f>(Deviation_sequence!$B$233 + 0.5 *Deviation_sequence!$B$232) / (Deviation_sequence!L227 + 0.5 * Deviation_sequence!$B$232)</f>
        <v>0.433016874</v>
      </c>
      <c r="M227" s="7">
        <f>(Deviation_sequence!$B$233 + 0.5 *Deviation_sequence!$B$232) / (Deviation_sequence!M227 + 0.5 * Deviation_sequence!$B$232)</f>
        <v>0.3735916267</v>
      </c>
      <c r="O227" s="7">
        <f t="shared" si="7"/>
        <v>0.4037171299</v>
      </c>
    </row>
    <row r="228">
      <c r="A228" s="10" t="s">
        <v>31</v>
      </c>
      <c r="B228" s="7">
        <f>(Deviation_sequence!$B$233 + 0.5 *Deviation_sequence!$B$232) / (Deviation_sequence!B228 + 0.5 * Deviation_sequence!$B$232)</f>
        <v>0.4559474072</v>
      </c>
      <c r="C228" s="7">
        <f>(Deviation_sequence!$B$233 + 0.5 *Deviation_sequence!$B$232) / (Deviation_sequence!C228 + 0.5 * Deviation_sequence!$B$232)</f>
        <v>0.4447960291</v>
      </c>
      <c r="D228" s="7">
        <f>(Deviation_sequence!$B$233 + 0.5 *Deviation_sequence!$B$232) / (Deviation_sequence!D228 + 0.5 * Deviation_sequence!$B$232)</f>
        <v>0.439838296</v>
      </c>
      <c r="E228" s="7">
        <f>(Deviation_sequence!$B$233 + 0.5 *Deviation_sequence!$B$232) / (Deviation_sequence!E228 + 0.5 * Deviation_sequence!$B$232)</f>
        <v>0.4357249097</v>
      </c>
      <c r="F228" s="7">
        <f>(Deviation_sequence!$B$233 + 0.5 *Deviation_sequence!$B$232) / (Deviation_sequence!F228 + 0.5 * Deviation_sequence!$B$232)</f>
        <v>0.4288662937</v>
      </c>
      <c r="G228" s="7">
        <f>(Deviation_sequence!$B$233 + 0.5 *Deviation_sequence!$B$232) / (Deviation_sequence!G228 + 0.5 * Deviation_sequence!$B$232)</f>
        <v>0.4309899896</v>
      </c>
      <c r="H228" s="7">
        <f>(Deviation_sequence!$B$233 + 0.5 *Deviation_sequence!$B$232) / (Deviation_sequence!H228 + 0.5 * Deviation_sequence!$B$232)</f>
        <v>0.44006181</v>
      </c>
      <c r="I228" s="7">
        <f>(Deviation_sequence!$B$233 + 0.5 *Deviation_sequence!$B$232) / (Deviation_sequence!I228 + 0.5 * Deviation_sequence!$B$232)</f>
        <v>0.4226775399</v>
      </c>
      <c r="J228" s="7">
        <f>(Deviation_sequence!$B$233 + 0.5 *Deviation_sequence!$B$232) / (Deviation_sequence!J228 + 0.5 * Deviation_sequence!$B$232)</f>
        <v>0.3776065937</v>
      </c>
      <c r="K228" s="7">
        <f>(Deviation_sequence!$B$233 + 0.5 *Deviation_sequence!$B$232) / (Deviation_sequence!K228 + 0.5 * Deviation_sequence!$B$232)</f>
        <v>0.4368308494</v>
      </c>
      <c r="L228" s="7">
        <f>(Deviation_sequence!$B$233 + 0.5 *Deviation_sequence!$B$232) / (Deviation_sequence!L228 + 0.5 * Deviation_sequence!$B$232)</f>
        <v>0.4523670312</v>
      </c>
      <c r="M228" s="7">
        <f>(Deviation_sequence!$B$233 + 0.5 *Deviation_sequence!$B$232) / (Deviation_sequence!M228 + 0.5 * Deviation_sequence!$B$232)</f>
        <v>0.3894349224</v>
      </c>
      <c r="O228" s="7">
        <f t="shared" si="7"/>
        <v>0.4295951393</v>
      </c>
    </row>
    <row r="229">
      <c r="N229" s="10" t="s">
        <v>118</v>
      </c>
      <c r="O229" s="7">
        <f>AVERAGE(O200:O228)</f>
        <v>0.4189158463</v>
      </c>
    </row>
    <row r="232">
      <c r="A232" s="9" t="s">
        <v>110</v>
      </c>
      <c r="B232" s="7">
        <v>2025.0</v>
      </c>
      <c r="C232" s="7">
        <v>2024.0</v>
      </c>
      <c r="D232" s="7">
        <v>2023.0</v>
      </c>
      <c r="E232" s="7">
        <v>2022.0</v>
      </c>
      <c r="F232" s="7">
        <v>2021.0</v>
      </c>
      <c r="G232" s="7">
        <v>2020.0</v>
      </c>
      <c r="H232" s="7">
        <v>2019.0</v>
      </c>
      <c r="I232" s="7">
        <v>2018.0</v>
      </c>
      <c r="J232" s="7">
        <v>2017.0</v>
      </c>
      <c r="K232" s="7">
        <v>2016.0</v>
      </c>
      <c r="L232" s="7">
        <v>2015.0</v>
      </c>
      <c r="M232" s="7">
        <v>2014.0</v>
      </c>
    </row>
    <row r="233">
      <c r="A233" s="7" t="s">
        <v>3</v>
      </c>
      <c r="B233" s="7">
        <f>(Deviation_sequence!$B$233 + 0.5 *Deviation_sequence!$B$232) / (Deviation_sequence!B238 + 0.5 * Deviation_sequence!$B$232)</f>
        <v>0.4889115836</v>
      </c>
      <c r="C233" s="7">
        <f>(Deviation_sequence!$B$233 + 0.5 *Deviation_sequence!$B$232) / (Deviation_sequence!C238 + 0.5 * Deviation_sequence!$B$232)</f>
        <v>0.5700228251</v>
      </c>
      <c r="D233" s="7">
        <f>(Deviation_sequence!$B$233 + 0.5 *Deviation_sequence!$B$232) / (Deviation_sequence!D238 + 0.5 * Deviation_sequence!$B$232)</f>
        <v>0.5838957237</v>
      </c>
      <c r="E233" s="7">
        <f>(Deviation_sequence!$B$233 + 0.5 *Deviation_sequence!$B$232) / (Deviation_sequence!E238 + 0.5 * Deviation_sequence!$B$232)</f>
        <v>0.625717088</v>
      </c>
      <c r="F233" s="7">
        <f>(Deviation_sequence!$B$233 + 0.5 *Deviation_sequence!$B$232) / (Deviation_sequence!F238 + 0.5 * Deviation_sequence!$B$232)</f>
        <v>0.6800380155</v>
      </c>
      <c r="G233" s="7">
        <f>(Deviation_sequence!$B$233 + 0.5 *Deviation_sequence!$B$232) / (Deviation_sequence!G238 + 0.5 * Deviation_sequence!$B$232)</f>
        <v>0.5745835739</v>
      </c>
      <c r="H233" s="7">
        <f>(Deviation_sequence!$B$233 + 0.5 *Deviation_sequence!$B$232) / (Deviation_sequence!H238 + 0.5 * Deviation_sequence!$B$232)</f>
        <v>0.5923519635</v>
      </c>
      <c r="I233" s="7">
        <f>(Deviation_sequence!$B$233 + 0.5 *Deviation_sequence!$B$232) / (Deviation_sequence!I238 + 0.5 * Deviation_sequence!$B$232)</f>
        <v>0.5723077447</v>
      </c>
      <c r="J233" s="7">
        <f>(Deviation_sequence!$B$233 + 0.5 *Deviation_sequence!$B$232) / (Deviation_sequence!J238 + 0.5 * Deviation_sequence!$B$232)</f>
        <v>0.6472813587</v>
      </c>
      <c r="K233" s="7">
        <f>(Deviation_sequence!$B$233 + 0.5 *Deviation_sequence!$B$232) / (Deviation_sequence!K238 + 0.5 * Deviation_sequence!$B$232)</f>
        <v>0.6772653036</v>
      </c>
      <c r="L233" s="7">
        <f>(Deviation_sequence!$B$233 + 0.5 *Deviation_sequence!$B$232) / (Deviation_sequence!L238 + 0.5 * Deviation_sequence!$B$232)</f>
        <v>0.7368113581</v>
      </c>
      <c r="M233" s="7">
        <f>(Deviation_sequence!$B$233 + 0.5 *Deviation_sequence!$B$232) / (Deviation_sequence!M238 + 0.5 * Deviation_sequence!$B$232)</f>
        <v>0.6902377896</v>
      </c>
      <c r="O233" s="7">
        <f t="shared" ref="O233:O261" si="8">AVERAGE(B233:M233)</f>
        <v>0.6199520273</v>
      </c>
    </row>
    <row r="234">
      <c r="A234" s="7" t="s">
        <v>4</v>
      </c>
      <c r="B234" s="7">
        <f>(Deviation_sequence!$B$233 + 0.5 *Deviation_sequence!$B$232) / (Deviation_sequence!B239 + 0.5 * Deviation_sequence!$B$232)</f>
        <v>0.3436237717</v>
      </c>
      <c r="C234" s="7">
        <f>(Deviation_sequence!$B$233 + 0.5 *Deviation_sequence!$B$232) / (Deviation_sequence!C239 + 0.5 * Deviation_sequence!$B$232)</f>
        <v>0.3519063705</v>
      </c>
      <c r="D234" s="7">
        <f>(Deviation_sequence!$B$233 + 0.5 *Deviation_sequence!$B$232) / (Deviation_sequence!D239 + 0.5 * Deviation_sequence!$B$232)</f>
        <v>0.3500568275</v>
      </c>
      <c r="E234" s="7">
        <f>(Deviation_sequence!$B$233 + 0.5 *Deviation_sequence!$B$232) / (Deviation_sequence!E239 + 0.5 * Deviation_sequence!$B$232)</f>
        <v>0.3552895209</v>
      </c>
      <c r="F234" s="7">
        <f>(Deviation_sequence!$B$233 + 0.5 *Deviation_sequence!$B$232) / (Deviation_sequence!F239 + 0.5 * Deviation_sequence!$B$232)</f>
        <v>0.3531850813</v>
      </c>
      <c r="G234" s="7">
        <f>(Deviation_sequence!$B$233 + 0.5 *Deviation_sequence!$B$232) / (Deviation_sequence!G239 + 0.5 * Deviation_sequence!$B$232)</f>
        <v>0.3473951217</v>
      </c>
      <c r="H234" s="7">
        <f>(Deviation_sequence!$B$233 + 0.5 *Deviation_sequence!$B$232) / (Deviation_sequence!H239 + 0.5 * Deviation_sequence!$B$232)</f>
        <v>0.3591362057</v>
      </c>
      <c r="I234" s="7">
        <f>(Deviation_sequence!$B$233 + 0.5 *Deviation_sequence!$B$232) / (Deviation_sequence!I239 + 0.5 * Deviation_sequence!$B$232)</f>
        <v>0.351683726</v>
      </c>
      <c r="J234" s="7">
        <f>(Deviation_sequence!$B$233 + 0.5 *Deviation_sequence!$B$232) / (Deviation_sequence!J239 + 0.5 * Deviation_sequence!$B$232)</f>
        <v>0.3575047465</v>
      </c>
      <c r="K234" s="7">
        <f>(Deviation_sequence!$B$233 + 0.5 *Deviation_sequence!$B$232) / (Deviation_sequence!K239 + 0.5 * Deviation_sequence!$B$232)</f>
        <v>0.3504595049</v>
      </c>
      <c r="L234" s="7">
        <f>(Deviation_sequence!$B$233 + 0.5 *Deviation_sequence!$B$232) / (Deviation_sequence!L239 + 0.5 * Deviation_sequence!$B$232)</f>
        <v>0.3659941656</v>
      </c>
      <c r="M234" s="7">
        <f>(Deviation_sequence!$B$233 + 0.5 *Deviation_sequence!$B$232) / (Deviation_sequence!M239 + 0.5 * Deviation_sequence!$B$232)</f>
        <v>0.3544377549</v>
      </c>
      <c r="O234" s="7">
        <f t="shared" si="8"/>
        <v>0.3533893998</v>
      </c>
    </row>
    <row r="235">
      <c r="A235" s="7" t="s">
        <v>5</v>
      </c>
      <c r="B235" s="7">
        <f>(Deviation_sequence!$B$233 + 0.5 *Deviation_sequence!$B$232) / (Deviation_sequence!B240 + 0.5 * Deviation_sequence!$B$232)</f>
        <v>0.5371064413</v>
      </c>
      <c r="C235" s="7">
        <f>(Deviation_sequence!$B$233 + 0.5 *Deviation_sequence!$B$232) / (Deviation_sequence!C240 + 0.5 * Deviation_sequence!$B$232)</f>
        <v>0.582574622</v>
      </c>
      <c r="D235" s="7">
        <f>(Deviation_sequence!$B$233 + 0.5 *Deviation_sequence!$B$232) / (Deviation_sequence!D240 + 0.5 * Deviation_sequence!$B$232)</f>
        <v>0.6181134161</v>
      </c>
      <c r="E235" s="7">
        <f>(Deviation_sequence!$B$233 + 0.5 *Deviation_sequence!$B$232) / (Deviation_sequence!E240 + 0.5 * Deviation_sequence!$B$232)</f>
        <v>0.5971498252</v>
      </c>
      <c r="F235" s="7">
        <f>(Deviation_sequence!$B$233 + 0.5 *Deviation_sequence!$B$232) / (Deviation_sequence!F240 + 0.5 * Deviation_sequence!$B$232)</f>
        <v>0.6073623764</v>
      </c>
      <c r="G235" s="7">
        <f>(Deviation_sequence!$B$233 + 0.5 *Deviation_sequence!$B$232) / (Deviation_sequence!G240 + 0.5 * Deviation_sequence!$B$232)</f>
        <v>0.5175696153</v>
      </c>
      <c r="H235" s="7">
        <f>(Deviation_sequence!$B$233 + 0.5 *Deviation_sequence!$B$232) / (Deviation_sequence!H240 + 0.5 * Deviation_sequence!$B$232)</f>
        <v>0.7255348859</v>
      </c>
      <c r="I235" s="7">
        <f>(Deviation_sequence!$B$233 + 0.5 *Deviation_sequence!$B$232) / (Deviation_sequence!I240 + 0.5 * Deviation_sequence!$B$232)</f>
        <v>0.6255252213</v>
      </c>
      <c r="J235" s="7">
        <f>(Deviation_sequence!$B$233 + 0.5 *Deviation_sequence!$B$232) / (Deviation_sequence!J240 + 0.5 * Deviation_sequence!$B$232)</f>
        <v>0.6318434163</v>
      </c>
      <c r="K235" s="7">
        <f>(Deviation_sequence!$B$233 + 0.5 *Deviation_sequence!$B$232) / (Deviation_sequence!K240 + 0.5 * Deviation_sequence!$B$232)</f>
        <v>0.5701741126</v>
      </c>
      <c r="L235" s="7">
        <f>(Deviation_sequence!$B$233 + 0.5 *Deviation_sequence!$B$232) / (Deviation_sequence!L240 + 0.5 * Deviation_sequence!$B$232)</f>
        <v>0.6403055766</v>
      </c>
      <c r="M235" s="7">
        <f>(Deviation_sequence!$B$233 + 0.5 *Deviation_sequence!$B$232) / (Deviation_sequence!M240 + 0.5 * Deviation_sequence!$B$232)</f>
        <v>0.6044166573</v>
      </c>
      <c r="O235" s="7">
        <f t="shared" si="8"/>
        <v>0.6048063472</v>
      </c>
    </row>
    <row r="236">
      <c r="A236" s="7" t="s">
        <v>6</v>
      </c>
      <c r="B236" s="7">
        <f>(Deviation_sequence!$B$233 + 0.5 *Deviation_sequence!$B$232) / (Deviation_sequence!B241 + 0.5 * Deviation_sequence!$B$232)</f>
        <v>0.4141645791</v>
      </c>
      <c r="C236" s="7">
        <f>(Deviation_sequence!$B$233 + 0.5 *Deviation_sequence!$B$232) / (Deviation_sequence!C241 + 0.5 * Deviation_sequence!$B$232)</f>
        <v>0.4117851232</v>
      </c>
      <c r="D236" s="7">
        <f>(Deviation_sequence!$B$233 + 0.5 *Deviation_sequence!$B$232) / (Deviation_sequence!D241 + 0.5 * Deviation_sequence!$B$232)</f>
        <v>0.3921629135</v>
      </c>
      <c r="E236" s="7">
        <f>(Deviation_sequence!$B$233 + 0.5 *Deviation_sequence!$B$232) / (Deviation_sequence!E241 + 0.5 * Deviation_sequence!$B$232)</f>
        <v>0.3882128525</v>
      </c>
      <c r="F236" s="7">
        <f>(Deviation_sequence!$B$233 + 0.5 *Deviation_sequence!$B$232) / (Deviation_sequence!F241 + 0.5 * Deviation_sequence!$B$232)</f>
        <v>0.3771626959</v>
      </c>
      <c r="G236" s="7">
        <f>(Deviation_sequence!$B$233 + 0.5 *Deviation_sequence!$B$232) / (Deviation_sequence!G241 + 0.5 * Deviation_sequence!$B$232)</f>
        <v>0.3727688225</v>
      </c>
      <c r="H236" s="7">
        <f>(Deviation_sequence!$B$233 + 0.5 *Deviation_sequence!$B$232) / (Deviation_sequence!H241 + 0.5 * Deviation_sequence!$B$232)</f>
        <v>0.3901650979</v>
      </c>
      <c r="I236" s="7">
        <f>(Deviation_sequence!$B$233 + 0.5 *Deviation_sequence!$B$232) / (Deviation_sequence!I241 + 0.5 * Deviation_sequence!$B$232)</f>
        <v>0.3501050547</v>
      </c>
      <c r="J236" s="7">
        <f>(Deviation_sequence!$B$233 + 0.5 *Deviation_sequence!$B$232) / (Deviation_sequence!J241 + 0.5 * Deviation_sequence!$B$232)</f>
        <v>0.3627824211</v>
      </c>
      <c r="K236" s="7">
        <f>(Deviation_sequence!$B$233 + 0.5 *Deviation_sequence!$B$232) / (Deviation_sequence!K241 + 0.5 * Deviation_sequence!$B$232)</f>
        <v>0.3488792754</v>
      </c>
      <c r="L236" s="7">
        <f>(Deviation_sequence!$B$233 + 0.5 *Deviation_sequence!$B$232) / (Deviation_sequence!L241 + 0.5 * Deviation_sequence!$B$232)</f>
        <v>0.3578722508</v>
      </c>
      <c r="M236" s="7">
        <f>(Deviation_sequence!$B$233 + 0.5 *Deviation_sequence!$B$232) / (Deviation_sequence!M241 + 0.5 * Deviation_sequence!$B$232)</f>
        <v>0.3464631839</v>
      </c>
      <c r="O236" s="7">
        <f t="shared" si="8"/>
        <v>0.3760436892</v>
      </c>
    </row>
    <row r="237">
      <c r="A237" s="7" t="s">
        <v>7</v>
      </c>
      <c r="B237" s="7">
        <f>(Deviation_sequence!$B$233 + 0.5 *Deviation_sequence!$B$232) / (Deviation_sequence!B242 + 0.5 * Deviation_sequence!$B$232)</f>
        <v>0.3687485999</v>
      </c>
      <c r="C237" s="7">
        <f>(Deviation_sequence!$B$233 + 0.5 *Deviation_sequence!$B$232) / (Deviation_sequence!C242 + 0.5 * Deviation_sequence!$B$232)</f>
        <v>0.3733563569</v>
      </c>
      <c r="D237" s="7">
        <f>(Deviation_sequence!$B$233 + 0.5 *Deviation_sequence!$B$232) / (Deviation_sequence!D242 + 0.5 * Deviation_sequence!$B$232)</f>
        <v>0.3709015128</v>
      </c>
      <c r="E237" s="7">
        <f>(Deviation_sequence!$B$233 + 0.5 *Deviation_sequence!$B$232) / (Deviation_sequence!E242 + 0.5 * Deviation_sequence!$B$232)</f>
        <v>0.3742580583</v>
      </c>
      <c r="F237" s="7">
        <f>(Deviation_sequence!$B$233 + 0.5 *Deviation_sequence!$B$232) / (Deviation_sequence!F242 + 0.5 * Deviation_sequence!$B$232)</f>
        <v>0.3801584613</v>
      </c>
      <c r="G237" s="7">
        <f>(Deviation_sequence!$B$233 + 0.5 *Deviation_sequence!$B$232) / (Deviation_sequence!G242 + 0.5 * Deviation_sequence!$B$232)</f>
        <v>0.374428622</v>
      </c>
      <c r="H237" s="7">
        <f>(Deviation_sequence!$B$233 + 0.5 *Deviation_sequence!$B$232) / (Deviation_sequence!H242 + 0.5 * Deviation_sequence!$B$232)</f>
        <v>0.4372958144</v>
      </c>
      <c r="I237" s="7">
        <f>(Deviation_sequence!$B$233 + 0.5 *Deviation_sequence!$B$232) / (Deviation_sequence!I242 + 0.5 * Deviation_sequence!$B$232)</f>
        <v>0.3602884671</v>
      </c>
      <c r="J237" s="7">
        <f>(Deviation_sequence!$B$233 + 0.5 *Deviation_sequence!$B$232) / (Deviation_sequence!J242 + 0.5 * Deviation_sequence!$B$232)</f>
        <v>0.4031059344</v>
      </c>
      <c r="K237" s="7">
        <f>(Deviation_sequence!$B$233 + 0.5 *Deviation_sequence!$B$232) / (Deviation_sequence!K242 + 0.5 * Deviation_sequence!$B$232)</f>
        <v>0.4285241891</v>
      </c>
      <c r="L237" s="7">
        <f>(Deviation_sequence!$B$233 + 0.5 *Deviation_sequence!$B$232) / (Deviation_sequence!L242 + 0.5 * Deviation_sequence!$B$232)</f>
        <v>0.4227417065</v>
      </c>
      <c r="M237" s="7">
        <f>(Deviation_sequence!$B$233 + 0.5 *Deviation_sequence!$B$232) / (Deviation_sequence!M242 + 0.5 * Deviation_sequence!$B$232)</f>
        <v>0.4360737883</v>
      </c>
      <c r="O237" s="7">
        <f t="shared" si="8"/>
        <v>0.3941567926</v>
      </c>
    </row>
    <row r="238">
      <c r="A238" s="7" t="s">
        <v>8</v>
      </c>
      <c r="B238" s="7">
        <f>(Deviation_sequence!$B$233 + 0.5 *Deviation_sequence!$B$232) / (Deviation_sequence!B243 + 0.5 * Deviation_sequence!$B$232)</f>
        <v>0.6465707522</v>
      </c>
      <c r="C238" s="7">
        <f>(Deviation_sequence!$B$233 + 0.5 *Deviation_sequence!$B$232) / (Deviation_sequence!C243 + 0.5 * Deviation_sequence!$B$232)</f>
        <v>0.6489876084</v>
      </c>
      <c r="D238" s="7">
        <f>(Deviation_sequence!$B$233 + 0.5 *Deviation_sequence!$B$232) / (Deviation_sequence!D243 + 0.5 * Deviation_sequence!$B$232)</f>
        <v>0.6155914973</v>
      </c>
      <c r="E238" s="7">
        <f>(Deviation_sequence!$B$233 + 0.5 *Deviation_sequence!$B$232) / (Deviation_sequence!E243 + 0.5 * Deviation_sequence!$B$232)</f>
        <v>0.5746557895</v>
      </c>
      <c r="F238" s="7">
        <f>(Deviation_sequence!$B$233 + 0.5 *Deviation_sequence!$B$232) / (Deviation_sequence!F243 + 0.5 * Deviation_sequence!$B$232)</f>
        <v>0.5476182844</v>
      </c>
      <c r="G238" s="7">
        <f>(Deviation_sequence!$B$233 + 0.5 *Deviation_sequence!$B$232) / (Deviation_sequence!G243 + 0.5 * Deviation_sequence!$B$232)</f>
        <v>0.6868320458</v>
      </c>
      <c r="H238" s="7">
        <f>(Deviation_sequence!$B$233 + 0.5 *Deviation_sequence!$B$232) / (Deviation_sequence!H243 + 0.5 * Deviation_sequence!$B$232)</f>
        <v>0.6194194926</v>
      </c>
      <c r="I238" s="7">
        <f>(Deviation_sequence!$B$233 + 0.5 *Deviation_sequence!$B$232) / (Deviation_sequence!I243 + 0.5 * Deviation_sequence!$B$232)</f>
        <v>0.4719956682</v>
      </c>
      <c r="J238" s="7">
        <f>(Deviation_sequence!$B$233 + 0.5 *Deviation_sequence!$B$232) / (Deviation_sequence!J243 + 0.5 * Deviation_sequence!$B$232)</f>
        <v>0.50779058</v>
      </c>
      <c r="K238" s="7">
        <f>(Deviation_sequence!$B$233 + 0.5 *Deviation_sequence!$B$232) / (Deviation_sequence!K243 + 0.5 * Deviation_sequence!$B$232)</f>
        <v>0.4626658097</v>
      </c>
      <c r="L238" s="7">
        <f>(Deviation_sequence!$B$233 + 0.5 *Deviation_sequence!$B$232) / (Deviation_sequence!L243 + 0.5 * Deviation_sequence!$B$232)</f>
        <v>0.54269341</v>
      </c>
      <c r="M238" s="7">
        <f>(Deviation_sequence!$B$233 + 0.5 *Deviation_sequence!$B$232) / (Deviation_sequence!M243 + 0.5 * Deviation_sequence!$B$232)</f>
        <v>0.5127811395</v>
      </c>
      <c r="O238" s="7">
        <f t="shared" si="8"/>
        <v>0.5698001731</v>
      </c>
    </row>
    <row r="239">
      <c r="A239" s="7" t="s">
        <v>9</v>
      </c>
      <c r="B239" s="7">
        <f>(Deviation_sequence!$B$233 + 0.5 *Deviation_sequence!$B$232) / (Deviation_sequence!B244 + 0.5 * Deviation_sequence!$B$232)</f>
        <v>0.6234016445</v>
      </c>
      <c r="C239" s="7">
        <f>(Deviation_sequence!$B$233 + 0.5 *Deviation_sequence!$B$232) / (Deviation_sequence!C244 + 0.5 * Deviation_sequence!$B$232)</f>
        <v>0.7731045377</v>
      </c>
      <c r="D239" s="7">
        <f>(Deviation_sequence!$B$233 + 0.5 *Deviation_sequence!$B$232) / (Deviation_sequence!D244 + 0.5 * Deviation_sequence!$B$232)</f>
        <v>0.8502472114</v>
      </c>
      <c r="E239" s="7">
        <f>(Deviation_sequence!$B$233 + 0.5 *Deviation_sequence!$B$232) / (Deviation_sequence!E244 + 0.5 * Deviation_sequence!$B$232)</f>
        <v>0.9927032385</v>
      </c>
      <c r="F239" s="7">
        <f>(Deviation_sequence!$B$233 + 0.5 *Deviation_sequence!$B$232) / (Deviation_sequence!F244 + 0.5 * Deviation_sequence!$B$232)</f>
        <v>0.9765340486</v>
      </c>
      <c r="G239" s="7">
        <f>(Deviation_sequence!$B$233 + 0.5 *Deviation_sequence!$B$232) / (Deviation_sequence!G244 + 0.5 * Deviation_sequence!$B$232)</f>
        <v>0.7620575815</v>
      </c>
      <c r="H239" s="7">
        <f>(Deviation_sequence!$B$233 + 0.5 *Deviation_sequence!$B$232) / (Deviation_sequence!H244 + 0.5 * Deviation_sequence!$B$232)</f>
        <v>0.7787053905</v>
      </c>
      <c r="I239" s="7">
        <f>(Deviation_sequence!$B$233 + 0.5 *Deviation_sequence!$B$232) / (Deviation_sequence!I244 + 0.5 * Deviation_sequence!$B$232)</f>
        <v>0.7041362437</v>
      </c>
      <c r="J239" s="7">
        <f>(Deviation_sequence!$B$233 + 0.5 *Deviation_sequence!$B$232) / (Deviation_sequence!J244 + 0.5 * Deviation_sequence!$B$232)</f>
        <v>0.7343444303</v>
      </c>
      <c r="K239" s="7">
        <f>(Deviation_sequence!$B$233 + 0.5 *Deviation_sequence!$B$232) / (Deviation_sequence!K244 + 0.5 * Deviation_sequence!$B$232)</f>
        <v>0.7213213902</v>
      </c>
      <c r="L239" s="7">
        <f>(Deviation_sequence!$B$233 + 0.5 *Deviation_sequence!$B$232) / (Deviation_sequence!L244 + 0.5 * Deviation_sequence!$B$232)</f>
        <v>0.8519807179</v>
      </c>
      <c r="M239" s="7">
        <f>(Deviation_sequence!$B$233 + 0.5 *Deviation_sequence!$B$232) / (Deviation_sequence!M244 + 0.5 * Deviation_sequence!$B$232)</f>
        <v>0.6577693082</v>
      </c>
      <c r="O239" s="7">
        <f t="shared" si="8"/>
        <v>0.7855254786</v>
      </c>
    </row>
    <row r="240">
      <c r="A240" s="7" t="s">
        <v>10</v>
      </c>
      <c r="B240" s="7">
        <f>(Deviation_sequence!$B$233 + 0.5 *Deviation_sequence!$B$232) / (Deviation_sequence!B245 + 0.5 * Deviation_sequence!$B$232)</f>
        <v>0.3465020476</v>
      </c>
      <c r="C240" s="7">
        <f>(Deviation_sequence!$B$233 + 0.5 *Deviation_sequence!$B$232) / (Deviation_sequence!C245 + 0.5 * Deviation_sequence!$B$232)</f>
        <v>0.3527866629</v>
      </c>
      <c r="D240" s="7">
        <f>(Deviation_sequence!$B$233 + 0.5 *Deviation_sequence!$B$232) / (Deviation_sequence!D245 + 0.5 * Deviation_sequence!$B$232)</f>
        <v>0.3452684484</v>
      </c>
      <c r="E240" s="7">
        <f>(Deviation_sequence!$B$233 + 0.5 *Deviation_sequence!$B$232) / (Deviation_sequence!E245 + 0.5 * Deviation_sequence!$B$232)</f>
        <v>0.3553005281</v>
      </c>
      <c r="F240" s="7">
        <f>(Deviation_sequence!$B$233 + 0.5 *Deviation_sequence!$B$232) / (Deviation_sequence!F245 + 0.5 * Deviation_sequence!$B$232)</f>
        <v>0.369765993</v>
      </c>
      <c r="G240" s="7">
        <f>(Deviation_sequence!$B$233 + 0.5 *Deviation_sequence!$B$232) / (Deviation_sequence!G245 + 0.5 * Deviation_sequence!$B$232)</f>
        <v>0.3532398115</v>
      </c>
      <c r="H240" s="7">
        <f>(Deviation_sequence!$B$233 + 0.5 *Deviation_sequence!$B$232) / (Deviation_sequence!H245 + 0.5 * Deviation_sequence!$B$232)</f>
        <v>0.3597489504</v>
      </c>
      <c r="I240" s="7">
        <f>(Deviation_sequence!$B$233 + 0.5 *Deviation_sequence!$B$232) / (Deviation_sequence!I245 + 0.5 * Deviation_sequence!$B$232)</f>
        <v>0.3475718994</v>
      </c>
      <c r="J240" s="7">
        <f>(Deviation_sequence!$B$233 + 0.5 *Deviation_sequence!$B$232) / (Deviation_sequence!J245 + 0.5 * Deviation_sequence!$B$232)</f>
        <v>0.346564989</v>
      </c>
      <c r="K240" s="7">
        <f>(Deviation_sequence!$B$233 + 0.5 *Deviation_sequence!$B$232) / (Deviation_sequence!K245 + 0.5 * Deviation_sequence!$B$232)</f>
        <v>0.3462657583</v>
      </c>
      <c r="L240" s="7">
        <f>(Deviation_sequence!$B$233 + 0.5 *Deviation_sequence!$B$232) / (Deviation_sequence!L245 + 0.5 * Deviation_sequence!$B$232)</f>
        <v>0.3516649576</v>
      </c>
      <c r="M240" s="7">
        <f>(Deviation_sequence!$B$233 + 0.5 *Deviation_sequence!$B$232) / (Deviation_sequence!M245 + 0.5 * Deviation_sequence!$B$232)</f>
        <v>0.3572736482</v>
      </c>
      <c r="O240" s="7">
        <f t="shared" si="8"/>
        <v>0.3526628079</v>
      </c>
    </row>
    <row r="241">
      <c r="A241" s="7" t="s">
        <v>11</v>
      </c>
      <c r="B241" s="7">
        <f>(Deviation_sequence!$B$233 + 0.5 *Deviation_sequence!$B$232) / (Deviation_sequence!B246 + 0.5 * Deviation_sequence!$B$232)</f>
        <v>0.4726113879</v>
      </c>
      <c r="C241" s="7">
        <f>(Deviation_sequence!$B$233 + 0.5 *Deviation_sequence!$B$232) / (Deviation_sequence!C246 + 0.5 * Deviation_sequence!$B$232)</f>
        <v>0.4991303548</v>
      </c>
      <c r="D241" s="7">
        <f>(Deviation_sequence!$B$233 + 0.5 *Deviation_sequence!$B$232) / (Deviation_sequence!D246 + 0.5 * Deviation_sequence!$B$232)</f>
        <v>0.5372506987</v>
      </c>
      <c r="E241" s="7">
        <f>(Deviation_sequence!$B$233 + 0.5 *Deviation_sequence!$B$232) / (Deviation_sequence!E246 + 0.5 * Deviation_sequence!$B$232)</f>
        <v>0.5229697804</v>
      </c>
      <c r="F241" s="7">
        <f>(Deviation_sequence!$B$233 + 0.5 *Deviation_sequence!$B$232) / (Deviation_sequence!F246 + 0.5 * Deviation_sequence!$B$232)</f>
        <v>0.547177012</v>
      </c>
      <c r="G241" s="7">
        <f>(Deviation_sequence!$B$233 + 0.5 *Deviation_sequence!$B$232) / (Deviation_sequence!G246 + 0.5 * Deviation_sequence!$B$232)</f>
        <v>0.5266912549</v>
      </c>
      <c r="H241" s="7">
        <f>(Deviation_sequence!$B$233 + 0.5 *Deviation_sequence!$B$232) / (Deviation_sequence!H246 + 0.5 * Deviation_sequence!$B$232)</f>
        <v>0.5245971827</v>
      </c>
      <c r="I241" s="7">
        <f>(Deviation_sequence!$B$233 + 0.5 *Deviation_sequence!$B$232) / (Deviation_sequence!I246 + 0.5 * Deviation_sequence!$B$232)</f>
        <v>0.6116194827</v>
      </c>
      <c r="J241" s="7">
        <f>(Deviation_sequence!$B$233 + 0.5 *Deviation_sequence!$B$232) / (Deviation_sequence!J246 + 0.5 * Deviation_sequence!$B$232)</f>
        <v>0.5563443399</v>
      </c>
      <c r="K241" s="7">
        <f>(Deviation_sequence!$B$233 + 0.5 *Deviation_sequence!$B$232) / (Deviation_sequence!K246 + 0.5 * Deviation_sequence!$B$232)</f>
        <v>0.5386587793</v>
      </c>
      <c r="L241" s="7">
        <f>(Deviation_sequence!$B$233 + 0.5 *Deviation_sequence!$B$232) / (Deviation_sequence!L246 + 0.5 * Deviation_sequence!$B$232)</f>
        <v>0.5859634142</v>
      </c>
      <c r="M241" s="7">
        <f>(Deviation_sequence!$B$233 + 0.5 *Deviation_sequence!$B$232) / (Deviation_sequence!M246 + 0.5 * Deviation_sequence!$B$232)</f>
        <v>0.6694840583</v>
      </c>
      <c r="O241" s="7">
        <f t="shared" si="8"/>
        <v>0.5493748122</v>
      </c>
    </row>
    <row r="242">
      <c r="A242" s="7" t="s">
        <v>12</v>
      </c>
      <c r="B242" s="7">
        <f>(Deviation_sequence!$B$233 + 0.5 *Deviation_sequence!$B$232) / (Deviation_sequence!B247 + 0.5 * Deviation_sequence!$B$232)</f>
        <v>0.458025514</v>
      </c>
      <c r="C242" s="7">
        <f>(Deviation_sequence!$B$233 + 0.5 *Deviation_sequence!$B$232) / (Deviation_sequence!C247 + 0.5 * Deviation_sequence!$B$232)</f>
        <v>0.4554314465</v>
      </c>
      <c r="D242" s="7">
        <f>(Deviation_sequence!$B$233 + 0.5 *Deviation_sequence!$B$232) / (Deviation_sequence!D247 + 0.5 * Deviation_sequence!$B$232)</f>
        <v>0.4603238504</v>
      </c>
      <c r="E242" s="7">
        <f>(Deviation_sequence!$B$233 + 0.5 *Deviation_sequence!$B$232) / (Deviation_sequence!E247 + 0.5 * Deviation_sequence!$B$232)</f>
        <v>0.4429408736</v>
      </c>
      <c r="F242" s="7">
        <f>(Deviation_sequence!$B$233 + 0.5 *Deviation_sequence!$B$232) / (Deviation_sequence!F247 + 0.5 * Deviation_sequence!$B$232)</f>
        <v>0.4437150747</v>
      </c>
      <c r="G242" s="7">
        <f>(Deviation_sequence!$B$233 + 0.5 *Deviation_sequence!$B$232) / (Deviation_sequence!G247 + 0.5 * Deviation_sequence!$B$232)</f>
        <v>0.8064535955</v>
      </c>
      <c r="H242" s="7">
        <f>(Deviation_sequence!$B$233 + 0.5 *Deviation_sequence!$B$232) / (Deviation_sequence!H247 + 0.5 * Deviation_sequence!$B$232)</f>
        <v>0.7024189438</v>
      </c>
      <c r="I242" s="7">
        <f>(Deviation_sequence!$B$233 + 0.5 *Deviation_sequence!$B$232) / (Deviation_sequence!I247 + 0.5 * Deviation_sequence!$B$232)</f>
        <v>0.7241451871</v>
      </c>
      <c r="J242" s="7">
        <f>(Deviation_sequence!$B$233 + 0.5 *Deviation_sequence!$B$232) / (Deviation_sequence!J247 + 0.5 * Deviation_sequence!$B$232)</f>
        <v>0.7534312373</v>
      </c>
      <c r="K242" s="7">
        <f>(Deviation_sequence!$B$233 + 0.5 *Deviation_sequence!$B$232) / (Deviation_sequence!K247 + 0.5 * Deviation_sequence!$B$232)</f>
        <v>0.6711286239</v>
      </c>
      <c r="L242" s="7">
        <f>(Deviation_sequence!$B$233 + 0.5 *Deviation_sequence!$B$232) / (Deviation_sequence!L247 + 0.5 * Deviation_sequence!$B$232)</f>
        <v>0.9614434471</v>
      </c>
      <c r="M242" s="7">
        <f>(Deviation_sequence!$B$233 + 0.5 *Deviation_sequence!$B$232) / (Deviation_sequence!M247 + 0.5 * Deviation_sequence!$B$232)</f>
        <v>0.9503426919</v>
      </c>
      <c r="O242" s="7">
        <f t="shared" si="8"/>
        <v>0.6524833738</v>
      </c>
    </row>
    <row r="243">
      <c r="A243" s="7" t="s">
        <v>13</v>
      </c>
      <c r="B243" s="7">
        <f>(Deviation_sequence!$B$233 + 0.5 *Deviation_sequence!$B$232) / (Deviation_sequence!B248 + 0.5 * Deviation_sequence!$B$232)</f>
        <v>0.5911835881</v>
      </c>
      <c r="C243" s="7">
        <f>(Deviation_sequence!$B$233 + 0.5 *Deviation_sequence!$B$232) / (Deviation_sequence!C248 + 0.5 * Deviation_sequence!$B$232)</f>
        <v>0.5954137006</v>
      </c>
      <c r="D243" s="7">
        <f>(Deviation_sequence!$B$233 + 0.5 *Deviation_sequence!$B$232) / (Deviation_sequence!D248 + 0.5 * Deviation_sequence!$B$232)</f>
        <v>0.5363614122</v>
      </c>
      <c r="E243" s="7">
        <f>(Deviation_sequence!$B$233 + 0.5 *Deviation_sequence!$B$232) / (Deviation_sequence!E248 + 0.5 * Deviation_sequence!$B$232)</f>
        <v>0.559531886</v>
      </c>
      <c r="F243" s="7">
        <f>(Deviation_sequence!$B$233 + 0.5 *Deviation_sequence!$B$232) / (Deviation_sequence!F248 + 0.5 * Deviation_sequence!$B$232)</f>
        <v>0.5835749069</v>
      </c>
      <c r="G243" s="7">
        <f>(Deviation_sequence!$B$233 + 0.5 *Deviation_sequence!$B$232) / (Deviation_sequence!G248 + 0.5 * Deviation_sequence!$B$232)</f>
        <v>0.6003242369</v>
      </c>
      <c r="H243" s="7">
        <f>(Deviation_sequence!$B$233 + 0.5 *Deviation_sequence!$B$232) / (Deviation_sequence!H248 + 0.5 * Deviation_sequence!$B$232)</f>
        <v>0.61584182</v>
      </c>
      <c r="I243" s="7">
        <f>(Deviation_sequence!$B$233 + 0.5 *Deviation_sequence!$B$232) / (Deviation_sequence!I248 + 0.5 * Deviation_sequence!$B$232)</f>
        <v>0.5756890632</v>
      </c>
      <c r="J243" s="7">
        <f>(Deviation_sequence!$B$233 + 0.5 *Deviation_sequence!$B$232) / (Deviation_sequence!J248 + 0.5 * Deviation_sequence!$B$232)</f>
        <v>0.5624086949</v>
      </c>
      <c r="K243" s="7">
        <f>(Deviation_sequence!$B$233 + 0.5 *Deviation_sequence!$B$232) / (Deviation_sequence!K248 + 0.5 * Deviation_sequence!$B$232)</f>
        <v>0.5377370604</v>
      </c>
      <c r="L243" s="7">
        <f>(Deviation_sequence!$B$233 + 0.5 *Deviation_sequence!$B$232) / (Deviation_sequence!L248 + 0.5 * Deviation_sequence!$B$232)</f>
        <v>0.56899814</v>
      </c>
      <c r="M243" s="7">
        <f>(Deviation_sequence!$B$233 + 0.5 *Deviation_sequence!$B$232) / (Deviation_sequence!M248 + 0.5 * Deviation_sequence!$B$232)</f>
        <v>0.5666306604</v>
      </c>
      <c r="O243" s="7">
        <f t="shared" si="8"/>
        <v>0.5744745975</v>
      </c>
    </row>
    <row r="244">
      <c r="A244" s="7" t="s">
        <v>14</v>
      </c>
      <c r="B244" s="7">
        <f>(Deviation_sequence!$B$233 + 0.5 *Deviation_sequence!$B$232) / (Deviation_sequence!B249 + 0.5 * Deviation_sequence!$B$232)</f>
        <v>0.4394974056</v>
      </c>
      <c r="C244" s="7">
        <f>(Deviation_sequence!$B$233 + 0.5 *Deviation_sequence!$B$232) / (Deviation_sequence!C249 + 0.5 * Deviation_sequence!$B$232)</f>
        <v>0.4441496273</v>
      </c>
      <c r="D244" s="7">
        <f>(Deviation_sequence!$B$233 + 0.5 *Deviation_sequence!$B$232) / (Deviation_sequence!D249 + 0.5 * Deviation_sequence!$B$232)</f>
        <v>0.4517217204</v>
      </c>
      <c r="E244" s="7">
        <f>(Deviation_sequence!$B$233 + 0.5 *Deviation_sequence!$B$232) / (Deviation_sequence!E249 + 0.5 * Deviation_sequence!$B$232)</f>
        <v>0.4690224907</v>
      </c>
      <c r="F244" s="7">
        <f>(Deviation_sequence!$B$233 + 0.5 *Deviation_sequence!$B$232) / (Deviation_sequence!F249 + 0.5 * Deviation_sequence!$B$232)</f>
        <v>0.4542628515</v>
      </c>
      <c r="G244" s="7">
        <f>(Deviation_sequence!$B$233 + 0.5 *Deviation_sequence!$B$232) / (Deviation_sequence!G249 + 0.5 * Deviation_sequence!$B$232)</f>
        <v>0.4228226541</v>
      </c>
      <c r="H244" s="7">
        <f>(Deviation_sequence!$B$233 + 0.5 *Deviation_sequence!$B$232) / (Deviation_sequence!H249 + 0.5 * Deviation_sequence!$B$232)</f>
        <v>0.4029660576</v>
      </c>
      <c r="I244" s="7">
        <f>(Deviation_sequence!$B$233 + 0.5 *Deviation_sequence!$B$232) / (Deviation_sequence!I249 + 0.5 * Deviation_sequence!$B$232)</f>
        <v>0.3884700389</v>
      </c>
      <c r="J244" s="7">
        <f>(Deviation_sequence!$B$233 + 0.5 *Deviation_sequence!$B$232) / (Deviation_sequence!J249 + 0.5 * Deviation_sequence!$B$232)</f>
        <v>0.3741107423</v>
      </c>
      <c r="K244" s="7">
        <f>(Deviation_sequence!$B$233 + 0.5 *Deviation_sequence!$B$232) / (Deviation_sequence!K249 + 0.5 * Deviation_sequence!$B$232)</f>
        <v>0.3822427026</v>
      </c>
      <c r="L244" s="7">
        <f>(Deviation_sequence!$B$233 + 0.5 *Deviation_sequence!$B$232) / (Deviation_sequence!L249 + 0.5 * Deviation_sequence!$B$232)</f>
        <v>0.3869954766</v>
      </c>
      <c r="M244" s="7">
        <f>(Deviation_sequence!$B$233 + 0.5 *Deviation_sequence!$B$232) / (Deviation_sequence!M249 + 0.5 * Deviation_sequence!$B$232)</f>
        <v>0.3962154888</v>
      </c>
      <c r="O244" s="7">
        <f t="shared" si="8"/>
        <v>0.417706438</v>
      </c>
    </row>
    <row r="245">
      <c r="A245" s="7" t="s">
        <v>15</v>
      </c>
      <c r="B245" s="7">
        <f>(Deviation_sequence!$B$233 + 0.5 *Deviation_sequence!$B$232) / (Deviation_sequence!B250 + 0.5 * Deviation_sequence!$B$232)</f>
        <v>0.3653256623</v>
      </c>
      <c r="C245" s="7">
        <f>(Deviation_sequence!$B$233 + 0.5 *Deviation_sequence!$B$232) / (Deviation_sequence!C250 + 0.5 * Deviation_sequence!$B$232)</f>
        <v>0.37028543</v>
      </c>
      <c r="D245" s="7">
        <f>(Deviation_sequence!$B$233 + 0.5 *Deviation_sequence!$B$232) / (Deviation_sequence!D250 + 0.5 * Deviation_sequence!$B$232)</f>
        <v>0.3974277936</v>
      </c>
      <c r="E245" s="7">
        <f>(Deviation_sequence!$B$233 + 0.5 *Deviation_sequence!$B$232) / (Deviation_sequence!E250 + 0.5 * Deviation_sequence!$B$232)</f>
        <v>0.3925085689</v>
      </c>
      <c r="F245" s="7">
        <f>(Deviation_sequence!$B$233 + 0.5 *Deviation_sequence!$B$232) / (Deviation_sequence!F250 + 0.5 * Deviation_sequence!$B$232)</f>
        <v>0.3923362175</v>
      </c>
      <c r="G245" s="7">
        <f>(Deviation_sequence!$B$233 + 0.5 *Deviation_sequence!$B$232) / (Deviation_sequence!G250 + 0.5 * Deviation_sequence!$B$232)</f>
        <v>0.3716215514</v>
      </c>
      <c r="H245" s="7">
        <f>(Deviation_sequence!$B$233 + 0.5 *Deviation_sequence!$B$232) / (Deviation_sequence!H250 + 0.5 * Deviation_sequence!$B$232)</f>
        <v>0.3913831639</v>
      </c>
      <c r="I245" s="7">
        <f>(Deviation_sequence!$B$233 + 0.5 *Deviation_sequence!$B$232) / (Deviation_sequence!I250 + 0.5 * Deviation_sequence!$B$232)</f>
        <v>0.3819375277</v>
      </c>
      <c r="J245" s="7">
        <f>(Deviation_sequence!$B$233 + 0.5 *Deviation_sequence!$B$232) / (Deviation_sequence!J250 + 0.5 * Deviation_sequence!$B$232)</f>
        <v>0.3965708093</v>
      </c>
      <c r="K245" s="7">
        <f>(Deviation_sequence!$B$233 + 0.5 *Deviation_sequence!$B$232) / (Deviation_sequence!K250 + 0.5 * Deviation_sequence!$B$232)</f>
        <v>0.4268398705</v>
      </c>
      <c r="L245" s="7">
        <f>(Deviation_sequence!$B$233 + 0.5 *Deviation_sequence!$B$232) / (Deviation_sequence!L250 + 0.5 * Deviation_sequence!$B$232)</f>
        <v>0.4312554374</v>
      </c>
      <c r="M245" s="7">
        <f>(Deviation_sequence!$B$233 + 0.5 *Deviation_sequence!$B$232) / (Deviation_sequence!M250 + 0.5 * Deviation_sequence!$B$232)</f>
        <v>0.4397340573</v>
      </c>
      <c r="O245" s="7">
        <f t="shared" si="8"/>
        <v>0.3964355075</v>
      </c>
    </row>
    <row r="246">
      <c r="A246" s="7" t="s">
        <v>16</v>
      </c>
      <c r="B246" s="7">
        <f>(Deviation_sequence!$B$233 + 0.5 *Deviation_sequence!$B$232) / (Deviation_sequence!B251 + 0.5 * Deviation_sequence!$B$232)</f>
        <v>0.3961215904</v>
      </c>
      <c r="C246" s="7">
        <f>(Deviation_sequence!$B$233 + 0.5 *Deviation_sequence!$B$232) / (Deviation_sequence!C251 + 0.5 * Deviation_sequence!$B$232)</f>
        <v>0.4127782696</v>
      </c>
      <c r="D246" s="7">
        <f>(Deviation_sequence!$B$233 + 0.5 *Deviation_sequence!$B$232) / (Deviation_sequence!D251 + 0.5 * Deviation_sequence!$B$232)</f>
        <v>0.3971926735</v>
      </c>
      <c r="E246" s="7">
        <f>(Deviation_sequence!$B$233 + 0.5 *Deviation_sequence!$B$232) / (Deviation_sequence!E251 + 0.5 * Deviation_sequence!$B$232)</f>
        <v>0.3959131448</v>
      </c>
      <c r="F246" s="7">
        <f>(Deviation_sequence!$B$233 + 0.5 *Deviation_sequence!$B$232) / (Deviation_sequence!F251 + 0.5 * Deviation_sequence!$B$232)</f>
        <v>0.4107810401</v>
      </c>
      <c r="G246" s="7">
        <f>(Deviation_sequence!$B$233 + 0.5 *Deviation_sequence!$B$232) / (Deviation_sequence!G251 + 0.5 * Deviation_sequence!$B$232)</f>
        <v>0.4282915557</v>
      </c>
      <c r="H246" s="7">
        <f>(Deviation_sequence!$B$233 + 0.5 *Deviation_sequence!$B$232) / (Deviation_sequence!H251 + 0.5 * Deviation_sequence!$B$232)</f>
        <v>0.4544423786</v>
      </c>
      <c r="I246" s="7">
        <f>(Deviation_sequence!$B$233 + 0.5 *Deviation_sequence!$B$232) / (Deviation_sequence!I251 + 0.5 * Deviation_sequence!$B$232)</f>
        <v>0.4548490221</v>
      </c>
      <c r="J246" s="7">
        <f>(Deviation_sequence!$B$233 + 0.5 *Deviation_sequence!$B$232) / (Deviation_sequence!J251 + 0.5 * Deviation_sequence!$B$232)</f>
        <v>0.4701009025</v>
      </c>
      <c r="K246" s="7">
        <f>(Deviation_sequence!$B$233 + 0.5 *Deviation_sequence!$B$232) / (Deviation_sequence!K251 + 0.5 * Deviation_sequence!$B$232)</f>
        <v>0.4721698855</v>
      </c>
      <c r="L246" s="7">
        <f>(Deviation_sequence!$B$233 + 0.5 *Deviation_sequence!$B$232) / (Deviation_sequence!L251 + 0.5 * Deviation_sequence!$B$232)</f>
        <v>0.4756432912</v>
      </c>
      <c r="M246" s="7">
        <f>(Deviation_sequence!$B$233 + 0.5 *Deviation_sequence!$B$232) / (Deviation_sequence!M251 + 0.5 * Deviation_sequence!$B$232)</f>
        <v>0.4861304821</v>
      </c>
      <c r="O246" s="7">
        <f t="shared" si="8"/>
        <v>0.437867853</v>
      </c>
    </row>
    <row r="247">
      <c r="A247" s="7" t="s">
        <v>17</v>
      </c>
      <c r="B247" s="7">
        <f>(Deviation_sequence!$B$233 + 0.5 *Deviation_sequence!$B$232) / (Deviation_sequence!B252 + 0.5 * Deviation_sequence!$B$232)</f>
        <v>0.6598720923</v>
      </c>
      <c r="C247" s="7">
        <f>(Deviation_sequence!$B$233 + 0.5 *Deviation_sequence!$B$232) / (Deviation_sequence!C252 + 0.5 * Deviation_sequence!$B$232)</f>
        <v>0.7034065471</v>
      </c>
      <c r="D247" s="7">
        <f>(Deviation_sequence!$B$233 + 0.5 *Deviation_sequence!$B$232) / (Deviation_sequence!D252 + 0.5 * Deviation_sequence!$B$232)</f>
        <v>0.684232473</v>
      </c>
      <c r="E247" s="7">
        <f>(Deviation_sequence!$B$233 + 0.5 *Deviation_sequence!$B$232) / (Deviation_sequence!E252 + 0.5 * Deviation_sequence!$B$232)</f>
        <v>0.74542187</v>
      </c>
      <c r="F247" s="7">
        <f>(Deviation_sequence!$B$233 + 0.5 *Deviation_sequence!$B$232) / (Deviation_sequence!F252 + 0.5 * Deviation_sequence!$B$232)</f>
        <v>0.8791784578</v>
      </c>
      <c r="G247" s="7">
        <f>(Deviation_sequence!$B$233 + 0.5 *Deviation_sequence!$B$232) / (Deviation_sequence!G252 + 0.5 * Deviation_sequence!$B$232)</f>
        <v>0.9256727851</v>
      </c>
      <c r="H247" s="7">
        <f>(Deviation_sequence!$B$233 + 0.5 *Deviation_sequence!$B$232) / (Deviation_sequence!H252 + 0.5 * Deviation_sequence!$B$232)</f>
        <v>0.9475918694</v>
      </c>
      <c r="I247" s="7">
        <f>(Deviation_sequence!$B$233 + 0.5 *Deviation_sequence!$B$232) / (Deviation_sequence!I252 + 0.5 * Deviation_sequence!$B$232)</f>
        <v>0.8060911465</v>
      </c>
      <c r="J247" s="7">
        <f>(Deviation_sequence!$B$233 + 0.5 *Deviation_sequence!$B$232) / (Deviation_sequence!J252 + 0.5 * Deviation_sequence!$B$232)</f>
        <v>0.8221603088</v>
      </c>
      <c r="K247" s="7">
        <f>(Deviation_sequence!$B$233 + 0.5 *Deviation_sequence!$B$232) / (Deviation_sequence!K252 + 0.5 * Deviation_sequence!$B$232)</f>
        <v>0.8896715768</v>
      </c>
      <c r="L247" s="7">
        <f>(Deviation_sequence!$B$233 + 0.5 *Deviation_sequence!$B$232) / (Deviation_sequence!L252 + 0.5 * Deviation_sequence!$B$232)</f>
        <v>0.9844445177</v>
      </c>
      <c r="M247" s="7">
        <f>(Deviation_sequence!$B$233 + 0.5 *Deviation_sequence!$B$232) / (Deviation_sequence!M252 + 0.5 * Deviation_sequence!$B$232)</f>
        <v>0.9350857171</v>
      </c>
      <c r="O247" s="7">
        <f t="shared" si="8"/>
        <v>0.8319024468</v>
      </c>
    </row>
    <row r="248">
      <c r="A248" s="7" t="s">
        <v>18</v>
      </c>
      <c r="B248" s="7">
        <f>(Deviation_sequence!$B$233 + 0.5 *Deviation_sequence!$B$232) / (Deviation_sequence!B253 + 0.5 * Deviation_sequence!$B$232)</f>
        <v>0.776672233</v>
      </c>
      <c r="C248" s="7">
        <f>(Deviation_sequence!$B$233 + 0.5 *Deviation_sequence!$B$232) / (Deviation_sequence!C253 + 0.5 * Deviation_sequence!$B$232)</f>
        <v>0.7922772742</v>
      </c>
      <c r="D248" s="7">
        <f>(Deviation_sequence!$B$233 + 0.5 *Deviation_sequence!$B$232) / (Deviation_sequence!D253 + 0.5 * Deviation_sequence!$B$232)</f>
        <v>0.7860449035</v>
      </c>
      <c r="E248" s="7">
        <f>(Deviation_sequence!$B$233 + 0.5 *Deviation_sequence!$B$232) / (Deviation_sequence!E253 + 0.5 * Deviation_sequence!$B$232)</f>
        <v>0.7573572802</v>
      </c>
      <c r="F248" s="7">
        <f>(Deviation_sequence!$B$233 + 0.5 *Deviation_sequence!$B$232) / (Deviation_sequence!F253 + 0.5 * Deviation_sequence!$B$232)</f>
        <v>0.7987166274</v>
      </c>
      <c r="G248" s="7">
        <f>(Deviation_sequence!$B$233 + 0.5 *Deviation_sequence!$B$232) / (Deviation_sequence!G253 + 0.5 * Deviation_sequence!$B$232)</f>
        <v>0.6932136307</v>
      </c>
      <c r="H248" s="7">
        <f>(Deviation_sequence!$B$233 + 0.5 *Deviation_sequence!$B$232) / (Deviation_sequence!H253 + 0.5 * Deviation_sequence!$B$232)</f>
        <v>0.6622375328</v>
      </c>
      <c r="I248" s="7">
        <f>(Deviation_sequence!$B$233 + 0.5 *Deviation_sequence!$B$232) / (Deviation_sequence!I253 + 0.5 * Deviation_sequence!$B$232)</f>
        <v>0.6415216038</v>
      </c>
      <c r="J248" s="7">
        <f>(Deviation_sequence!$B$233 + 0.5 *Deviation_sequence!$B$232) / (Deviation_sequence!J253 + 0.5 * Deviation_sequence!$B$232)</f>
        <v>0.6775475958</v>
      </c>
      <c r="K248" s="7">
        <f>(Deviation_sequence!$B$233 + 0.5 *Deviation_sequence!$B$232) / (Deviation_sequence!K253 + 0.5 * Deviation_sequence!$B$232)</f>
        <v>0.6167132252</v>
      </c>
      <c r="L248" s="7">
        <f>(Deviation_sequence!$B$233 + 0.5 *Deviation_sequence!$B$232) / (Deviation_sequence!L253 + 0.5 * Deviation_sequence!$B$232)</f>
        <v>0.6222385544</v>
      </c>
      <c r="M248" s="7">
        <f>(Deviation_sequence!$B$233 + 0.5 *Deviation_sequence!$B$232) / (Deviation_sequence!M253 + 0.5 * Deviation_sequence!$B$232)</f>
        <v>0.6419645656</v>
      </c>
      <c r="O248" s="7">
        <f t="shared" si="8"/>
        <v>0.7055420856</v>
      </c>
    </row>
    <row r="249">
      <c r="A249" s="7" t="s">
        <v>19</v>
      </c>
      <c r="B249" s="7">
        <f>(Deviation_sequence!$B$233 + 0.5 *Deviation_sequence!$B$232) / (Deviation_sequence!B254 + 0.5 * Deviation_sequence!$B$232)</f>
        <v>0.3975499814</v>
      </c>
      <c r="C249" s="7">
        <f>(Deviation_sequence!$B$233 + 0.5 *Deviation_sequence!$B$232) / (Deviation_sequence!C254 + 0.5 * Deviation_sequence!$B$232)</f>
        <v>0.4247572754</v>
      </c>
      <c r="D249" s="7">
        <f>(Deviation_sequence!$B$233 + 0.5 *Deviation_sequence!$B$232) / (Deviation_sequence!D254 + 0.5 * Deviation_sequence!$B$232)</f>
        <v>0.4154372809</v>
      </c>
      <c r="E249" s="7">
        <f>(Deviation_sequence!$B$233 + 0.5 *Deviation_sequence!$B$232) / (Deviation_sequence!E254 + 0.5 * Deviation_sequence!$B$232)</f>
        <v>0.4120666976</v>
      </c>
      <c r="F249" s="7">
        <f>(Deviation_sequence!$B$233 + 0.5 *Deviation_sequence!$B$232) / (Deviation_sequence!F254 + 0.5 * Deviation_sequence!$B$232)</f>
        <v>0.4191931081</v>
      </c>
      <c r="G249" s="7">
        <f>(Deviation_sequence!$B$233 + 0.5 *Deviation_sequence!$B$232) / (Deviation_sequence!G254 + 0.5 * Deviation_sequence!$B$232)</f>
        <v>0.3867519347</v>
      </c>
      <c r="H249" s="7">
        <f>(Deviation_sequence!$B$233 + 0.5 *Deviation_sequence!$B$232) / (Deviation_sequence!H254 + 0.5 * Deviation_sequence!$B$232)</f>
        <v>0.3947583956</v>
      </c>
      <c r="I249" s="7">
        <f>(Deviation_sequence!$B$233 + 0.5 *Deviation_sequence!$B$232) / (Deviation_sequence!I254 + 0.5 * Deviation_sequence!$B$232)</f>
        <v>0.4176857063</v>
      </c>
      <c r="J249" s="7">
        <f>(Deviation_sequence!$B$233 + 0.5 *Deviation_sequence!$B$232) / (Deviation_sequence!J254 + 0.5 * Deviation_sequence!$B$232)</f>
        <v>0.4233735255</v>
      </c>
      <c r="K249" s="7">
        <f>(Deviation_sequence!$B$233 + 0.5 *Deviation_sequence!$B$232) / (Deviation_sequence!K254 + 0.5 * Deviation_sequence!$B$232)</f>
        <v>0.4243118307</v>
      </c>
      <c r="L249" s="7">
        <f>(Deviation_sequence!$B$233 + 0.5 *Deviation_sequence!$B$232) / (Deviation_sequence!L254 + 0.5 * Deviation_sequence!$B$232)</f>
        <v>0.4757033468</v>
      </c>
      <c r="M249" s="7">
        <f>(Deviation_sequence!$B$233 + 0.5 *Deviation_sequence!$B$232) / (Deviation_sequence!M254 + 0.5 * Deviation_sequence!$B$232)</f>
        <v>0.4920152406</v>
      </c>
      <c r="O249" s="7">
        <f t="shared" si="8"/>
        <v>0.4236336936</v>
      </c>
    </row>
    <row r="250">
      <c r="A250" s="7" t="s">
        <v>20</v>
      </c>
      <c r="B250" s="7">
        <f>(Deviation_sequence!$B$233 + 0.5 *Deviation_sequence!$B$232) / (Deviation_sequence!B255 + 0.5 * Deviation_sequence!$B$232)</f>
        <v>0.6100125388</v>
      </c>
      <c r="C250" s="7">
        <f>(Deviation_sequence!$B$233 + 0.5 *Deviation_sequence!$B$232) / (Deviation_sequence!C255 + 0.5 * Deviation_sequence!$B$232)</f>
        <v>0.6868135087</v>
      </c>
      <c r="D250" s="7">
        <f>(Deviation_sequence!$B$233 + 0.5 *Deviation_sequence!$B$232) / (Deviation_sequence!D255 + 0.5 * Deviation_sequence!$B$232)</f>
        <v>0.6885432635</v>
      </c>
      <c r="E250" s="7">
        <f>(Deviation_sequence!$B$233 + 0.5 *Deviation_sequence!$B$232) / (Deviation_sequence!E255 + 0.5 * Deviation_sequence!$B$232)</f>
        <v>0.6874797118</v>
      </c>
      <c r="F250" s="7">
        <f>(Deviation_sequence!$B$233 + 0.5 *Deviation_sequence!$B$232) / (Deviation_sequence!F255 + 0.5 * Deviation_sequence!$B$232)</f>
        <v>0.709439114</v>
      </c>
      <c r="G250" s="7">
        <f>(Deviation_sequence!$B$233 + 0.5 *Deviation_sequence!$B$232) / (Deviation_sequence!G255 + 0.5 * Deviation_sequence!$B$232)</f>
        <v>0.6621122093</v>
      </c>
      <c r="H250" s="7">
        <f>(Deviation_sequence!$B$233 + 0.5 *Deviation_sequence!$B$232) / (Deviation_sequence!H255 + 0.5 * Deviation_sequence!$B$232)</f>
        <v>0.6447710157</v>
      </c>
      <c r="I250" s="7">
        <f>(Deviation_sequence!$B$233 + 0.5 *Deviation_sequence!$B$232) / (Deviation_sequence!I255 + 0.5 * Deviation_sequence!$B$232)</f>
        <v>0.6074187901</v>
      </c>
      <c r="J250" s="7">
        <f>(Deviation_sequence!$B$233 + 0.5 *Deviation_sequence!$B$232) / (Deviation_sequence!J255 + 0.5 * Deviation_sequence!$B$232)</f>
        <v>0.5943528403</v>
      </c>
      <c r="K250" s="7">
        <f>(Deviation_sequence!$B$233 + 0.5 *Deviation_sequence!$B$232) / (Deviation_sequence!K255 + 0.5 * Deviation_sequence!$B$232)</f>
        <v>0.550273768</v>
      </c>
      <c r="L250" s="7">
        <f>(Deviation_sequence!$B$233 + 0.5 *Deviation_sequence!$B$232) / (Deviation_sequence!L255 + 0.5 * Deviation_sequence!$B$232)</f>
        <v>0.5704566197</v>
      </c>
      <c r="M250" s="7">
        <f>(Deviation_sequence!$B$233 + 0.5 *Deviation_sequence!$B$232) / (Deviation_sequence!M255 + 0.5 * Deviation_sequence!$B$232)</f>
        <v>0.4938077157</v>
      </c>
      <c r="O250" s="7">
        <f t="shared" si="8"/>
        <v>0.625456758</v>
      </c>
    </row>
    <row r="251">
      <c r="A251" s="7" t="s">
        <v>21</v>
      </c>
      <c r="B251" s="7">
        <f>(Deviation_sequence!$B$233 + 0.5 *Deviation_sequence!$B$232) / (Deviation_sequence!B256 + 0.5 * Deviation_sequence!$B$232)</f>
        <v>0.6934877396</v>
      </c>
      <c r="C251" s="7">
        <f>(Deviation_sequence!$B$233 + 0.5 *Deviation_sequence!$B$232) / (Deviation_sequence!C256 + 0.5 * Deviation_sequence!$B$232)</f>
        <v>0.7415921177</v>
      </c>
      <c r="D251" s="7">
        <f>(Deviation_sequence!$B$233 + 0.5 *Deviation_sequence!$B$232) / (Deviation_sequence!D256 + 0.5 * Deviation_sequence!$B$232)</f>
        <v>0.7392324768</v>
      </c>
      <c r="E251" s="7">
        <f>(Deviation_sequence!$B$233 + 0.5 *Deviation_sequence!$B$232) / (Deviation_sequence!E256 + 0.5 * Deviation_sequence!$B$232)</f>
        <v>0.8713184878</v>
      </c>
      <c r="F251" s="7">
        <f>(Deviation_sequence!$B$233 + 0.5 *Deviation_sequence!$B$232) / (Deviation_sequence!F256 + 0.5 * Deviation_sequence!$B$232)</f>
        <v>0.9176172456</v>
      </c>
      <c r="G251" s="7">
        <f>(Deviation_sequence!$B$233 + 0.5 *Deviation_sequence!$B$232) / (Deviation_sequence!G256 + 0.5 * Deviation_sequence!$B$232)</f>
        <v>0.9737283851</v>
      </c>
      <c r="H251" s="7">
        <f>(Deviation_sequence!$B$233 + 0.5 *Deviation_sequence!$B$232) / (Deviation_sequence!H256 + 0.5 * Deviation_sequence!$B$232)</f>
        <v>0.9858211283</v>
      </c>
      <c r="I251" s="7">
        <f>(Deviation_sequence!$B$233 + 0.5 *Deviation_sequence!$B$232) / (Deviation_sequence!I256 + 0.5 * Deviation_sequence!$B$232)</f>
        <v>0.9992855253</v>
      </c>
      <c r="J251" s="7">
        <f>(Deviation_sequence!$B$233 + 0.5 *Deviation_sequence!$B$232) / (Deviation_sequence!J256 + 0.5 * Deviation_sequence!$B$232)</f>
        <v>0.9462331483</v>
      </c>
      <c r="K251" s="7">
        <f>(Deviation_sequence!$B$233 + 0.5 *Deviation_sequence!$B$232) / (Deviation_sequence!K256 + 0.5 * Deviation_sequence!$B$232)</f>
        <v>0.99527539</v>
      </c>
      <c r="L251" s="7">
        <f>(Deviation_sequence!$B$233 + 0.5 *Deviation_sequence!$B$232) / (Deviation_sequence!L256 + 0.5 * Deviation_sequence!$B$232)</f>
        <v>0.9451351424</v>
      </c>
      <c r="M251" s="7">
        <f>(Deviation_sequence!$B$233 + 0.5 *Deviation_sequence!$B$232) / (Deviation_sequence!M256 + 0.5 * Deviation_sequence!$B$232)</f>
        <v>0.9845428785</v>
      </c>
      <c r="O251" s="7">
        <f t="shared" si="8"/>
        <v>0.8994391388</v>
      </c>
    </row>
    <row r="252">
      <c r="A252" s="7" t="s">
        <v>22</v>
      </c>
      <c r="B252" s="7">
        <f>(Deviation_sequence!$B$233 + 0.5 *Deviation_sequence!$B$232) / (Deviation_sequence!B257 + 0.5 * Deviation_sequence!$B$232)</f>
        <v>0.4184861519</v>
      </c>
      <c r="C252" s="7">
        <f>(Deviation_sequence!$B$233 + 0.5 *Deviation_sequence!$B$232) / (Deviation_sequence!C257 + 0.5 * Deviation_sequence!$B$232)</f>
        <v>0.4329770393</v>
      </c>
      <c r="D252" s="7">
        <f>(Deviation_sequence!$B$233 + 0.5 *Deviation_sequence!$B$232) / (Deviation_sequence!D257 + 0.5 * Deviation_sequence!$B$232)</f>
        <v>0.4268209084</v>
      </c>
      <c r="E252" s="7">
        <f>(Deviation_sequence!$B$233 + 0.5 *Deviation_sequence!$B$232) / (Deviation_sequence!E257 + 0.5 * Deviation_sequence!$B$232)</f>
        <v>0.4163219944</v>
      </c>
      <c r="F252" s="7">
        <f>(Deviation_sequence!$B$233 + 0.5 *Deviation_sequence!$B$232) / (Deviation_sequence!F257 + 0.5 * Deviation_sequence!$B$232)</f>
        <v>0.4218848604</v>
      </c>
      <c r="G252" s="7">
        <f>(Deviation_sequence!$B$233 + 0.5 *Deviation_sequence!$B$232) / (Deviation_sequence!G257 + 0.5 * Deviation_sequence!$B$232)</f>
        <v>0.4716971237</v>
      </c>
      <c r="H252" s="7">
        <f>(Deviation_sequence!$B$233 + 0.5 *Deviation_sequence!$B$232) / (Deviation_sequence!H257 + 0.5 * Deviation_sequence!$B$232)</f>
        <v>0.5077241042</v>
      </c>
      <c r="I252" s="7">
        <f>(Deviation_sequence!$B$233 + 0.5 *Deviation_sequence!$B$232) / (Deviation_sequence!I257 + 0.5 * Deviation_sequence!$B$232)</f>
        <v>0.4810092929</v>
      </c>
      <c r="J252" s="7">
        <f>(Deviation_sequence!$B$233 + 0.5 *Deviation_sequence!$B$232) / (Deviation_sequence!J257 + 0.5 * Deviation_sequence!$B$232)</f>
        <v>0.500065763</v>
      </c>
      <c r="K252" s="7">
        <f>(Deviation_sequence!$B$233 + 0.5 *Deviation_sequence!$B$232) / (Deviation_sequence!K257 + 0.5 * Deviation_sequence!$B$232)</f>
        <v>0.5060164415</v>
      </c>
      <c r="L252" s="7">
        <f>(Deviation_sequence!$B$233 + 0.5 *Deviation_sequence!$B$232) / (Deviation_sequence!L257 + 0.5 * Deviation_sequence!$B$232)</f>
        <v>0.4812051462</v>
      </c>
      <c r="M252" s="7">
        <f>(Deviation_sequence!$B$233 + 0.5 *Deviation_sequence!$B$232) / (Deviation_sequence!M257 + 0.5 * Deviation_sequence!$B$232)</f>
        <v>0.4936875917</v>
      </c>
      <c r="O252" s="7">
        <f t="shared" si="8"/>
        <v>0.4631580348</v>
      </c>
    </row>
    <row r="253">
      <c r="A253" s="7" t="s">
        <v>23</v>
      </c>
      <c r="B253" s="7">
        <f>(Deviation_sequence!$B$233 + 0.5 *Deviation_sequence!$B$232) / (Deviation_sequence!B258 + 0.5 * Deviation_sequence!$B$232)</f>
        <v>0.4658809051</v>
      </c>
      <c r="C253" s="7">
        <f>(Deviation_sequence!$B$233 + 0.5 *Deviation_sequence!$B$232) / (Deviation_sequence!C258 + 0.5 * Deviation_sequence!$B$232)</f>
        <v>0.5180830799</v>
      </c>
      <c r="D253" s="7">
        <f>(Deviation_sequence!$B$233 + 0.5 *Deviation_sequence!$B$232) / (Deviation_sequence!D258 + 0.5 * Deviation_sequence!$B$232)</f>
        <v>0.5366057939</v>
      </c>
      <c r="E253" s="7">
        <f>(Deviation_sequence!$B$233 + 0.5 *Deviation_sequence!$B$232) / (Deviation_sequence!E258 + 0.5 * Deviation_sequence!$B$232)</f>
        <v>0.5369881439</v>
      </c>
      <c r="F253" s="7">
        <f>(Deviation_sequence!$B$233 + 0.5 *Deviation_sequence!$B$232) / (Deviation_sequence!F258 + 0.5 * Deviation_sequence!$B$232)</f>
        <v>0.5548467183</v>
      </c>
      <c r="G253" s="7">
        <f>(Deviation_sequence!$B$233 + 0.5 *Deviation_sequence!$B$232) / (Deviation_sequence!G258 + 0.5 * Deviation_sequence!$B$232)</f>
        <v>0.5223865088</v>
      </c>
      <c r="H253" s="7">
        <f>(Deviation_sequence!$B$233 + 0.5 *Deviation_sequence!$B$232) / (Deviation_sequence!H258 + 0.5 * Deviation_sequence!$B$232)</f>
        <v>0.525787522</v>
      </c>
      <c r="I253" s="7">
        <f>(Deviation_sequence!$B$233 + 0.5 *Deviation_sequence!$B$232) / (Deviation_sequence!I258 + 0.5 * Deviation_sequence!$B$232)</f>
        <v>0.587840012</v>
      </c>
      <c r="J253" s="7">
        <f>(Deviation_sequence!$B$233 + 0.5 *Deviation_sequence!$B$232) / (Deviation_sequence!J258 + 0.5 * Deviation_sequence!$B$232)</f>
        <v>0.561357552</v>
      </c>
      <c r="K253" s="7">
        <f>(Deviation_sequence!$B$233 + 0.5 *Deviation_sequence!$B$232) / (Deviation_sequence!K258 + 0.5 * Deviation_sequence!$B$232)</f>
        <v>0.522481655</v>
      </c>
      <c r="L253" s="7">
        <f>(Deviation_sequence!$B$233 + 0.5 *Deviation_sequence!$B$232) / (Deviation_sequence!L258 + 0.5 * Deviation_sequence!$B$232)</f>
        <v>0.5875421434</v>
      </c>
      <c r="M253" s="7">
        <f>(Deviation_sequence!$B$233 + 0.5 *Deviation_sequence!$B$232) / (Deviation_sequence!M258 + 0.5 * Deviation_sequence!$B$232)</f>
        <v>0.6554031973</v>
      </c>
      <c r="O253" s="7">
        <f t="shared" si="8"/>
        <v>0.5479336026</v>
      </c>
    </row>
    <row r="254">
      <c r="A254" s="7" t="s">
        <v>24</v>
      </c>
      <c r="B254" s="7">
        <f>(Deviation_sequence!$B$233 + 0.5 *Deviation_sequence!$B$232) / (Deviation_sequence!B259 + 0.5 * Deviation_sequence!$B$232)</f>
        <v>0.3952003309</v>
      </c>
      <c r="C254" s="7">
        <f>(Deviation_sequence!$B$233 + 0.5 *Deviation_sequence!$B$232) / (Deviation_sequence!C259 + 0.5 * Deviation_sequence!$B$232)</f>
        <v>0.4227272541</v>
      </c>
      <c r="D254" s="7">
        <f>(Deviation_sequence!$B$233 + 0.5 *Deviation_sequence!$B$232) / (Deviation_sequence!D259 + 0.5 * Deviation_sequence!$B$232)</f>
        <v>0.4217756218</v>
      </c>
      <c r="E254" s="7">
        <f>(Deviation_sequence!$B$233 + 0.5 *Deviation_sequence!$B$232) / (Deviation_sequence!E259 + 0.5 * Deviation_sequence!$B$232)</f>
        <v>0.4315107802</v>
      </c>
      <c r="F254" s="7">
        <f>(Deviation_sequence!$B$233 + 0.5 *Deviation_sequence!$B$232) / (Deviation_sequence!F259 + 0.5 * Deviation_sequence!$B$232)</f>
        <v>0.4344771217</v>
      </c>
      <c r="G254" s="7">
        <f>(Deviation_sequence!$B$233 + 0.5 *Deviation_sequence!$B$232) / (Deviation_sequence!G259 + 0.5 * Deviation_sequence!$B$232)</f>
        <v>0.42102962</v>
      </c>
      <c r="H254" s="7">
        <f>(Deviation_sequence!$B$233 + 0.5 *Deviation_sequence!$B$232) / (Deviation_sequence!H259 + 0.5 * Deviation_sequence!$B$232)</f>
        <v>0.4230273697</v>
      </c>
      <c r="I254" s="7">
        <f>(Deviation_sequence!$B$233 + 0.5 *Deviation_sequence!$B$232) / (Deviation_sequence!I259 + 0.5 * Deviation_sequence!$B$232)</f>
        <v>0.4154662781</v>
      </c>
      <c r="J254" s="7">
        <f>(Deviation_sequence!$B$233 + 0.5 *Deviation_sequence!$B$232) / (Deviation_sequence!J259 + 0.5 * Deviation_sequence!$B$232)</f>
        <v>0.4011880727</v>
      </c>
      <c r="K254" s="7">
        <f>(Deviation_sequence!$B$233 + 0.5 *Deviation_sequence!$B$232) / (Deviation_sequence!K259 + 0.5 * Deviation_sequence!$B$232)</f>
        <v>0.4031761014</v>
      </c>
      <c r="L254" s="7">
        <f>(Deviation_sequence!$B$233 + 0.5 *Deviation_sequence!$B$232) / (Deviation_sequence!L259 + 0.5 * Deviation_sequence!$B$232)</f>
        <v>0.4424043461</v>
      </c>
      <c r="M254" s="7">
        <f>(Deviation_sequence!$B$233 + 0.5 *Deviation_sequence!$B$232) / (Deviation_sequence!M259 + 0.5 * Deviation_sequence!$B$232)</f>
        <v>0.4102606108</v>
      </c>
      <c r="O254" s="7">
        <f t="shared" si="8"/>
        <v>0.4185202923</v>
      </c>
    </row>
    <row r="255">
      <c r="A255" s="7" t="s">
        <v>25</v>
      </c>
      <c r="B255" s="7">
        <f>(Deviation_sequence!$B$233 + 0.5 *Deviation_sequence!$B$232) / (Deviation_sequence!B260 + 0.5 * Deviation_sequence!$B$232)</f>
        <v>0.4858128075</v>
      </c>
      <c r="C255" s="7">
        <f>(Deviation_sequence!$B$233 + 0.5 *Deviation_sequence!$B$232) / (Deviation_sequence!C260 + 0.5 * Deviation_sequence!$B$232)</f>
        <v>0.9437051832</v>
      </c>
      <c r="D255" s="7">
        <f>(Deviation_sequence!$B$233 + 0.5 *Deviation_sequence!$B$232) / (Deviation_sequence!D260 + 0.5 * Deviation_sequence!$B$232)</f>
        <v>0.8172286056</v>
      </c>
      <c r="E255" s="7">
        <f>(Deviation_sequence!$B$233 + 0.5 *Deviation_sequence!$B$232) / (Deviation_sequence!E260 + 0.5 * Deviation_sequence!$B$232)</f>
        <v>0.7462525191</v>
      </c>
      <c r="F255" s="7">
        <f>(Deviation_sequence!$B$233 + 0.5 *Deviation_sequence!$B$232) / (Deviation_sequence!F260 + 0.5 * Deviation_sequence!$B$232)</f>
        <v>0.4954699848</v>
      </c>
      <c r="G255" s="7">
        <f>(Deviation_sequence!$B$233 + 0.5 *Deviation_sequence!$B$232) / (Deviation_sequence!G260 + 0.5 * Deviation_sequence!$B$232)</f>
        <v>0.8040360773</v>
      </c>
      <c r="H255" s="7">
        <f>(Deviation_sequence!$B$233 + 0.5 *Deviation_sequence!$B$232) / (Deviation_sequence!H260 + 0.5 * Deviation_sequence!$B$232)</f>
        <v>0.7938889566</v>
      </c>
      <c r="I255" s="7">
        <f>(Deviation_sequence!$B$233 + 0.5 *Deviation_sequence!$B$232) / (Deviation_sequence!I260 + 0.5 * Deviation_sequence!$B$232)</f>
        <v>0.566013039</v>
      </c>
      <c r="J255" s="7">
        <f>(Deviation_sequence!$B$233 + 0.5 *Deviation_sequence!$B$232) / (Deviation_sequence!J260 + 0.5 * Deviation_sequence!$B$232)</f>
        <v>0.7964068722</v>
      </c>
      <c r="K255" s="7">
        <f>(Deviation_sequence!$B$233 + 0.5 *Deviation_sequence!$B$232) / (Deviation_sequence!K260 + 0.5 * Deviation_sequence!$B$232)</f>
        <v>0.554068881</v>
      </c>
      <c r="L255" s="7">
        <f>(Deviation_sequence!$B$233 + 0.5 *Deviation_sequence!$B$232) / (Deviation_sequence!L260 + 0.5 * Deviation_sequence!$B$232)</f>
        <v>0.8000008747</v>
      </c>
      <c r="M255" s="7">
        <f>(Deviation_sequence!$B$233 + 0.5 *Deviation_sequence!$B$232) / (Deviation_sequence!M260 + 0.5 * Deviation_sequence!$B$232)</f>
        <v>0.6434589163</v>
      </c>
      <c r="O255" s="7">
        <f t="shared" si="8"/>
        <v>0.7038618931</v>
      </c>
    </row>
    <row r="256">
      <c r="A256" s="7" t="s">
        <v>26</v>
      </c>
      <c r="B256" s="7">
        <f>(Deviation_sequence!$B$233 + 0.5 *Deviation_sequence!$B$232) / (Deviation_sequence!B261 + 0.5 * Deviation_sequence!$B$232)</f>
        <v>0.5598339045</v>
      </c>
      <c r="C256" s="7">
        <f>(Deviation_sequence!$B$233 + 0.5 *Deviation_sequence!$B$232) / (Deviation_sequence!C261 + 0.5 * Deviation_sequence!$B$232)</f>
        <v>0.5571177809</v>
      </c>
      <c r="D256" s="7">
        <f>(Deviation_sequence!$B$233 + 0.5 *Deviation_sequence!$B$232) / (Deviation_sequence!D261 + 0.5 * Deviation_sequence!$B$232)</f>
        <v>0.4998001599</v>
      </c>
      <c r="E256" s="7">
        <f>(Deviation_sequence!$B$233 + 0.5 *Deviation_sequence!$B$232) / (Deviation_sequence!E261 + 0.5 * Deviation_sequence!$B$232)</f>
        <v>0.4853295383</v>
      </c>
      <c r="F256" s="7">
        <f>(Deviation_sequence!$B$233 + 0.5 *Deviation_sequence!$B$232) / (Deviation_sequence!F261 + 0.5 * Deviation_sequence!$B$232)</f>
        <v>0.6743952421</v>
      </c>
      <c r="G256" s="7">
        <f>(Deviation_sequence!$B$233 + 0.5 *Deviation_sequence!$B$232) / (Deviation_sequence!G261 + 0.5 * Deviation_sequence!$B$232)</f>
        <v>0.7153919692</v>
      </c>
      <c r="H256" s="7">
        <f>(Deviation_sequence!$B$233 + 0.5 *Deviation_sequence!$B$232) / (Deviation_sequence!H261 + 0.5 * Deviation_sequence!$B$232)</f>
        <v>0.6691232408</v>
      </c>
      <c r="I256" s="7">
        <f>(Deviation_sequence!$B$233 + 0.5 *Deviation_sequence!$B$232) / (Deviation_sequence!I261 + 0.5 * Deviation_sequence!$B$232)</f>
        <v>0.7476436577</v>
      </c>
      <c r="J256" s="7">
        <f>(Deviation_sequence!$B$233 + 0.5 *Deviation_sequence!$B$232) / (Deviation_sequence!J261 + 0.5 * Deviation_sequence!$B$232)</f>
        <v>0.9362592153</v>
      </c>
      <c r="K256" s="7">
        <f>(Deviation_sequence!$B$233 + 0.5 *Deviation_sequence!$B$232) / (Deviation_sequence!K261 + 0.5 * Deviation_sequence!$B$232)</f>
        <v>0.9216442475</v>
      </c>
      <c r="L256" s="7">
        <f>(Deviation_sequence!$B$233 + 0.5 *Deviation_sequence!$B$232) / (Deviation_sequence!L261 + 0.5 * Deviation_sequence!$B$232)</f>
        <v>0.9752831149</v>
      </c>
      <c r="M256" s="7">
        <f>(Deviation_sequence!$B$233 + 0.5 *Deviation_sequence!$B$232) / (Deviation_sequence!M261 + 0.5 * Deviation_sequence!$B$232)</f>
        <v>0.8330939761</v>
      </c>
      <c r="O256" s="7">
        <f t="shared" si="8"/>
        <v>0.7145763373</v>
      </c>
    </row>
    <row r="257">
      <c r="A257" s="7" t="s">
        <v>27</v>
      </c>
      <c r="B257" s="7">
        <f>(Deviation_sequence!$B$233 + 0.5 *Deviation_sequence!$B$232) / (Deviation_sequence!B262 + 0.5 * Deviation_sequence!$B$232)</f>
        <v>0.4866858801</v>
      </c>
      <c r="C257" s="7">
        <f>(Deviation_sequence!$B$233 + 0.5 *Deviation_sequence!$B$232) / (Deviation_sequence!C262 + 0.5 * Deviation_sequence!$B$232)</f>
        <v>0.4901543636</v>
      </c>
      <c r="D257" s="7">
        <f>(Deviation_sequence!$B$233 + 0.5 *Deviation_sequence!$B$232) / (Deviation_sequence!D262 + 0.5 * Deviation_sequence!$B$232)</f>
        <v>0.4598088929</v>
      </c>
      <c r="E257" s="7">
        <f>(Deviation_sequence!$B$233 + 0.5 *Deviation_sequence!$B$232) / (Deviation_sequence!E262 + 0.5 * Deviation_sequence!$B$232)</f>
        <v>0.4674093597</v>
      </c>
      <c r="F257" s="7">
        <f>(Deviation_sequence!$B$233 + 0.5 *Deviation_sequence!$B$232) / (Deviation_sequence!F262 + 0.5 * Deviation_sequence!$B$232)</f>
        <v>0.4625015706</v>
      </c>
      <c r="G257" s="7">
        <f>(Deviation_sequence!$B$233 + 0.5 *Deviation_sequence!$B$232) / (Deviation_sequence!G262 + 0.5 * Deviation_sequence!$B$232)</f>
        <v>0.4235229893</v>
      </c>
      <c r="H257" s="7">
        <f>(Deviation_sequence!$B$233 + 0.5 *Deviation_sequence!$B$232) / (Deviation_sequence!H262 + 0.5 * Deviation_sequence!$B$232)</f>
        <v>0.4007523744</v>
      </c>
      <c r="I257" s="7">
        <f>(Deviation_sequence!$B$233 + 0.5 *Deviation_sequence!$B$232) / (Deviation_sequence!I262 + 0.5 * Deviation_sequence!$B$232)</f>
        <v>0.3968252666</v>
      </c>
      <c r="J257" s="7">
        <f>(Deviation_sequence!$B$233 + 0.5 *Deviation_sequence!$B$232) / (Deviation_sequence!J262 + 0.5 * Deviation_sequence!$B$232)</f>
        <v>0.3768340775</v>
      </c>
      <c r="K257" s="7">
        <f>(Deviation_sequence!$B$233 + 0.5 *Deviation_sequence!$B$232) / (Deviation_sequence!K262 + 0.5 * Deviation_sequence!$B$232)</f>
        <v>0.3834986333</v>
      </c>
      <c r="L257" s="7">
        <f>(Deviation_sequence!$B$233 + 0.5 *Deviation_sequence!$B$232) / (Deviation_sequence!L262 + 0.5 * Deviation_sequence!$B$232)</f>
        <v>0.3966746682</v>
      </c>
      <c r="M257" s="7">
        <f>(Deviation_sequence!$B$233 + 0.5 *Deviation_sequence!$B$232) / (Deviation_sequence!M262 + 0.5 * Deviation_sequence!$B$232)</f>
        <v>0.4038617544</v>
      </c>
      <c r="O257" s="7">
        <f t="shared" si="8"/>
        <v>0.4290441526</v>
      </c>
    </row>
    <row r="258">
      <c r="A258" s="7" t="s">
        <v>28</v>
      </c>
      <c r="B258" s="7">
        <f>(Deviation_sequence!$B$233 + 0.5 *Deviation_sequence!$B$232) / (Deviation_sequence!B263 + 0.5 * Deviation_sequence!$B$232)</f>
        <v>0.3479282338</v>
      </c>
      <c r="C258" s="7">
        <f>(Deviation_sequence!$B$233 + 0.5 *Deviation_sequence!$B$232) / (Deviation_sequence!C263 + 0.5 * Deviation_sequence!$B$232)</f>
        <v>0.3541647071</v>
      </c>
      <c r="D258" s="7">
        <f>(Deviation_sequence!$B$233 + 0.5 *Deviation_sequence!$B$232) / (Deviation_sequence!D263 + 0.5 * Deviation_sequence!$B$232)</f>
        <v>0.3468189718</v>
      </c>
      <c r="E258" s="7">
        <f>(Deviation_sequence!$B$233 + 0.5 *Deviation_sequence!$B$232) / (Deviation_sequence!E263 + 0.5 * Deviation_sequence!$B$232)</f>
        <v>0.360771584</v>
      </c>
      <c r="F258" s="7">
        <f>(Deviation_sequence!$B$233 + 0.5 *Deviation_sequence!$B$232) / (Deviation_sequence!F263 + 0.5 * Deviation_sequence!$B$232)</f>
        <v>0.3661113051</v>
      </c>
      <c r="G258" s="7">
        <f>(Deviation_sequence!$B$233 + 0.5 *Deviation_sequence!$B$232) / (Deviation_sequence!G263 + 0.5 * Deviation_sequence!$B$232)</f>
        <v>0.355633658</v>
      </c>
      <c r="H258" s="7">
        <f>(Deviation_sequence!$B$233 + 0.5 *Deviation_sequence!$B$232) / (Deviation_sequence!H263 + 0.5 * Deviation_sequence!$B$232)</f>
        <v>0.3575144829</v>
      </c>
      <c r="I258" s="7">
        <f>(Deviation_sequence!$B$233 + 0.5 *Deviation_sequence!$B$232) / (Deviation_sequence!I263 + 0.5 * Deviation_sequence!$B$232)</f>
        <v>0.3639892686</v>
      </c>
      <c r="J258" s="7">
        <f>(Deviation_sequence!$B$233 + 0.5 *Deviation_sequence!$B$232) / (Deviation_sequence!J263 + 0.5 * Deviation_sequence!$B$232)</f>
        <v>0.3538780426</v>
      </c>
      <c r="K258" s="7">
        <f>(Deviation_sequence!$B$233 + 0.5 *Deviation_sequence!$B$232) / (Deviation_sequence!K263 + 0.5 * Deviation_sequence!$B$232)</f>
        <v>0.3486215848</v>
      </c>
      <c r="L258" s="7">
        <f>(Deviation_sequence!$B$233 + 0.5 *Deviation_sequence!$B$232) / (Deviation_sequence!L263 + 0.5 * Deviation_sequence!$B$232)</f>
        <v>0.3589659607</v>
      </c>
      <c r="M258" s="7">
        <f>(Deviation_sequence!$B$233 + 0.5 *Deviation_sequence!$B$232) / (Deviation_sequence!M263 + 0.5 * Deviation_sequence!$B$232)</f>
        <v>0.3562896901</v>
      </c>
      <c r="O258" s="7">
        <f t="shared" si="8"/>
        <v>0.3558906241</v>
      </c>
    </row>
    <row r="259">
      <c r="A259" s="7" t="s">
        <v>29</v>
      </c>
      <c r="B259" s="7">
        <f>(Deviation_sequence!$B$233 + 0.5 *Deviation_sequence!$B$232) / (Deviation_sequence!B264 + 0.5 * Deviation_sequence!$B$232)</f>
        <v>0.726697809</v>
      </c>
      <c r="C259" s="7">
        <f>(Deviation_sequence!$B$233 + 0.5 *Deviation_sequence!$B$232) / (Deviation_sequence!C264 + 0.5 * Deviation_sequence!$B$232)</f>
        <v>0.7199197121</v>
      </c>
      <c r="D259" s="7">
        <f>(Deviation_sequence!$B$233 + 0.5 *Deviation_sequence!$B$232) / (Deviation_sequence!D264 + 0.5 * Deviation_sequence!$B$232)</f>
        <v>0.4746812776</v>
      </c>
      <c r="E259" s="7">
        <f>(Deviation_sequence!$B$233 + 0.5 *Deviation_sequence!$B$232) / (Deviation_sequence!E264 + 0.5 * Deviation_sequence!$B$232)</f>
        <v>0.360582818</v>
      </c>
      <c r="F259" s="7">
        <f>(Deviation_sequence!$B$233 + 0.5 *Deviation_sequence!$B$232) / (Deviation_sequence!F264 + 0.5 * Deviation_sequence!$B$232)</f>
        <v>0.480980829</v>
      </c>
      <c r="G259" s="7">
        <f>(Deviation_sequence!$B$233 + 0.5 *Deviation_sequence!$B$232) / (Deviation_sequence!G264 + 0.5 * Deviation_sequence!$B$232)</f>
        <v>0.4080817089</v>
      </c>
      <c r="H259" s="7">
        <f>(Deviation_sequence!$B$233 + 0.5 *Deviation_sequence!$B$232) / (Deviation_sequence!H264 + 0.5 * Deviation_sequence!$B$232)</f>
        <v>0.4243602659</v>
      </c>
      <c r="I259" s="7">
        <f>(Deviation_sequence!$B$233 + 0.5 *Deviation_sequence!$B$232) / (Deviation_sequence!I264 + 0.5 * Deviation_sequence!$B$232)</f>
        <v>0.4265845123</v>
      </c>
      <c r="J259" s="7">
        <f>(Deviation_sequence!$B$233 + 0.5 *Deviation_sequence!$B$232) / (Deviation_sequence!J264 + 0.5 * Deviation_sequence!$B$232)</f>
        <v>0.439254168</v>
      </c>
      <c r="K259" s="7">
        <f>(Deviation_sequence!$B$233 + 0.5 *Deviation_sequence!$B$232) / (Deviation_sequence!K264 + 0.5 * Deviation_sequence!$B$232)</f>
        <v>0.3450299961</v>
      </c>
      <c r="L259" s="7">
        <f>(Deviation_sequence!$B$233 + 0.5 *Deviation_sequence!$B$232) / (Deviation_sequence!L264 + 0.5 * Deviation_sequence!$B$232)</f>
        <v>0.3526788477</v>
      </c>
      <c r="M259" s="7">
        <f>(Deviation_sequence!$B$233 + 0.5 *Deviation_sequence!$B$232) / (Deviation_sequence!M264 + 0.5 * Deviation_sequence!$B$232)</f>
        <v>0.408124366</v>
      </c>
      <c r="O259" s="7">
        <f t="shared" si="8"/>
        <v>0.4639146926</v>
      </c>
    </row>
    <row r="260">
      <c r="A260" s="7" t="s">
        <v>30</v>
      </c>
      <c r="B260" s="7">
        <f>(Deviation_sequence!$B$233 + 0.5 *Deviation_sequence!$B$232) / (Deviation_sequence!B265 + 0.5 * Deviation_sequence!$B$232)</f>
        <v>0.3633010454</v>
      </c>
      <c r="C260" s="7">
        <f>(Deviation_sequence!$B$233 + 0.5 *Deviation_sequence!$B$232) / (Deviation_sequence!C265 + 0.5 * Deviation_sequence!$B$232)</f>
        <v>0.3877694964</v>
      </c>
      <c r="D260" s="7">
        <f>(Deviation_sequence!$B$233 + 0.5 *Deviation_sequence!$B$232) / (Deviation_sequence!D265 + 0.5 * Deviation_sequence!$B$232)</f>
        <v>0.3795113373</v>
      </c>
      <c r="E260" s="7">
        <f>(Deviation_sequence!$B$233 + 0.5 *Deviation_sequence!$B$232) / (Deviation_sequence!E265 + 0.5 * Deviation_sequence!$B$232)</f>
        <v>0.3944339226</v>
      </c>
      <c r="F260" s="7">
        <f>(Deviation_sequence!$B$233 + 0.5 *Deviation_sequence!$B$232) / (Deviation_sequence!F265 + 0.5 * Deviation_sequence!$B$232)</f>
        <v>0.3550740749</v>
      </c>
      <c r="G260" s="7">
        <f>(Deviation_sequence!$B$233 + 0.5 *Deviation_sequence!$B$232) / (Deviation_sequence!G265 + 0.5 * Deviation_sequence!$B$232)</f>
        <v>0.3739094674</v>
      </c>
      <c r="H260" s="7">
        <f>(Deviation_sequence!$B$233 + 0.5 *Deviation_sequence!$B$232) / (Deviation_sequence!H265 + 0.5 * Deviation_sequence!$B$232)</f>
        <v>0.3890963161</v>
      </c>
      <c r="I260" s="7">
        <f>(Deviation_sequence!$B$233 + 0.5 *Deviation_sequence!$B$232) / (Deviation_sequence!I265 + 0.5 * Deviation_sequence!$B$232)</f>
        <v>0.3939175743</v>
      </c>
      <c r="J260" s="7">
        <f>(Deviation_sequence!$B$233 + 0.5 *Deviation_sequence!$B$232) / (Deviation_sequence!J265 + 0.5 * Deviation_sequence!$B$232)</f>
        <v>0.3885105273</v>
      </c>
      <c r="K260" s="7">
        <f>(Deviation_sequence!$B$233 + 0.5 *Deviation_sequence!$B$232) / (Deviation_sequence!K265 + 0.5 * Deviation_sequence!$B$232)</f>
        <v>0.3552183477</v>
      </c>
      <c r="L260" s="7">
        <f>(Deviation_sequence!$B$233 + 0.5 *Deviation_sequence!$B$232) / (Deviation_sequence!L265 + 0.5 * Deviation_sequence!$B$232)</f>
        <v>0.3636754325</v>
      </c>
      <c r="M260" s="7">
        <f>(Deviation_sequence!$B$233 + 0.5 *Deviation_sequence!$B$232) / (Deviation_sequence!M265 + 0.5 * Deviation_sequence!$B$232)</f>
        <v>0.4082938826</v>
      </c>
      <c r="O260" s="7">
        <f t="shared" si="8"/>
        <v>0.3793926187</v>
      </c>
    </row>
    <row r="261">
      <c r="A261" s="7" t="s">
        <v>31</v>
      </c>
      <c r="B261" s="7">
        <f>(Deviation_sequence!$B$233 + 0.5 *Deviation_sequence!$B$232) / (Deviation_sequence!B266 + 0.5 * Deviation_sequence!$B$232)</f>
        <v>0.4100471781</v>
      </c>
      <c r="C261" s="7">
        <f>(Deviation_sequence!$B$233 + 0.5 *Deviation_sequence!$B$232) / (Deviation_sequence!C266 + 0.5 * Deviation_sequence!$B$232)</f>
        <v>0.3783515894</v>
      </c>
      <c r="D261" s="7">
        <f>(Deviation_sequence!$B$233 + 0.5 *Deviation_sequence!$B$232) / (Deviation_sequence!D266 + 0.5 * Deviation_sequence!$B$232)</f>
        <v>0.379117288</v>
      </c>
      <c r="E261" s="7">
        <f>(Deviation_sequence!$B$233 + 0.5 *Deviation_sequence!$B$232) / (Deviation_sequence!E266 + 0.5 * Deviation_sequence!$B$232)</f>
        <v>0.3786189484</v>
      </c>
      <c r="F261" s="7">
        <f>(Deviation_sequence!$B$233 + 0.5 *Deviation_sequence!$B$232) / (Deviation_sequence!F266 + 0.5 * Deviation_sequence!$B$232)</f>
        <v>0.4438496004</v>
      </c>
      <c r="G261" s="7">
        <f>(Deviation_sequence!$B$233 + 0.5 *Deviation_sequence!$B$232) / (Deviation_sequence!G266 + 0.5 * Deviation_sequence!$B$232)</f>
        <v>0.4508623171</v>
      </c>
      <c r="H261" s="7">
        <f>(Deviation_sequence!$B$233 + 0.5 *Deviation_sequence!$B$232) / (Deviation_sequence!H266 + 0.5 * Deviation_sequence!$B$232)</f>
        <v>0.5289311965</v>
      </c>
      <c r="I261" s="7">
        <f>(Deviation_sequence!$B$233 + 0.5 *Deviation_sequence!$B$232) / (Deviation_sequence!I266 + 0.5 * Deviation_sequence!$B$232)</f>
        <v>0.4910435607</v>
      </c>
      <c r="J261" s="7">
        <f>(Deviation_sequence!$B$233 + 0.5 *Deviation_sequence!$B$232) / (Deviation_sequence!J266 + 0.5 * Deviation_sequence!$B$232)</f>
        <v>0.4078234195</v>
      </c>
      <c r="K261" s="7">
        <f>(Deviation_sequence!$B$233 + 0.5 *Deviation_sequence!$B$232) / (Deviation_sequence!K266 + 0.5 * Deviation_sequence!$B$232)</f>
        <v>0.4123436118</v>
      </c>
      <c r="L261" s="7">
        <f>(Deviation_sequence!$B$233 + 0.5 *Deviation_sequence!$B$232) / (Deviation_sequence!L266 + 0.5 * Deviation_sequence!$B$232)</f>
        <v>0.42904449</v>
      </c>
      <c r="M261" s="7">
        <f>(Deviation_sequence!$B$233 + 0.5 *Deviation_sequence!$B$232) / (Deviation_sequence!M266 + 0.5 * Deviation_sequence!$B$232)</f>
        <v>0.4298423593</v>
      </c>
      <c r="O261" s="7">
        <f t="shared" si="8"/>
        <v>0.4283229633</v>
      </c>
    </row>
    <row r="262">
      <c r="N262" s="10" t="s">
        <v>115</v>
      </c>
      <c r="O262" s="7">
        <f>AVERAGE(O233:O261)</f>
        <v>0.5336299528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5"/>
    <col customWidth="1" min="6" max="6" width="24.5"/>
  </cols>
  <sheetData>
    <row r="1">
      <c r="A1" s="14" t="s">
        <v>119</v>
      </c>
      <c r="B1" s="10" t="s">
        <v>120</v>
      </c>
      <c r="C1" s="10" t="s">
        <v>121</v>
      </c>
      <c r="E1" s="10" t="s">
        <v>122</v>
      </c>
      <c r="F1" s="10" t="s">
        <v>123</v>
      </c>
      <c r="G1" s="10" t="s">
        <v>121</v>
      </c>
    </row>
    <row r="2">
      <c r="A2" s="14" t="s">
        <v>1</v>
      </c>
      <c r="B2" s="7">
        <v>0.7656402240241384</v>
      </c>
      <c r="C2" s="7">
        <f t="shared" ref="C2:C9" si="1">RANK(B2, $B$2:$B$9)</f>
        <v>1</v>
      </c>
      <c r="E2" s="14" t="s">
        <v>1</v>
      </c>
      <c r="F2" s="7">
        <v>0.7656402240241384</v>
      </c>
      <c r="G2" s="7">
        <f t="shared" ref="G2:G3" si="2">RANK(F2, $B$2:$B$9)</f>
        <v>1</v>
      </c>
    </row>
    <row r="3">
      <c r="A3" s="14" t="s">
        <v>32</v>
      </c>
      <c r="B3" s="7">
        <v>0.7307598874632464</v>
      </c>
      <c r="C3" s="7">
        <f t="shared" si="1"/>
        <v>2</v>
      </c>
      <c r="E3" s="14" t="s">
        <v>32</v>
      </c>
      <c r="F3" s="7">
        <v>0.7307598874632464</v>
      </c>
      <c r="G3" s="7">
        <f t="shared" si="2"/>
        <v>2</v>
      </c>
    </row>
    <row r="4">
      <c r="A4" s="14" t="s">
        <v>45</v>
      </c>
      <c r="B4" s="7">
        <v>0.6587618915019371</v>
      </c>
      <c r="C4" s="7">
        <f t="shared" si="1"/>
        <v>3</v>
      </c>
      <c r="E4" s="14" t="s">
        <v>45</v>
      </c>
      <c r="F4" s="7">
        <v>0.6365685169555655</v>
      </c>
      <c r="G4" s="10">
        <v>3.0</v>
      </c>
    </row>
    <row r="5">
      <c r="A5" s="14" t="s">
        <v>58</v>
      </c>
      <c r="B5" s="7">
        <v>0.4666754705422896</v>
      </c>
      <c r="C5" s="7">
        <f t="shared" si="1"/>
        <v>6</v>
      </c>
      <c r="E5" s="10" t="s">
        <v>110</v>
      </c>
      <c r="F5" s="7">
        <v>0.5797097518478156</v>
      </c>
      <c r="G5" s="7">
        <v>4.0</v>
      </c>
    </row>
    <row r="6">
      <c r="A6" s="14" t="s">
        <v>71</v>
      </c>
      <c r="B6" s="7">
        <v>0.46297616085115384</v>
      </c>
      <c r="C6" s="7">
        <f t="shared" si="1"/>
        <v>7</v>
      </c>
      <c r="E6" s="14" t="s">
        <v>84</v>
      </c>
      <c r="F6" s="7">
        <v>0.5554044484153582</v>
      </c>
      <c r="G6" s="7">
        <f>RANK(F6, $B$2:$B$9)</f>
        <v>5</v>
      </c>
    </row>
    <row r="7">
      <c r="A7" s="14" t="s">
        <v>84</v>
      </c>
      <c r="B7" s="7">
        <v>0.5554044484153582</v>
      </c>
      <c r="C7" s="7">
        <f t="shared" si="1"/>
        <v>5</v>
      </c>
      <c r="E7" s="14" t="s">
        <v>58</v>
      </c>
      <c r="F7" s="7">
        <v>0.46313275011014177</v>
      </c>
      <c r="G7" s="10">
        <v>6.0</v>
      </c>
      <c r="H7" s="14"/>
    </row>
    <row r="8">
      <c r="A8" s="14" t="s">
        <v>97</v>
      </c>
      <c r="B8" s="7">
        <v>0.45218228641841796</v>
      </c>
      <c r="C8" s="7">
        <f t="shared" si="1"/>
        <v>8</v>
      </c>
      <c r="E8" s="14" t="s">
        <v>71</v>
      </c>
      <c r="F8" s="7">
        <v>0.46297616085115384</v>
      </c>
      <c r="G8" s="7">
        <f t="shared" ref="G8:G9" si="3">RANK(F8, $B$2:$B$9)</f>
        <v>7</v>
      </c>
    </row>
    <row r="9">
      <c r="A9" s="14" t="s">
        <v>110</v>
      </c>
      <c r="B9" s="7">
        <v>0.5797097518478156</v>
      </c>
      <c r="C9" s="7">
        <f t="shared" si="1"/>
        <v>4</v>
      </c>
      <c r="E9" s="14" t="s">
        <v>97</v>
      </c>
      <c r="F9" s="7">
        <v>0.45218228641841796</v>
      </c>
      <c r="G9" s="7">
        <f t="shared" si="3"/>
        <v>8</v>
      </c>
    </row>
    <row r="16">
      <c r="A16" s="10" t="s">
        <v>124</v>
      </c>
    </row>
    <row r="19">
      <c r="A19" s="14" t="s">
        <v>119</v>
      </c>
      <c r="C19" s="10" t="s">
        <v>121</v>
      </c>
    </row>
    <row r="20">
      <c r="A20" s="14" t="s">
        <v>1</v>
      </c>
      <c r="B20" s="6">
        <v>0.7401443491551493</v>
      </c>
      <c r="C20" s="7">
        <f t="shared" ref="C20:C27" si="4">Rank(B20, $B$20:$B$27)</f>
        <v>1</v>
      </c>
    </row>
    <row r="21">
      <c r="A21" s="14" t="s">
        <v>32</v>
      </c>
      <c r="B21" s="6">
        <v>0.6929287640906157</v>
      </c>
      <c r="C21" s="7">
        <f t="shared" si="4"/>
        <v>2</v>
      </c>
    </row>
    <row r="22">
      <c r="A22" s="14" t="s">
        <v>45</v>
      </c>
      <c r="B22" s="6">
        <v>0.5995782293806705</v>
      </c>
      <c r="C22" s="7">
        <f t="shared" si="4"/>
        <v>3</v>
      </c>
    </row>
    <row r="23">
      <c r="A23" s="14" t="s">
        <v>58</v>
      </c>
      <c r="B23" s="6">
        <v>0.44467550514169735</v>
      </c>
      <c r="C23" s="7">
        <f t="shared" si="4"/>
        <v>6</v>
      </c>
    </row>
    <row r="24">
      <c r="A24" s="14" t="s">
        <v>71</v>
      </c>
      <c r="B24" s="6">
        <v>0.4413846907858594</v>
      </c>
      <c r="C24" s="7">
        <f t="shared" si="4"/>
        <v>7</v>
      </c>
    </row>
    <row r="25">
      <c r="A25" s="14" t="s">
        <v>84</v>
      </c>
      <c r="B25" s="6">
        <v>0.5221989790374172</v>
      </c>
      <c r="C25" s="7">
        <f t="shared" si="4"/>
        <v>5</v>
      </c>
    </row>
    <row r="26">
      <c r="A26" s="14" t="s">
        <v>97</v>
      </c>
      <c r="B26" s="6">
        <v>0.41891584626197814</v>
      </c>
      <c r="C26" s="7">
        <f t="shared" si="4"/>
        <v>8</v>
      </c>
    </row>
    <row r="27">
      <c r="A27" s="14" t="s">
        <v>110</v>
      </c>
      <c r="B27" s="6">
        <v>0.5336299528167038</v>
      </c>
      <c r="C27" s="7">
        <f t="shared" si="4"/>
        <v>4</v>
      </c>
    </row>
  </sheetData>
  <drawing r:id="rId1"/>
</worksheet>
</file>