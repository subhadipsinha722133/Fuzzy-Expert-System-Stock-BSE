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Normalized" sheetId="2" r:id="rId6"/>
  </sheets>
  <definedNames/>
  <calcPr/>
</workbook>
</file>

<file path=xl/sharedStrings.xml><?xml version="1.0" encoding="utf-8"?>
<sst xmlns="http://schemas.openxmlformats.org/spreadsheetml/2006/main" count="63" uniqueCount="32">
  <si>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</si>
  <si>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</si>
  <si>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</si>
  <si>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</si>
  <si>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</si>
  <si>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</si>
  <si>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</si>
  <si>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</si>
  <si>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</si>
  <si>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</si>
  <si>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</si>
  <si>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</si>
  <si>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</si>
  <si>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</si>
  <si>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</si>
  <si>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</si>
  <si>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</si>
  <si>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</si>
  <si>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</si>
  <si>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</si>
  <si>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</si>
  <si>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</si>
  <si>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</si>
  <si>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</si>
  <si>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</si>
  <si>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</si>
  <si>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</si>
  <si>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</si>
  <si>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</si>
  <si>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Global min</t>
  </si>
  <si>
    <t>Global Max</t>
  </si>
  <si>
    <t>flattened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</si>
</sst>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B050"/>
      <name val="Times New Roman"/>
    </font>
    <font>
      <color theme="1"/>
      <name val="Arial"/>
    </font>
    <font>
      <sz val="10.0"/>
      <color rgb="FF181A1B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top style="thin">
        <color rgb="FF000000"/>
      </top>
      <bottom style="thin">
        <color rgb="FF363A3C"/>
      </bottom>
    </border>
    <border>
      <right style="thin">
        <color rgb="FF000000"/>
      </right>
      <top style="thin">
        <color rgb="FF000000"/>
      </top>
      <bottom style="thin">
        <color rgb="FF363A3C"/>
      </bottom>
    </border>
    <border>
      <bottom style="thin">
        <color rgb="FF363A3C"/>
      </bottom>
    </border>
    <border>
      <right style="thin">
        <color rgb="FF000000"/>
      </right>
      <bottom style="thin">
        <color rgb="FF363A3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shrinkToFit="0" vertical="top" wrapText="0"/>
    </xf>
    <xf borderId="0" fillId="0" fontId="4" numFmtId="0" xfId="0" applyAlignment="1" applyFont="1">
      <alignment horizontal="right" readingOrder="0" shrinkToFit="0" vertical="top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1"/>
    </xf>
    <xf borderId="1" fillId="0" fontId="4" numFmtId="0" xfId="0" applyAlignment="1" applyBorder="1" applyFont="1">
      <alignment horizontal="right" readingOrder="0" shrinkToFit="0" vertical="top" wrapText="0"/>
    </xf>
    <xf borderId="2" fillId="0" fontId="4" numFmtId="0" xfId="0" applyAlignment="1" applyBorder="1" applyFont="1">
      <alignment horizontal="right" readingOrder="0" shrinkToFit="0" vertical="top" wrapText="0"/>
    </xf>
    <xf borderId="3" fillId="0" fontId="4" numFmtId="0" xfId="0" applyAlignment="1" applyBorder="1" applyFont="1">
      <alignment horizontal="right" readingOrder="0" shrinkToFit="0" vertical="top" wrapText="0"/>
    </xf>
    <xf borderId="4" fillId="0" fontId="4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40</xdr:row>
      <xdr:rowOff>95250</xdr:rowOff>
    </xdr:from>
    <xdr:ext cx="8343900" cy="5153025"/>
    <xdr:pic>
      <xdr:nvPicPr>
        <xdr:cNvPr id="156365075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B1" s="1">
        <v>2025.0</v>
      </c>
      <c r="C1" s="1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>
        <v>2013.0</v>
      </c>
      <c r="O1" s="2"/>
      <c r="P1" s="2"/>
    </row>
    <row r="2">
      <c r="A2" s="3" t="s">
        <v>0</v>
      </c>
      <c r="B2" s="1">
        <v>51.35</v>
      </c>
      <c r="C2" s="1">
        <v>37.55</v>
      </c>
      <c r="D2" s="4">
        <v>24.58</v>
      </c>
      <c r="E2" s="4">
        <v>22.39</v>
      </c>
      <c r="F2" s="4">
        <v>24.58</v>
      </c>
      <c r="G2" s="4">
        <v>18.35</v>
      </c>
      <c r="H2" s="4">
        <v>19.27</v>
      </c>
      <c r="I2" s="4">
        <v>17.74</v>
      </c>
      <c r="J2" s="4">
        <v>18.89</v>
      </c>
      <c r="K2" s="4">
        <v>13.99</v>
      </c>
      <c r="L2" s="4">
        <v>11.18</v>
      </c>
      <c r="M2" s="4">
        <v>8.45</v>
      </c>
      <c r="N2" s="4">
        <v>7.68</v>
      </c>
      <c r="O2" s="5"/>
      <c r="P2" s="5"/>
    </row>
    <row r="3">
      <c r="A3" s="3" t="s">
        <v>1</v>
      </c>
      <c r="B3" s="1">
        <v>38.25</v>
      </c>
      <c r="C3" s="1">
        <v>56.94</v>
      </c>
      <c r="D3" s="4">
        <v>42.82</v>
      </c>
      <c r="E3" s="4">
        <v>31.59</v>
      </c>
      <c r="F3" s="4">
        <v>32.73</v>
      </c>
      <c r="G3" s="4">
        <v>28.2</v>
      </c>
      <c r="H3" s="4">
        <v>22.48</v>
      </c>
      <c r="I3" s="4">
        <v>21.26</v>
      </c>
      <c r="J3" s="4">
        <v>20.22</v>
      </c>
      <c r="K3" s="4">
        <v>18.19</v>
      </c>
      <c r="L3" s="4">
        <v>14.54</v>
      </c>
      <c r="M3" s="4">
        <v>12.71</v>
      </c>
      <c r="N3" s="4">
        <v>116.13</v>
      </c>
      <c r="O3" s="5"/>
      <c r="P3" s="5"/>
    </row>
    <row r="4">
      <c r="A4" s="3" t="s">
        <v>2</v>
      </c>
      <c r="B4" s="1">
        <v>90.18</v>
      </c>
      <c r="C4" s="1">
        <v>85.01</v>
      </c>
      <c r="D4" s="4">
        <v>35.04</v>
      </c>
      <c r="E4" s="4">
        <v>45.91</v>
      </c>
      <c r="F4" s="4">
        <v>24.19</v>
      </c>
      <c r="G4" s="4">
        <v>6.8</v>
      </c>
      <c r="H4" s="4">
        <v>19.49</v>
      </c>
      <c r="I4" s="4">
        <v>1.86</v>
      </c>
      <c r="J4" s="4">
        <v>16.48</v>
      </c>
      <c r="K4" s="4">
        <v>34.93</v>
      </c>
      <c r="L4" s="4">
        <v>31.23</v>
      </c>
      <c r="M4" s="4">
        <v>134.2</v>
      </c>
      <c r="N4" s="4">
        <v>120.12</v>
      </c>
      <c r="O4" s="5"/>
      <c r="P4" s="5"/>
    </row>
    <row r="5">
      <c r="A5" s="3" t="s">
        <v>3</v>
      </c>
      <c r="B5" s="1">
        <v>9.7</v>
      </c>
      <c r="C5" s="1">
        <v>7.3</v>
      </c>
      <c r="D5" s="4">
        <v>4.6</v>
      </c>
      <c r="E5" s="4">
        <v>26.6</v>
      </c>
      <c r="F5" s="4">
        <v>11.2</v>
      </c>
      <c r="G5" s="4">
        <v>41.9</v>
      </c>
      <c r="H5" s="4">
        <v>19.3</v>
      </c>
      <c r="I5" s="4">
        <v>8.9</v>
      </c>
      <c r="J5" s="4">
        <v>4.4</v>
      </c>
      <c r="K5" s="4">
        <v>10.3</v>
      </c>
      <c r="L5" s="4">
        <v>7.9</v>
      </c>
      <c r="M5" s="4">
        <v>5.2</v>
      </c>
      <c r="N5" s="4">
        <v>3.3</v>
      </c>
      <c r="O5" s="5"/>
      <c r="P5" s="5"/>
    </row>
    <row r="6">
      <c r="A6" s="3" t="s">
        <v>4</v>
      </c>
      <c r="B6" s="1">
        <v>268.94</v>
      </c>
      <c r="C6" s="1">
        <v>235.98</v>
      </c>
      <c r="D6" s="4">
        <v>189.57</v>
      </c>
      <c r="E6" s="4">
        <v>115.79</v>
      </c>
      <c r="F6" s="4">
        <v>73.0</v>
      </c>
      <c r="G6" s="4">
        <v>89.07</v>
      </c>
      <c r="H6" s="4">
        <v>68.75</v>
      </c>
      <c r="I6" s="4">
        <v>47.05</v>
      </c>
      <c r="J6" s="4">
        <v>33.67</v>
      </c>
      <c r="K6" s="4">
        <v>238.85</v>
      </c>
      <c r="L6" s="4">
        <v>177.7</v>
      </c>
      <c r="M6" s="5">
        <v>143.65</v>
      </c>
      <c r="N6" s="5">
        <v>134.56</v>
      </c>
      <c r="O6" s="5"/>
      <c r="P6" s="5"/>
    </row>
    <row r="7">
      <c r="A7" s="3" t="s">
        <v>5</v>
      </c>
      <c r="B7" s="1">
        <v>7.28</v>
      </c>
      <c r="C7" s="1">
        <v>5.45</v>
      </c>
      <c r="D7" s="4">
        <v>4.09</v>
      </c>
      <c r="E7" s="4">
        <v>9.85</v>
      </c>
      <c r="F7" s="4">
        <v>8.62</v>
      </c>
      <c r="G7" s="4">
        <v>7.49</v>
      </c>
      <c r="H7" s="4">
        <v>7.74</v>
      </c>
      <c r="I7" s="4">
        <v>5.83</v>
      </c>
      <c r="J7" s="4">
        <v>5.94</v>
      </c>
      <c r="K7" s="4">
        <v>5.57</v>
      </c>
      <c r="L7" s="4">
        <v>149.65</v>
      </c>
      <c r="M7" s="4">
        <v>118.91</v>
      </c>
      <c r="N7" s="4">
        <v>113.85</v>
      </c>
      <c r="O7" s="5"/>
      <c r="P7" s="5"/>
    </row>
    <row r="8">
      <c r="A8" s="3" t="s">
        <v>6</v>
      </c>
      <c r="B8" s="1">
        <v>56.04</v>
      </c>
      <c r="C8" s="1">
        <v>12.8</v>
      </c>
      <c r="D8" s="4">
        <v>14.57</v>
      </c>
      <c r="E8" s="4">
        <v>7.63</v>
      </c>
      <c r="F8" s="4">
        <v>-27.65</v>
      </c>
      <c r="G8" s="4">
        <v>-63.41</v>
      </c>
      <c r="H8" s="4">
        <v>0.96</v>
      </c>
      <c r="I8" s="4">
        <v>2.75</v>
      </c>
      <c r="J8" s="4">
        <v>9.51</v>
      </c>
      <c r="K8" s="4">
        <v>15.2</v>
      </c>
      <c r="L8" s="4">
        <v>11.56</v>
      </c>
      <c r="M8" s="4">
        <v>7.01</v>
      </c>
      <c r="N8" s="4">
        <v>6.0</v>
      </c>
      <c r="O8" s="5"/>
      <c r="P8" s="5"/>
    </row>
    <row r="9">
      <c r="A9" s="3" t="s">
        <v>7</v>
      </c>
      <c r="B9" s="1">
        <v>64.09</v>
      </c>
      <c r="C9" s="1">
        <v>57.86</v>
      </c>
      <c r="D9" s="4">
        <v>54.79</v>
      </c>
      <c r="E9" s="4">
        <v>49.77</v>
      </c>
      <c r="F9" s="4">
        <v>41.07</v>
      </c>
      <c r="G9" s="4">
        <v>40.75</v>
      </c>
      <c r="H9" s="4">
        <v>73.55</v>
      </c>
      <c r="I9" s="4">
        <v>62.19</v>
      </c>
      <c r="J9" s="4">
        <v>60.27</v>
      </c>
      <c r="K9" s="4">
        <v>39.69</v>
      </c>
      <c r="L9" s="4">
        <v>51.79</v>
      </c>
      <c r="M9" s="4">
        <v>91.93</v>
      </c>
      <c r="N9" s="4">
        <v>57.2</v>
      </c>
      <c r="O9" s="5"/>
      <c r="P9" s="5"/>
    </row>
    <row r="10">
      <c r="A10" s="3" t="s">
        <v>8</v>
      </c>
      <c r="B10" s="1">
        <v>92.39</v>
      </c>
      <c r="C10" s="1">
        <v>90.01</v>
      </c>
      <c r="D10" s="4">
        <v>82.27</v>
      </c>
      <c r="E10" s="4">
        <v>68.31</v>
      </c>
      <c r="F10" s="4">
        <v>57.61</v>
      </c>
      <c r="G10" s="4">
        <v>49.46</v>
      </c>
      <c r="H10" s="4">
        <v>82.51</v>
      </c>
      <c r="I10" s="4">
        <v>70.76</v>
      </c>
      <c r="J10" s="4">
        <v>59.16</v>
      </c>
      <c r="K10" s="4">
        <v>50.24</v>
      </c>
      <c r="L10" s="4">
        <v>43.6</v>
      </c>
      <c r="M10" s="4">
        <v>36.31</v>
      </c>
      <c r="N10" s="4">
        <v>28.78</v>
      </c>
      <c r="O10" s="5"/>
      <c r="P10" s="5"/>
    </row>
    <row r="11">
      <c r="A11" s="3" t="s">
        <v>9</v>
      </c>
      <c r="B11" s="1">
        <v>45.32</v>
      </c>
      <c r="C11" s="1">
        <v>43.74</v>
      </c>
      <c r="D11" s="4">
        <v>43.07</v>
      </c>
      <c r="E11" s="4">
        <v>37.79</v>
      </c>
      <c r="F11" s="4">
        <v>34.03</v>
      </c>
      <c r="G11" s="4">
        <v>31.17</v>
      </c>
      <c r="H11" s="4">
        <v>27.96</v>
      </c>
      <c r="I11" s="4">
        <v>24.08</v>
      </c>
      <c r="J11" s="4">
        <v>20.67</v>
      </c>
      <c r="K11" s="4">
        <v>19.09</v>
      </c>
      <c r="L11" s="4">
        <v>20.16</v>
      </c>
      <c r="M11" s="4">
        <v>18.23</v>
      </c>
      <c r="N11" s="4">
        <v>17.7</v>
      </c>
      <c r="O11" s="5"/>
      <c r="P11" s="5"/>
    </row>
    <row r="12">
      <c r="A12" s="3" t="s">
        <v>10</v>
      </c>
      <c r="B12" s="1">
        <v>71.14</v>
      </c>
      <c r="C12" s="1">
        <v>61.96</v>
      </c>
      <c r="D12" s="4">
        <v>47.84</v>
      </c>
      <c r="E12" s="4">
        <v>35.44</v>
      </c>
      <c r="F12" s="4">
        <v>26.83</v>
      </c>
      <c r="G12" s="4">
        <v>14.55</v>
      </c>
      <c r="H12" s="4">
        <v>6.53</v>
      </c>
      <c r="I12" s="4">
        <v>11.89</v>
      </c>
      <c r="J12" s="4">
        <v>15.84</v>
      </c>
      <c r="K12" s="4">
        <v>17.41</v>
      </c>
      <c r="L12" s="4">
        <v>21.17</v>
      </c>
      <c r="M12" s="4">
        <v>95.65</v>
      </c>
      <c r="N12" s="4">
        <v>83.29</v>
      </c>
      <c r="O12" s="5"/>
      <c r="P12" s="5"/>
    </row>
    <row r="13">
      <c r="A13" s="3" t="s">
        <v>11</v>
      </c>
      <c r="B13" s="1">
        <v>64.34</v>
      </c>
      <c r="C13" s="1">
        <v>63.39</v>
      </c>
      <c r="D13" s="4">
        <v>57.54</v>
      </c>
      <c r="E13" s="4">
        <v>52.41</v>
      </c>
      <c r="F13" s="4">
        <v>45.52</v>
      </c>
      <c r="G13" s="4">
        <v>38.91</v>
      </c>
      <c r="H13" s="4">
        <v>35.38</v>
      </c>
      <c r="I13" s="4">
        <v>71.0</v>
      </c>
      <c r="J13" s="4">
        <v>62.77</v>
      </c>
      <c r="K13" s="4">
        <v>59.02</v>
      </c>
      <c r="L13" s="4">
        <v>108.26</v>
      </c>
      <c r="M13" s="4">
        <v>186.49</v>
      </c>
      <c r="N13" s="4">
        <v>165.01</v>
      </c>
      <c r="O13" s="5"/>
      <c r="P13" s="5"/>
    </row>
    <row r="14">
      <c r="A14" s="3" t="s">
        <v>12</v>
      </c>
      <c r="B14" s="1">
        <v>27.75</v>
      </c>
      <c r="C14" s="1">
        <v>16.38</v>
      </c>
      <c r="D14" s="4">
        <v>15.46</v>
      </c>
      <c r="E14" s="4">
        <v>12.37</v>
      </c>
      <c r="F14" s="4">
        <v>10.7</v>
      </c>
      <c r="G14" s="4">
        <v>12.45</v>
      </c>
      <c r="H14" s="4">
        <v>10.24</v>
      </c>
      <c r="I14" s="4">
        <v>9.2</v>
      </c>
      <c r="J14" s="4">
        <v>8.45</v>
      </c>
      <c r="K14" s="4">
        <v>7.71</v>
      </c>
      <c r="L14" s="4">
        <v>12.0</v>
      </c>
      <c r="M14" s="4">
        <v>11.09</v>
      </c>
      <c r="N14" s="4">
        <v>9.56</v>
      </c>
      <c r="O14" s="5"/>
      <c r="P14" s="5"/>
    </row>
    <row r="15">
      <c r="A15" s="3" t="s">
        <v>13</v>
      </c>
      <c r="B15" s="1">
        <v>111.29</v>
      </c>
      <c r="C15" s="1">
        <v>91.45</v>
      </c>
      <c r="D15" s="4">
        <v>74.94</v>
      </c>
      <c r="E15" s="4">
        <v>60.73</v>
      </c>
      <c r="F15" s="4">
        <v>50.49</v>
      </c>
      <c r="G15" s="4">
        <v>44.68</v>
      </c>
      <c r="H15" s="4">
        <v>37.74</v>
      </c>
      <c r="I15" s="4">
        <v>32.66</v>
      </c>
      <c r="J15" s="4">
        <v>26.86</v>
      </c>
      <c r="K15" s="4">
        <v>18.87</v>
      </c>
      <c r="L15" s="4">
        <v>39.4</v>
      </c>
      <c r="M15" s="4">
        <v>32.14</v>
      </c>
      <c r="N15" s="4">
        <v>29.33</v>
      </c>
      <c r="O15" s="5"/>
      <c r="P15" s="5"/>
    </row>
    <row r="16">
      <c r="A16" s="3" t="s">
        <v>14</v>
      </c>
      <c r="B16" s="1">
        <v>109.28</v>
      </c>
      <c r="C16" s="1">
        <v>93.88</v>
      </c>
      <c r="D16" s="4">
        <v>74.45</v>
      </c>
      <c r="E16" s="4">
        <v>61.65</v>
      </c>
      <c r="F16" s="4">
        <v>82.41</v>
      </c>
      <c r="G16" s="4">
        <v>67.95</v>
      </c>
      <c r="H16" s="4">
        <v>63.4</v>
      </c>
      <c r="I16" s="4">
        <v>52.49</v>
      </c>
      <c r="J16" s="4">
        <v>43.05</v>
      </c>
      <c r="K16" s="4">
        <v>45.27</v>
      </c>
      <c r="L16" s="4">
        <v>50.98</v>
      </c>
      <c r="M16" s="4">
        <v>52.65</v>
      </c>
      <c r="N16" s="4">
        <v>84.1</v>
      </c>
      <c r="O16" s="5"/>
      <c r="P16" s="5"/>
    </row>
    <row r="17">
      <c r="A17" s="3" t="s">
        <v>15</v>
      </c>
      <c r="B17" s="1">
        <v>115.06</v>
      </c>
      <c r="C17" s="1">
        <v>100.7</v>
      </c>
      <c r="D17" s="4">
        <v>91.96</v>
      </c>
      <c r="E17" s="4">
        <v>58.83</v>
      </c>
      <c r="F17" s="4">
        <v>16.15</v>
      </c>
      <c r="G17" s="4">
        <v>-1.04</v>
      </c>
      <c r="H17" s="4">
        <v>48.7</v>
      </c>
      <c r="I17" s="4">
        <v>68.86</v>
      </c>
      <c r="J17" s="4">
        <v>33.98</v>
      </c>
      <c r="K17" s="4">
        <v>56.49</v>
      </c>
      <c r="L17" s="4">
        <v>50.69</v>
      </c>
      <c r="M17" s="4">
        <v>75.83</v>
      </c>
      <c r="N17" s="4">
        <v>66.76</v>
      </c>
      <c r="O17" s="5"/>
      <c r="P17" s="5"/>
    </row>
    <row r="18">
      <c r="A18" s="3" t="s">
        <v>16</v>
      </c>
      <c r="B18" s="1">
        <v>461.2</v>
      </c>
      <c r="C18" s="1">
        <v>429.01</v>
      </c>
      <c r="D18" s="4">
        <v>271.82</v>
      </c>
      <c r="E18" s="4">
        <v>128.43</v>
      </c>
      <c r="F18" s="4">
        <v>145.3</v>
      </c>
      <c r="G18" s="4">
        <v>187.95</v>
      </c>
      <c r="H18" s="4">
        <v>253.26</v>
      </c>
      <c r="I18" s="4">
        <v>260.88</v>
      </c>
      <c r="J18" s="4">
        <v>248.64</v>
      </c>
      <c r="K18" s="4">
        <v>181.98</v>
      </c>
      <c r="L18" s="4">
        <v>126.04</v>
      </c>
      <c r="M18" s="4">
        <v>94.44</v>
      </c>
      <c r="N18" s="4">
        <v>81.74</v>
      </c>
      <c r="O18" s="5"/>
      <c r="P18" s="5"/>
    </row>
    <row r="19">
      <c r="A19" s="3" t="s">
        <v>17</v>
      </c>
      <c r="B19" s="1">
        <v>20.34</v>
      </c>
      <c r="C19" s="1">
        <v>21.46</v>
      </c>
      <c r="D19" s="4">
        <v>17.87</v>
      </c>
      <c r="E19" s="4">
        <v>15.66</v>
      </c>
      <c r="F19" s="4">
        <v>14.87</v>
      </c>
      <c r="G19" s="4">
        <v>11.72</v>
      </c>
      <c r="H19" s="4">
        <v>13.88</v>
      </c>
      <c r="I19" s="4">
        <v>10.66</v>
      </c>
      <c r="J19" s="4">
        <v>13.0</v>
      </c>
      <c r="K19" s="4">
        <v>13.1</v>
      </c>
      <c r="L19" s="4">
        <v>12.11</v>
      </c>
      <c r="M19" s="4">
        <v>13.83</v>
      </c>
      <c r="N19" s="4">
        <v>15.27</v>
      </c>
      <c r="O19" s="5"/>
      <c r="P19" s="5"/>
    </row>
    <row r="20">
      <c r="A20" s="3" t="s">
        <v>18</v>
      </c>
      <c r="B20" s="1">
        <v>16.69</v>
      </c>
      <c r="C20" s="1">
        <v>17.36</v>
      </c>
      <c r="D20" s="4">
        <v>22.1</v>
      </c>
      <c r="E20" s="4">
        <v>24.12</v>
      </c>
      <c r="F20" s="4">
        <v>23.01</v>
      </c>
      <c r="G20" s="4">
        <v>21.14</v>
      </c>
      <c r="H20" s="4">
        <v>19.18</v>
      </c>
      <c r="I20" s="4">
        <v>15.68</v>
      </c>
      <c r="J20" s="4">
        <v>14.24</v>
      </c>
      <c r="K20" s="4">
        <v>11.39</v>
      </c>
      <c r="L20" s="4">
        <v>9.65</v>
      </c>
      <c r="M20" s="4">
        <v>9.47</v>
      </c>
      <c r="N20" s="4">
        <v>9.32</v>
      </c>
      <c r="O20" s="5"/>
      <c r="P20" s="5"/>
    </row>
    <row r="21">
      <c r="A21" s="3" t="s">
        <v>19</v>
      </c>
      <c r="B21" s="1">
        <v>51.47</v>
      </c>
      <c r="C21" s="1">
        <v>102.9</v>
      </c>
      <c r="D21" s="4">
        <v>98.59</v>
      </c>
      <c r="E21" s="4">
        <v>90.85</v>
      </c>
      <c r="F21" s="4">
        <v>75.21</v>
      </c>
      <c r="G21" s="4">
        <v>63.06</v>
      </c>
      <c r="H21" s="4">
        <v>66.8</v>
      </c>
      <c r="I21" s="4">
        <v>60.89</v>
      </c>
      <c r="J21" s="4">
        <v>101.14</v>
      </c>
      <c r="K21" s="4">
        <v>100.75</v>
      </c>
      <c r="L21" s="4">
        <v>80.11</v>
      </c>
      <c r="M21" s="4">
        <v>76.55</v>
      </c>
      <c r="N21" s="4">
        <v>70.65</v>
      </c>
      <c r="O21" s="5"/>
      <c r="P21" s="5"/>
    </row>
    <row r="22">
      <c r="A22" s="3" t="s">
        <v>20</v>
      </c>
      <c r="B22" s="1">
        <v>86.91</v>
      </c>
      <c r="C22" s="1">
        <v>75.17</v>
      </c>
      <c r="D22" s="4">
        <v>62.35</v>
      </c>
      <c r="E22" s="4">
        <v>39.64</v>
      </c>
      <c r="F22" s="4">
        <v>25.11</v>
      </c>
      <c r="G22" s="4">
        <v>22.15</v>
      </c>
      <c r="H22" s="4">
        <v>2.58</v>
      </c>
      <c r="I22" s="4">
        <v>-5.34</v>
      </c>
      <c r="J22" s="4">
        <v>0.31</v>
      </c>
      <c r="K22" s="4">
        <v>15.95</v>
      </c>
      <c r="L22" s="4">
        <v>22.76</v>
      </c>
      <c r="M22" s="4">
        <v>189.85</v>
      </c>
      <c r="N22" s="4">
        <v>266.82</v>
      </c>
      <c r="O22" s="5"/>
      <c r="P22" s="5"/>
    </row>
    <row r="23">
      <c r="A23" s="3" t="s">
        <v>21</v>
      </c>
      <c r="B23" s="1">
        <v>45.6</v>
      </c>
      <c r="C23" s="1">
        <v>39.9</v>
      </c>
      <c r="D23" s="4">
        <v>35.3</v>
      </c>
      <c r="E23" s="4">
        <v>13.6</v>
      </c>
      <c r="F23" s="4">
        <v>12.1</v>
      </c>
      <c r="G23" s="4">
        <v>15.7</v>
      </c>
      <c r="H23" s="4">
        <v>11.1</v>
      </c>
      <c r="I23" s="4">
        <v>9.0</v>
      </c>
      <c r="J23" s="4">
        <v>29.0</v>
      </c>
      <c r="K23" s="4">
        <v>18.9</v>
      </c>
      <c r="L23" s="4">
        <v>18.9</v>
      </c>
      <c r="M23" s="4">
        <v>15.2</v>
      </c>
      <c r="N23" s="4">
        <v>28.8</v>
      </c>
      <c r="O23" s="5"/>
      <c r="P23" s="5"/>
    </row>
    <row r="24">
      <c r="A24" s="3" t="s">
        <v>22</v>
      </c>
      <c r="B24" s="1">
        <v>78.75</v>
      </c>
      <c r="C24" s="1">
        <v>81.88</v>
      </c>
      <c r="D24" s="4">
        <v>6.29</v>
      </c>
      <c r="E24" s="4">
        <v>-29.88</v>
      </c>
      <c r="F24" s="4">
        <v>-36.99</v>
      </c>
      <c r="G24" s="4">
        <v>-34.88</v>
      </c>
      <c r="H24" s="4">
        <v>-84.89</v>
      </c>
      <c r="I24" s="4">
        <v>26.45</v>
      </c>
      <c r="J24" s="4">
        <v>21.93</v>
      </c>
      <c r="K24" s="4">
        <v>34.24</v>
      </c>
      <c r="L24" s="4">
        <v>43.43</v>
      </c>
      <c r="M24" s="4">
        <v>43.5</v>
      </c>
      <c r="N24" s="4">
        <v>30.94</v>
      </c>
      <c r="O24" s="5"/>
      <c r="P24" s="5"/>
    </row>
    <row r="25">
      <c r="A25" s="3" t="s">
        <v>23</v>
      </c>
      <c r="B25" s="1">
        <v>2.74</v>
      </c>
      <c r="C25" s="1">
        <v>-3.62</v>
      </c>
      <c r="D25" s="4">
        <v>7.17</v>
      </c>
      <c r="E25" s="4">
        <v>332.09</v>
      </c>
      <c r="F25" s="4">
        <v>63.78</v>
      </c>
      <c r="G25" s="4">
        <v>11.86</v>
      </c>
      <c r="H25" s="4">
        <v>87.74</v>
      </c>
      <c r="I25" s="4">
        <v>128.1</v>
      </c>
      <c r="J25" s="4">
        <v>-42.89</v>
      </c>
      <c r="K25" s="4">
        <v>-6.92</v>
      </c>
      <c r="L25" s="4">
        <v>-42.24</v>
      </c>
      <c r="M25" s="4">
        <v>35.19</v>
      </c>
      <c r="N25" s="4">
        <v>-74.54</v>
      </c>
      <c r="O25" s="5"/>
      <c r="P25" s="5"/>
    </row>
    <row r="26">
      <c r="A26" s="3" t="s">
        <v>24</v>
      </c>
      <c r="B26" s="1">
        <v>134.19</v>
      </c>
      <c r="C26" s="1">
        <v>125.88</v>
      </c>
      <c r="D26" s="4">
        <v>115.19</v>
      </c>
      <c r="E26" s="4">
        <v>103.62</v>
      </c>
      <c r="F26" s="4">
        <v>86.71</v>
      </c>
      <c r="G26" s="4">
        <v>86.19</v>
      </c>
      <c r="H26" s="4">
        <v>83.05</v>
      </c>
      <c r="I26" s="4">
        <v>134.19</v>
      </c>
      <c r="J26" s="4">
        <v>133.41</v>
      </c>
      <c r="K26" s="4">
        <v>123.18</v>
      </c>
      <c r="L26" s="4">
        <v>101.35</v>
      </c>
      <c r="M26" s="4">
        <v>97.67</v>
      </c>
      <c r="N26" s="4">
        <v>70.99</v>
      </c>
      <c r="O26" s="5"/>
      <c r="P26" s="5"/>
    </row>
    <row r="27">
      <c r="A27" s="3" t="s">
        <v>25</v>
      </c>
      <c r="B27" s="1">
        <v>47.91</v>
      </c>
      <c r="C27" s="1">
        <v>26.58</v>
      </c>
      <c r="D27" s="4">
        <v>54.76</v>
      </c>
      <c r="E27" s="4">
        <v>62.81</v>
      </c>
      <c r="F27" s="4">
        <v>50.19</v>
      </c>
      <c r="G27" s="4">
        <v>45.85</v>
      </c>
      <c r="H27" s="4">
        <v>47.72</v>
      </c>
      <c r="I27" s="4">
        <v>42.66</v>
      </c>
      <c r="J27" s="4">
        <v>31.64</v>
      </c>
      <c r="K27" s="4">
        <v>33.71</v>
      </c>
      <c r="L27" s="4">
        <v>26.74</v>
      </c>
      <c r="M27" s="4">
        <v>126.78</v>
      </c>
      <c r="N27" s="4">
        <v>96.68</v>
      </c>
      <c r="O27" s="5"/>
      <c r="P27" s="5"/>
    </row>
    <row r="28">
      <c r="A28" s="3" t="s">
        <v>26</v>
      </c>
      <c r="B28" s="1">
        <v>37.61</v>
      </c>
      <c r="C28" s="1">
        <v>39.38</v>
      </c>
      <c r="D28" s="4">
        <v>36.61</v>
      </c>
      <c r="E28" s="4">
        <v>24.49</v>
      </c>
      <c r="F28" s="4">
        <v>10.96</v>
      </c>
      <c r="G28" s="4">
        <v>16.91</v>
      </c>
      <c r="H28" s="4">
        <v>15.82</v>
      </c>
      <c r="I28" s="4">
        <v>12.75</v>
      </c>
      <c r="J28" s="4">
        <v>8.17</v>
      </c>
      <c r="K28" s="4">
        <v>7.6</v>
      </c>
      <c r="L28" s="4">
        <v>9.19</v>
      </c>
      <c r="M28" s="4">
        <v>8.28</v>
      </c>
      <c r="N28" s="4">
        <v>8.17</v>
      </c>
      <c r="O28" s="5"/>
      <c r="P28" s="5"/>
    </row>
    <row r="29">
      <c r="A29" s="3" t="s">
        <v>27</v>
      </c>
      <c r="B29" s="1">
        <v>43.51</v>
      </c>
      <c r="C29" s="1">
        <v>41.82</v>
      </c>
      <c r="D29" s="4">
        <v>12.51</v>
      </c>
      <c r="E29" s="4">
        <v>2.98</v>
      </c>
      <c r="F29" s="4">
        <v>-4.11</v>
      </c>
      <c r="G29" s="4">
        <v>3.53</v>
      </c>
      <c r="H29" s="4">
        <v>2.92</v>
      </c>
      <c r="I29" s="4">
        <v>2.62</v>
      </c>
      <c r="J29" s="4">
        <v>2.55</v>
      </c>
      <c r="K29" s="4">
        <v>1.65</v>
      </c>
      <c r="L29" s="4">
        <v>38.92</v>
      </c>
      <c r="M29" s="4">
        <v>-5.58</v>
      </c>
      <c r="N29" s="4">
        <v>-8.5</v>
      </c>
      <c r="O29" s="5"/>
      <c r="P29" s="5"/>
    </row>
    <row r="30">
      <c r="A30" s="3" t="s">
        <v>28</v>
      </c>
      <c r="B30" s="1">
        <v>205.13</v>
      </c>
      <c r="C30" s="1">
        <v>242.87</v>
      </c>
      <c r="D30" s="4">
        <v>175.54</v>
      </c>
      <c r="E30" s="4">
        <v>254.53</v>
      </c>
      <c r="F30" s="4">
        <v>189.33</v>
      </c>
      <c r="G30" s="4">
        <v>199.49</v>
      </c>
      <c r="H30" s="4">
        <v>84.0</v>
      </c>
      <c r="I30" s="4">
        <v>80.92</v>
      </c>
      <c r="J30" s="4">
        <v>98.88</v>
      </c>
      <c r="K30" s="4">
        <v>90.25</v>
      </c>
      <c r="L30" s="4">
        <v>76.44</v>
      </c>
      <c r="M30" s="4">
        <v>80.42</v>
      </c>
      <c r="N30" s="4">
        <v>97.69</v>
      </c>
      <c r="O30" s="5"/>
      <c r="P30" s="5"/>
    </row>
    <row r="34">
      <c r="A34" s="6" t="s">
        <v>29</v>
      </c>
      <c r="B34" s="1">
        <f>MIN(B2:N30)</f>
        <v>-84.89</v>
      </c>
    </row>
    <row r="35">
      <c r="A35" s="6" t="s">
        <v>30</v>
      </c>
      <c r="B35" s="1">
        <f>MAX(B2:N30)</f>
        <v>461.2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</cols>
  <sheetData>
    <row r="1">
      <c r="B1" s="1">
        <v>2025.0</v>
      </c>
      <c r="C1" s="1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N1" s="2">
        <v>2013.0</v>
      </c>
      <c r="O1" s="2"/>
      <c r="P1" s="7" t="s">
        <v>31</v>
      </c>
    </row>
    <row r="2">
      <c r="A2" s="3" t="s">
        <v>0</v>
      </c>
      <c r="B2" s="1">
        <f>(Sheet1!B2 - Sheet1!$B$34) / (Sheet1!$B$35 - Sheet1!$B$34)</f>
        <v>0.249482686</v>
      </c>
      <c r="C2" s="1">
        <f>(Sheet1!C2 - Sheet1!$B$34) / (Sheet1!$B$35 - Sheet1!$B$34)</f>
        <v>0.2242121262</v>
      </c>
      <c r="D2" s="1">
        <f>(Sheet1!D2 - Sheet1!$B$34) / (Sheet1!$B$35 - Sheet1!$B$34)</f>
        <v>0.2004614624</v>
      </c>
      <c r="E2" s="1">
        <f>(Sheet1!E2 - Sheet1!$B$34) / (Sheet1!$B$35 - Sheet1!$B$34)</f>
        <v>0.1964511344</v>
      </c>
      <c r="F2" s="1">
        <f>(Sheet1!F2 - Sheet1!$B$34) / (Sheet1!$B$35 - Sheet1!$B$34)</f>
        <v>0.2004614624</v>
      </c>
      <c r="G2" s="1">
        <f>(Sheet1!G2 - Sheet1!$B$34) / (Sheet1!$B$35 - Sheet1!$B$34)</f>
        <v>0.1890530865</v>
      </c>
      <c r="H2" s="1">
        <f>(Sheet1!H2 - Sheet1!$B$34) / (Sheet1!$B$35 - Sheet1!$B$34)</f>
        <v>0.1907377905</v>
      </c>
      <c r="I2" s="1">
        <f>(Sheet1!I2 - Sheet1!$B$34) / (Sheet1!$B$35 - Sheet1!$B$34)</f>
        <v>0.1879360545</v>
      </c>
      <c r="J2" s="1">
        <f>(Sheet1!J2 - Sheet1!$B$34) / (Sheet1!$B$35 - Sheet1!$B$34)</f>
        <v>0.1900419345</v>
      </c>
      <c r="K2" s="1">
        <f>(Sheet1!K2 - Sheet1!$B$34) / (Sheet1!$B$35 - Sheet1!$B$34)</f>
        <v>0.1810690546</v>
      </c>
      <c r="L2" s="1">
        <f>(Sheet1!L2 - Sheet1!$B$34) / (Sheet1!$B$35 - Sheet1!$B$34)</f>
        <v>0.1759233826</v>
      </c>
      <c r="M2" s="1">
        <f>(Sheet1!M2 - Sheet1!$B$34) / (Sheet1!$B$35 - Sheet1!$B$34)</f>
        <v>0.1709242066</v>
      </c>
      <c r="N2" s="1">
        <f>(Sheet1!N2 - Sheet1!$B$34) / (Sheet1!$B$35 - Sheet1!$B$34)</f>
        <v>0.1695141826</v>
      </c>
      <c r="O2" s="8"/>
      <c r="P2" s="9">
        <f>IFERROR(__xludf.DUMMYFUNCTION("FLATTEN(B2:N30)"),0.2494826860041385)</f>
        <v>0.249482686</v>
      </c>
    </row>
    <row r="3">
      <c r="A3" s="3" t="s">
        <v>1</v>
      </c>
      <c r="B3" s="1">
        <f>(Sheet1!B3 - Sheet1!$B$34) / (Sheet1!$B$35 - Sheet1!$B$34)</f>
        <v>0.2254939662</v>
      </c>
      <c r="C3" s="1">
        <f>(Sheet1!C3 - Sheet1!$B$34) / (Sheet1!$B$35 - Sheet1!$B$34)</f>
        <v>0.2597190939</v>
      </c>
      <c r="D3" s="1">
        <f>(Sheet1!D3 - Sheet1!$B$34) / (Sheet1!$B$35 - Sheet1!$B$34)</f>
        <v>0.2338625501</v>
      </c>
      <c r="E3" s="1">
        <f>(Sheet1!E3 - Sheet1!$B$34) / (Sheet1!$B$35 - Sheet1!$B$34)</f>
        <v>0.2132981743</v>
      </c>
      <c r="F3" s="1">
        <f>(Sheet1!F3 - Sheet1!$B$34) / (Sheet1!$B$35 - Sheet1!$B$34)</f>
        <v>0.2153857423</v>
      </c>
      <c r="G3" s="1">
        <f>(Sheet1!G3 - Sheet1!$B$34) / (Sheet1!$B$35 - Sheet1!$B$34)</f>
        <v>0.2070904063</v>
      </c>
      <c r="H3" s="1">
        <f>(Sheet1!H3 - Sheet1!$B$34) / (Sheet1!$B$35 - Sheet1!$B$34)</f>
        <v>0.1966159424</v>
      </c>
      <c r="I3" s="1">
        <f>(Sheet1!I3 - Sheet1!$B$34) / (Sheet1!$B$35 - Sheet1!$B$34)</f>
        <v>0.1943818784</v>
      </c>
      <c r="J3" s="1">
        <f>(Sheet1!J3 - Sheet1!$B$34) / (Sheet1!$B$35 - Sheet1!$B$34)</f>
        <v>0.1924774305</v>
      </c>
      <c r="K3" s="1">
        <f>(Sheet1!K3 - Sheet1!$B$34) / (Sheet1!$B$35 - Sheet1!$B$34)</f>
        <v>0.1887600945</v>
      </c>
      <c r="L3" s="1">
        <f>(Sheet1!L3 - Sheet1!$B$34) / (Sheet1!$B$35 - Sheet1!$B$34)</f>
        <v>0.1820762145</v>
      </c>
      <c r="M3" s="1">
        <f>(Sheet1!M3 - Sheet1!$B$34) / (Sheet1!$B$35 - Sheet1!$B$34)</f>
        <v>0.1787251186</v>
      </c>
      <c r="N3" s="1">
        <f>(Sheet1!N3 - Sheet1!$B$34) / (Sheet1!$B$35 - Sheet1!$B$34)</f>
        <v>0.3681078211</v>
      </c>
      <c r="O3" s="10"/>
      <c r="P3" s="11">
        <f>IFERROR(__xludf.DUMMYFUNCTION("""COMPUTED_VALUE"""),0.224212126206303)</f>
        <v>0.2242121262</v>
      </c>
    </row>
    <row r="4">
      <c r="A4" s="3" t="s">
        <v>2</v>
      </c>
      <c r="B4" s="1">
        <f>(Sheet1!B4 - Sheet1!$B$34) / (Sheet1!$B$35 - Sheet1!$B$34)</f>
        <v>0.3205881814</v>
      </c>
      <c r="C4" s="1">
        <f>(Sheet1!C4 - Sheet1!$B$34) / (Sheet1!$B$35 - Sheet1!$B$34)</f>
        <v>0.3111208775</v>
      </c>
      <c r="D4" s="1">
        <f>(Sheet1!D4 - Sheet1!$B$34) / (Sheet1!$B$35 - Sheet1!$B$34)</f>
        <v>0.2196158142</v>
      </c>
      <c r="E4" s="1">
        <f>(Sheet1!E4 - Sheet1!$B$34) / (Sheet1!$B$35 - Sheet1!$B$34)</f>
        <v>0.2395209581</v>
      </c>
      <c r="F4" s="1">
        <f>(Sheet1!F4 - Sheet1!$B$34) / (Sheet1!$B$35 - Sheet1!$B$34)</f>
        <v>0.1997472944</v>
      </c>
      <c r="G4" s="1">
        <f>(Sheet1!G4 - Sheet1!$B$34) / (Sheet1!$B$35 - Sheet1!$B$34)</f>
        <v>0.1679027267</v>
      </c>
      <c r="H4" s="1">
        <f>(Sheet1!H4 - Sheet1!$B$34) / (Sheet1!$B$35 - Sheet1!$B$34)</f>
        <v>0.1911406545</v>
      </c>
      <c r="I4" s="1">
        <f>(Sheet1!I4 - Sheet1!$B$34) / (Sheet1!$B$35 - Sheet1!$B$34)</f>
        <v>0.1588565987</v>
      </c>
      <c r="J4" s="1">
        <f>(Sheet1!J4 - Sheet1!$B$34) / (Sheet1!$B$35 - Sheet1!$B$34)</f>
        <v>0.1856287425</v>
      </c>
      <c r="K4" s="1">
        <f>(Sheet1!K4 - Sheet1!$B$34) / (Sheet1!$B$35 - Sheet1!$B$34)</f>
        <v>0.2194143822</v>
      </c>
      <c r="L4" s="1">
        <f>(Sheet1!L4 - Sheet1!$B$34) / (Sheet1!$B$35 - Sheet1!$B$34)</f>
        <v>0.2126389423</v>
      </c>
      <c r="M4" s="1">
        <f>(Sheet1!M4 - Sheet1!$B$34) / (Sheet1!$B$35 - Sheet1!$B$34)</f>
        <v>0.4011976048</v>
      </c>
      <c r="N4" s="1">
        <f>(Sheet1!N4 - Sheet1!$B$34) / (Sheet1!$B$35 - Sheet1!$B$34)</f>
        <v>0.375414309</v>
      </c>
      <c r="O4" s="10"/>
      <c r="P4" s="11">
        <f>IFERROR(__xludf.DUMMYFUNCTION("""COMPUTED_VALUE"""),0.2004614623963083)</f>
        <v>0.2004614624</v>
      </c>
    </row>
    <row r="5">
      <c r="A5" s="3" t="s">
        <v>3</v>
      </c>
      <c r="B5" s="1">
        <f>(Sheet1!B5 - Sheet1!$B$34) / (Sheet1!$B$35 - Sheet1!$B$34)</f>
        <v>0.1732132066</v>
      </c>
      <c r="C5" s="1">
        <f>(Sheet1!C5 - Sheet1!$B$34) / (Sheet1!$B$35 - Sheet1!$B$34)</f>
        <v>0.1688183266</v>
      </c>
      <c r="D5" s="1">
        <f>(Sheet1!D5 - Sheet1!$B$34) / (Sheet1!$B$35 - Sheet1!$B$34)</f>
        <v>0.1638740867</v>
      </c>
      <c r="E5" s="1">
        <f>(Sheet1!E5 - Sheet1!$B$34) / (Sheet1!$B$35 - Sheet1!$B$34)</f>
        <v>0.2041604864</v>
      </c>
      <c r="F5" s="1">
        <f>(Sheet1!F5 - Sheet1!$B$34) / (Sheet1!$B$35 - Sheet1!$B$34)</f>
        <v>0.1759600066</v>
      </c>
      <c r="G5" s="1">
        <f>(Sheet1!G5 - Sheet1!$B$34) / (Sheet1!$B$35 - Sheet1!$B$34)</f>
        <v>0.2321778461</v>
      </c>
      <c r="H5" s="1">
        <f>(Sheet1!H5 - Sheet1!$B$34) / (Sheet1!$B$35 - Sheet1!$B$34)</f>
        <v>0.1907927265</v>
      </c>
      <c r="I5" s="1">
        <f>(Sheet1!I5 - Sheet1!$B$34) / (Sheet1!$B$35 - Sheet1!$B$34)</f>
        <v>0.1717482466</v>
      </c>
      <c r="J5" s="1">
        <f>(Sheet1!J5 - Sheet1!$B$34) / (Sheet1!$B$35 - Sheet1!$B$34)</f>
        <v>0.1635078467</v>
      </c>
      <c r="K5" s="1">
        <f>(Sheet1!K5 - Sheet1!$B$34) / (Sheet1!$B$35 - Sheet1!$B$34)</f>
        <v>0.1743119266</v>
      </c>
      <c r="L5" s="1">
        <f>(Sheet1!L5 - Sheet1!$B$34) / (Sheet1!$B$35 - Sheet1!$B$34)</f>
        <v>0.1699170466</v>
      </c>
      <c r="M5" s="1">
        <f>(Sheet1!M5 - Sheet1!$B$34) / (Sheet1!$B$35 - Sheet1!$B$34)</f>
        <v>0.1649728067</v>
      </c>
      <c r="N5" s="1">
        <f>(Sheet1!N5 - Sheet1!$B$34) / (Sheet1!$B$35 - Sheet1!$B$34)</f>
        <v>0.1614935267</v>
      </c>
      <c r="O5" s="10"/>
      <c r="P5" s="11">
        <f>IFERROR(__xludf.DUMMYFUNCTION("""COMPUTED_VALUE"""),0.1964511344283909)</f>
        <v>0.1964511344</v>
      </c>
    </row>
    <row r="6">
      <c r="A6" s="3" t="s">
        <v>4</v>
      </c>
      <c r="B6" s="1">
        <f>(Sheet1!B6 - Sheet1!$B$34) / (Sheet1!$B$35 - Sheet1!$B$34)</f>
        <v>0.6479334908</v>
      </c>
      <c r="C6" s="1">
        <f>(Sheet1!C6 - Sheet1!$B$34) / (Sheet1!$B$35 - Sheet1!$B$34)</f>
        <v>0.5875771393</v>
      </c>
      <c r="D6" s="1">
        <f>(Sheet1!D6 - Sheet1!$B$34) / (Sheet1!$B$35 - Sheet1!$B$34)</f>
        <v>0.502591148</v>
      </c>
      <c r="E6" s="1">
        <f>(Sheet1!E6 - Sheet1!$B$34) / (Sheet1!$B$35 - Sheet1!$B$34)</f>
        <v>0.3674852131</v>
      </c>
      <c r="F6" s="1">
        <f>(Sheet1!F6 - Sheet1!$B$34) / (Sheet1!$B$35 - Sheet1!$B$34)</f>
        <v>0.2891281657</v>
      </c>
      <c r="G6" s="1">
        <f>(Sheet1!G6 - Sheet1!$B$34) / (Sheet1!$B$35 - Sheet1!$B$34)</f>
        <v>0.3185555495</v>
      </c>
      <c r="H6" s="1">
        <f>(Sheet1!H6 - Sheet1!$B$34) / (Sheet1!$B$35 - Sheet1!$B$34)</f>
        <v>0.2813455657</v>
      </c>
      <c r="I6" s="1">
        <f>(Sheet1!I6 - Sheet1!$B$34) / (Sheet1!$B$35 - Sheet1!$B$34)</f>
        <v>0.2416085261</v>
      </c>
      <c r="J6" s="1">
        <f>(Sheet1!J6 - Sheet1!$B$34) / (Sheet1!$B$35 - Sheet1!$B$34)</f>
        <v>0.2171070703</v>
      </c>
      <c r="K6" s="1">
        <f>(Sheet1!K6 - Sheet1!$B$34) / (Sheet1!$B$35 - Sheet1!$B$34)</f>
        <v>0.5928326833</v>
      </c>
      <c r="L6" s="1">
        <f>(Sheet1!L6 - Sheet1!$B$34) / (Sheet1!$B$35 - Sheet1!$B$34)</f>
        <v>0.4808548042</v>
      </c>
      <c r="M6" s="1">
        <f>(Sheet1!M6 - Sheet1!$B$34) / (Sheet1!$B$35 - Sheet1!$B$34)</f>
        <v>0.4185024447</v>
      </c>
      <c r="N6" s="1">
        <f>(Sheet1!N6 - Sheet1!$B$34) / (Sheet1!$B$35 - Sheet1!$B$34)</f>
        <v>0.4018568368</v>
      </c>
      <c r="O6" s="10"/>
      <c r="P6" s="11">
        <f>IFERROR(__xludf.DUMMYFUNCTION("""COMPUTED_VALUE"""),0.2004614623963083)</f>
        <v>0.2004614624</v>
      </c>
    </row>
    <row r="7">
      <c r="A7" s="3" t="s">
        <v>5</v>
      </c>
      <c r="B7" s="1">
        <f>(Sheet1!B7 - Sheet1!$B$34) / (Sheet1!$B$35 - Sheet1!$B$34)</f>
        <v>0.1687817026</v>
      </c>
      <c r="C7" s="1">
        <f>(Sheet1!C7 - Sheet1!$B$34) / (Sheet1!$B$35 - Sheet1!$B$34)</f>
        <v>0.1654306067</v>
      </c>
      <c r="D7" s="1">
        <f>(Sheet1!D7 - Sheet1!$B$34) / (Sheet1!$B$35 - Sheet1!$B$34)</f>
        <v>0.1629401747</v>
      </c>
      <c r="E7" s="1">
        <f>(Sheet1!E7 - Sheet1!$B$34) / (Sheet1!$B$35 - Sheet1!$B$34)</f>
        <v>0.1734878866</v>
      </c>
      <c r="F7" s="1">
        <f>(Sheet1!F7 - Sheet1!$B$34) / (Sheet1!$B$35 - Sheet1!$B$34)</f>
        <v>0.1712355106</v>
      </c>
      <c r="G7" s="1">
        <f>(Sheet1!G7 - Sheet1!$B$34) / (Sheet1!$B$35 - Sheet1!$B$34)</f>
        <v>0.1691662546</v>
      </c>
      <c r="H7" s="1">
        <f>(Sheet1!H7 - Sheet1!$B$34) / (Sheet1!$B$35 - Sheet1!$B$34)</f>
        <v>0.1696240546</v>
      </c>
      <c r="I7" s="1">
        <f>(Sheet1!I7 - Sheet1!$B$34) / (Sheet1!$B$35 - Sheet1!$B$34)</f>
        <v>0.1661264627</v>
      </c>
      <c r="J7" s="1">
        <f>(Sheet1!J7 - Sheet1!$B$34) / (Sheet1!$B$35 - Sheet1!$B$34)</f>
        <v>0.1663278947</v>
      </c>
      <c r="K7" s="1">
        <f>(Sheet1!K7 - Sheet1!$B$34) / (Sheet1!$B$35 - Sheet1!$B$34)</f>
        <v>0.1656503507</v>
      </c>
      <c r="L7" s="1">
        <f>(Sheet1!L7 - Sheet1!$B$34) / (Sheet1!$B$35 - Sheet1!$B$34)</f>
        <v>0.4294896446</v>
      </c>
      <c r="M7" s="1">
        <f>(Sheet1!M7 - Sheet1!$B$34) / (Sheet1!$B$35 - Sheet1!$B$34)</f>
        <v>0.373198557</v>
      </c>
      <c r="N7" s="1">
        <f>(Sheet1!N7 - Sheet1!$B$34) / (Sheet1!$B$35 - Sheet1!$B$34)</f>
        <v>0.3639326851</v>
      </c>
      <c r="O7" s="10"/>
      <c r="P7" s="11">
        <f>IFERROR(__xludf.DUMMYFUNCTION("""COMPUTED_VALUE"""),0.18905308648757532)</f>
        <v>0.1890530865</v>
      </c>
    </row>
    <row r="8">
      <c r="A8" s="3" t="s">
        <v>6</v>
      </c>
      <c r="B8" s="1">
        <f>(Sheet1!B8 - Sheet1!$B$34) / (Sheet1!$B$35 - Sheet1!$B$34)</f>
        <v>0.2580710139</v>
      </c>
      <c r="C8" s="1">
        <f>(Sheet1!C8 - Sheet1!$B$34) / (Sheet1!$B$35 - Sheet1!$B$34)</f>
        <v>0.1788899266</v>
      </c>
      <c r="D8" s="1">
        <f>(Sheet1!D8 - Sheet1!$B$34) / (Sheet1!$B$35 - Sheet1!$B$34)</f>
        <v>0.1821311505</v>
      </c>
      <c r="E8" s="1">
        <f>(Sheet1!E8 - Sheet1!$B$34) / (Sheet1!$B$35 - Sheet1!$B$34)</f>
        <v>0.1694226226</v>
      </c>
      <c r="F8" s="1">
        <f>(Sheet1!F8 - Sheet1!$B$34) / (Sheet1!$B$35 - Sheet1!$B$34)</f>
        <v>0.1048178872</v>
      </c>
      <c r="G8" s="1">
        <f>(Sheet1!G8 - Sheet1!$B$34) / (Sheet1!$B$35 - Sheet1!$B$34)</f>
        <v>0.03933417569</v>
      </c>
      <c r="H8" s="1">
        <f>(Sheet1!H8 - Sheet1!$B$34) / (Sheet1!$B$35 - Sheet1!$B$34)</f>
        <v>0.1572085187</v>
      </c>
      <c r="I8" s="1">
        <f>(Sheet1!I8 - Sheet1!$B$34) / (Sheet1!$B$35 - Sheet1!$B$34)</f>
        <v>0.1604863667</v>
      </c>
      <c r="J8" s="1">
        <f>(Sheet1!J8 - Sheet1!$B$34) / (Sheet1!$B$35 - Sheet1!$B$34)</f>
        <v>0.1728652786</v>
      </c>
      <c r="K8" s="1">
        <f>(Sheet1!K8 - Sheet1!$B$34) / (Sheet1!$B$35 - Sheet1!$B$34)</f>
        <v>0.1832848065</v>
      </c>
      <c r="L8" s="1">
        <f>(Sheet1!L8 - Sheet1!$B$34) / (Sheet1!$B$35 - Sheet1!$B$34)</f>
        <v>0.1766192386</v>
      </c>
      <c r="M8" s="1">
        <f>(Sheet1!M8 - Sheet1!$B$34) / (Sheet1!$B$35 - Sheet1!$B$34)</f>
        <v>0.1682872787</v>
      </c>
      <c r="N8" s="1">
        <f>(Sheet1!N8 - Sheet1!$B$34) / (Sheet1!$B$35 - Sheet1!$B$34)</f>
        <v>0.1664377667</v>
      </c>
      <c r="O8" s="10"/>
      <c r="P8" s="11">
        <f>IFERROR(__xludf.DUMMYFUNCTION("""COMPUTED_VALUE"""),0.19073779047409767)</f>
        <v>0.1907377905</v>
      </c>
    </row>
    <row r="9">
      <c r="A9" s="3" t="s">
        <v>7</v>
      </c>
      <c r="B9" s="1">
        <f>(Sheet1!B9 - Sheet1!$B$34) / (Sheet1!$B$35 - Sheet1!$B$34)</f>
        <v>0.2728121738</v>
      </c>
      <c r="C9" s="1">
        <f>(Sheet1!C9 - Sheet1!$B$34) / (Sheet1!$B$35 - Sheet1!$B$34)</f>
        <v>0.2614037979</v>
      </c>
      <c r="D9" s="1">
        <f>(Sheet1!D9 - Sheet1!$B$34) / (Sheet1!$B$35 - Sheet1!$B$34)</f>
        <v>0.255782014</v>
      </c>
      <c r="E9" s="1">
        <f>(Sheet1!E9 - Sheet1!$B$34) / (Sheet1!$B$35 - Sheet1!$B$34)</f>
        <v>0.24658939</v>
      </c>
      <c r="F9" s="1">
        <f>(Sheet1!F9 - Sheet1!$B$34) / (Sheet1!$B$35 - Sheet1!$B$34)</f>
        <v>0.2306579502</v>
      </c>
      <c r="G9" s="1">
        <f>(Sheet1!G9 - Sheet1!$B$34) / (Sheet1!$B$35 - Sheet1!$B$34)</f>
        <v>0.2300719662</v>
      </c>
      <c r="H9" s="1">
        <f>(Sheet1!H9 - Sheet1!$B$34) / (Sheet1!$B$35 - Sheet1!$B$34)</f>
        <v>0.2901353257</v>
      </c>
      <c r="I9" s="1">
        <f>(Sheet1!I9 - Sheet1!$B$34) / (Sheet1!$B$35 - Sheet1!$B$34)</f>
        <v>0.2693328938</v>
      </c>
      <c r="J9" s="1">
        <f>(Sheet1!J9 - Sheet1!$B$34) / (Sheet1!$B$35 - Sheet1!$B$34)</f>
        <v>0.2658169899</v>
      </c>
      <c r="K9" s="1">
        <f>(Sheet1!K9 - Sheet1!$B$34) / (Sheet1!$B$35 - Sheet1!$B$34)</f>
        <v>0.2281308942</v>
      </c>
      <c r="L9" s="1">
        <f>(Sheet1!L9 - Sheet1!$B$34) / (Sheet1!$B$35 - Sheet1!$B$34)</f>
        <v>0.250288414</v>
      </c>
      <c r="M9" s="1">
        <f>(Sheet1!M9 - Sheet1!$B$34) / (Sheet1!$B$35 - Sheet1!$B$34)</f>
        <v>0.3237927814</v>
      </c>
      <c r="N9" s="1">
        <f>(Sheet1!N9 - Sheet1!$B$34) / (Sheet1!$B$35 - Sheet1!$B$34)</f>
        <v>0.2601952059</v>
      </c>
      <c r="O9" s="10"/>
      <c r="P9" s="11">
        <f>IFERROR(__xludf.DUMMYFUNCTION("""COMPUTED_VALUE"""),0.18793605449651155)</f>
        <v>0.1879360545</v>
      </c>
    </row>
    <row r="10">
      <c r="A10" s="3" t="s">
        <v>8</v>
      </c>
      <c r="B10" s="1">
        <f>(Sheet1!B10 - Sheet1!$B$34) / (Sheet1!$B$35 - Sheet1!$B$34)</f>
        <v>0.3246351334</v>
      </c>
      <c r="C10" s="1">
        <f>(Sheet1!C10 - Sheet1!$B$34) / (Sheet1!$B$35 - Sheet1!$B$34)</f>
        <v>0.3202768774</v>
      </c>
      <c r="D10" s="1">
        <f>(Sheet1!D10 - Sheet1!$B$34) / (Sheet1!$B$35 - Sheet1!$B$34)</f>
        <v>0.3061033896</v>
      </c>
      <c r="E10" s="1">
        <f>(Sheet1!E10 - Sheet1!$B$34) / (Sheet1!$B$35 - Sheet1!$B$34)</f>
        <v>0.2805398378</v>
      </c>
      <c r="F10" s="1">
        <f>(Sheet1!F10 - Sheet1!$B$34) / (Sheet1!$B$35 - Sheet1!$B$34)</f>
        <v>0.2609459979</v>
      </c>
      <c r="G10" s="1">
        <f>(Sheet1!G10 - Sheet1!$B$34) / (Sheet1!$B$35 - Sheet1!$B$34)</f>
        <v>0.246021718</v>
      </c>
      <c r="H10" s="1">
        <f>(Sheet1!H10 - Sheet1!$B$34) / (Sheet1!$B$35 - Sheet1!$B$34)</f>
        <v>0.3065428775</v>
      </c>
      <c r="I10" s="1">
        <f>(Sheet1!I10 - Sheet1!$B$34) / (Sheet1!$B$35 - Sheet1!$B$34)</f>
        <v>0.2850262777</v>
      </c>
      <c r="J10" s="1">
        <f>(Sheet1!J10 - Sheet1!$B$34) / (Sheet1!$B$35 - Sheet1!$B$34)</f>
        <v>0.2637843579</v>
      </c>
      <c r="K10" s="1">
        <f>(Sheet1!K10 - Sheet1!$B$34) / (Sheet1!$B$35 - Sheet1!$B$34)</f>
        <v>0.247450054</v>
      </c>
      <c r="L10" s="1">
        <f>(Sheet1!L10 - Sheet1!$B$34) / (Sheet1!$B$35 - Sheet1!$B$34)</f>
        <v>0.2352908861</v>
      </c>
      <c r="M10" s="1">
        <f>(Sheet1!M10 - Sheet1!$B$34) / (Sheet1!$B$35 - Sheet1!$B$34)</f>
        <v>0.2219414382</v>
      </c>
      <c r="N10" s="1">
        <f>(Sheet1!N10 - Sheet1!$B$34) / (Sheet1!$B$35 - Sheet1!$B$34)</f>
        <v>0.2081525023</v>
      </c>
      <c r="O10" s="10"/>
      <c r="P10" s="11">
        <f>IFERROR(__xludf.DUMMYFUNCTION("""COMPUTED_VALUE"""),0.19004193447966453)</f>
        <v>0.1900419345</v>
      </c>
    </row>
    <row r="11">
      <c r="A11" s="3" t="s">
        <v>9</v>
      </c>
      <c r="B11" s="1">
        <f>(Sheet1!B11 - Sheet1!$B$34) / (Sheet1!$B$35 - Sheet1!$B$34)</f>
        <v>0.2384405501</v>
      </c>
      <c r="C11" s="1">
        <f>(Sheet1!C11 - Sheet1!$B$34) / (Sheet1!$B$35 - Sheet1!$B$34)</f>
        <v>0.2355472541</v>
      </c>
      <c r="D11" s="1">
        <f>(Sheet1!D11 - Sheet1!$B$34) / (Sheet1!$B$35 - Sheet1!$B$34)</f>
        <v>0.2343203501</v>
      </c>
      <c r="E11" s="1">
        <f>(Sheet1!E11 - Sheet1!$B$34) / (Sheet1!$B$35 - Sheet1!$B$34)</f>
        <v>0.2246516142</v>
      </c>
      <c r="F11" s="1">
        <f>(Sheet1!F11 - Sheet1!$B$34) / (Sheet1!$B$35 - Sheet1!$B$34)</f>
        <v>0.2177663023</v>
      </c>
      <c r="G11" s="1">
        <f>(Sheet1!G11 - Sheet1!$B$34) / (Sheet1!$B$35 - Sheet1!$B$34)</f>
        <v>0.2125290703</v>
      </c>
      <c r="H11" s="1">
        <f>(Sheet1!H11 - Sheet1!$B$34) / (Sheet1!$B$35 - Sheet1!$B$34)</f>
        <v>0.2066509183</v>
      </c>
      <c r="I11" s="1">
        <f>(Sheet1!I11 - Sheet1!$B$34) / (Sheet1!$B$35 - Sheet1!$B$34)</f>
        <v>0.1995458624</v>
      </c>
      <c r="J11" s="1">
        <f>(Sheet1!J11 - Sheet1!$B$34) / (Sheet1!$B$35 - Sheet1!$B$34)</f>
        <v>0.1933014705</v>
      </c>
      <c r="K11" s="1">
        <f>(Sheet1!K11 - Sheet1!$B$34) / (Sheet1!$B$35 - Sheet1!$B$34)</f>
        <v>0.1904081745</v>
      </c>
      <c r="L11" s="1">
        <f>(Sheet1!L11 - Sheet1!$B$34) / (Sheet1!$B$35 - Sheet1!$B$34)</f>
        <v>0.1923675585</v>
      </c>
      <c r="M11" s="1">
        <f>(Sheet1!M11 - Sheet1!$B$34) / (Sheet1!$B$35 - Sheet1!$B$34)</f>
        <v>0.1888333425</v>
      </c>
      <c r="N11" s="1">
        <f>(Sheet1!N11 - Sheet1!$B$34) / (Sheet1!$B$35 - Sheet1!$B$34)</f>
        <v>0.1878628065</v>
      </c>
      <c r="O11" s="10"/>
      <c r="P11" s="11">
        <f>IFERROR(__xludf.DUMMYFUNCTION("""COMPUTED_VALUE"""),0.18106905455144753)</f>
        <v>0.1810690546</v>
      </c>
    </row>
    <row r="12">
      <c r="A12" s="3" t="s">
        <v>10</v>
      </c>
      <c r="B12" s="1">
        <f>(Sheet1!B12 - Sheet1!$B$34) / (Sheet1!$B$35 - Sheet1!$B$34)</f>
        <v>0.2857221337</v>
      </c>
      <c r="C12" s="1">
        <f>(Sheet1!C12 - Sheet1!$B$34) / (Sheet1!$B$35 - Sheet1!$B$34)</f>
        <v>0.2689117178</v>
      </c>
      <c r="D12" s="1">
        <f>(Sheet1!D12 - Sheet1!$B$34) / (Sheet1!$B$35 - Sheet1!$B$34)</f>
        <v>0.2430551741</v>
      </c>
      <c r="E12" s="1">
        <f>(Sheet1!E12 - Sheet1!$B$34) / (Sheet1!$B$35 - Sheet1!$B$34)</f>
        <v>0.2203482942</v>
      </c>
      <c r="F12" s="1">
        <f>(Sheet1!F12 - Sheet1!$B$34) / (Sheet1!$B$35 - Sheet1!$B$34)</f>
        <v>0.2045816624</v>
      </c>
      <c r="G12" s="1">
        <f>(Sheet1!G12 - Sheet1!$B$34) / (Sheet1!$B$35 - Sheet1!$B$34)</f>
        <v>0.1820945265</v>
      </c>
      <c r="H12" s="1">
        <f>(Sheet1!H12 - Sheet1!$B$34) / (Sheet1!$B$35 - Sheet1!$B$34)</f>
        <v>0.1674083027</v>
      </c>
      <c r="I12" s="1">
        <f>(Sheet1!I12 - Sheet1!$B$34) / (Sheet1!$B$35 - Sheet1!$B$34)</f>
        <v>0.1772235346</v>
      </c>
      <c r="J12" s="1">
        <f>(Sheet1!J12 - Sheet1!$B$34) / (Sheet1!$B$35 - Sheet1!$B$34)</f>
        <v>0.1844567745</v>
      </c>
      <c r="K12" s="1">
        <f>(Sheet1!K12 - Sheet1!$B$34) / (Sheet1!$B$35 - Sheet1!$B$34)</f>
        <v>0.1873317585</v>
      </c>
      <c r="L12" s="1">
        <f>(Sheet1!L12 - Sheet1!$B$34) / (Sheet1!$B$35 - Sheet1!$B$34)</f>
        <v>0.1942170704</v>
      </c>
      <c r="M12" s="1">
        <f>(Sheet1!M12 - Sheet1!$B$34) / (Sheet1!$B$35 - Sheet1!$B$34)</f>
        <v>0.3306048454</v>
      </c>
      <c r="N12" s="1">
        <f>(Sheet1!N12 - Sheet1!$B$34) / (Sheet1!$B$35 - Sheet1!$B$34)</f>
        <v>0.3079712135</v>
      </c>
      <c r="O12" s="10"/>
      <c r="P12" s="11">
        <f>IFERROR(__xludf.DUMMYFUNCTION("""COMPUTED_VALUE"""),0.17592338259261292)</f>
        <v>0.1759233826</v>
      </c>
    </row>
    <row r="13">
      <c r="A13" s="3" t="s">
        <v>11</v>
      </c>
      <c r="B13" s="1">
        <f>(Sheet1!B13 - Sheet1!$B$34) / (Sheet1!$B$35 - Sheet1!$B$34)</f>
        <v>0.2732699738</v>
      </c>
      <c r="C13" s="1">
        <f>(Sheet1!C13 - Sheet1!$B$34) / (Sheet1!$B$35 - Sheet1!$B$34)</f>
        <v>0.2715303338</v>
      </c>
      <c r="D13" s="1">
        <f>(Sheet1!D13 - Sheet1!$B$34) / (Sheet1!$B$35 - Sheet1!$B$34)</f>
        <v>0.2608178139</v>
      </c>
      <c r="E13" s="1">
        <f>(Sheet1!E13 - Sheet1!$B$34) / (Sheet1!$B$35 - Sheet1!$B$34)</f>
        <v>0.251423758</v>
      </c>
      <c r="F13" s="1">
        <f>(Sheet1!F13 - Sheet1!$B$34) / (Sheet1!$B$35 - Sheet1!$B$34)</f>
        <v>0.2388067901</v>
      </c>
      <c r="G13" s="1">
        <f>(Sheet1!G13 - Sheet1!$B$34) / (Sheet1!$B$35 - Sheet1!$B$34)</f>
        <v>0.2267025582</v>
      </c>
      <c r="H13" s="1">
        <f>(Sheet1!H13 - Sheet1!$B$34) / (Sheet1!$B$35 - Sheet1!$B$34)</f>
        <v>0.2202384222</v>
      </c>
      <c r="I13" s="1">
        <f>(Sheet1!I13 - Sheet1!$B$34) / (Sheet1!$B$35 - Sheet1!$B$34)</f>
        <v>0.2854657657</v>
      </c>
      <c r="J13" s="1">
        <f>(Sheet1!J13 - Sheet1!$B$34) / (Sheet1!$B$35 - Sheet1!$B$34)</f>
        <v>0.2703949898</v>
      </c>
      <c r="K13" s="1">
        <f>(Sheet1!K13 - Sheet1!$B$34) / (Sheet1!$B$35 - Sheet1!$B$34)</f>
        <v>0.2635279899</v>
      </c>
      <c r="L13" s="1">
        <f>(Sheet1!L13 - Sheet1!$B$34) / (Sheet1!$B$35 - Sheet1!$B$34)</f>
        <v>0.3536962772</v>
      </c>
      <c r="M13" s="1">
        <f>(Sheet1!M13 - Sheet1!$B$34) / (Sheet1!$B$35 - Sheet1!$B$34)</f>
        <v>0.496951052</v>
      </c>
      <c r="N13" s="1">
        <f>(Sheet1!N13 - Sheet1!$B$34) / (Sheet1!$B$35 - Sheet1!$B$34)</f>
        <v>0.4576168763</v>
      </c>
      <c r="O13" s="10"/>
      <c r="P13" s="11">
        <f>IFERROR(__xludf.DUMMYFUNCTION("""COMPUTED_VALUE"""),0.17092420663260635)</f>
        <v>0.1709242066</v>
      </c>
    </row>
    <row r="14">
      <c r="A14" s="3" t="s">
        <v>12</v>
      </c>
      <c r="B14" s="1">
        <f>(Sheet1!B14 - Sheet1!$B$34) / (Sheet1!$B$35 - Sheet1!$B$34)</f>
        <v>0.2062663663</v>
      </c>
      <c r="C14" s="1">
        <f>(Sheet1!C14 - Sheet1!$B$34) / (Sheet1!$B$35 - Sheet1!$B$34)</f>
        <v>0.1854456225</v>
      </c>
      <c r="D14" s="1">
        <f>(Sheet1!D14 - Sheet1!$B$34) / (Sheet1!$B$35 - Sheet1!$B$34)</f>
        <v>0.1837609185</v>
      </c>
      <c r="E14" s="1">
        <f>(Sheet1!E14 - Sheet1!$B$34) / (Sheet1!$B$35 - Sheet1!$B$34)</f>
        <v>0.1781025106</v>
      </c>
      <c r="F14" s="1">
        <f>(Sheet1!F14 - Sheet1!$B$34) / (Sheet1!$B$35 - Sheet1!$B$34)</f>
        <v>0.1750444066</v>
      </c>
      <c r="G14" s="1">
        <f>(Sheet1!G14 - Sheet1!$B$34) / (Sheet1!$B$35 - Sheet1!$B$34)</f>
        <v>0.1782490066</v>
      </c>
      <c r="H14" s="1">
        <f>(Sheet1!H14 - Sheet1!$B$34) / (Sheet1!$B$35 - Sheet1!$B$34)</f>
        <v>0.1742020546</v>
      </c>
      <c r="I14" s="1">
        <f>(Sheet1!I14 - Sheet1!$B$34) / (Sheet1!$B$35 - Sheet1!$B$34)</f>
        <v>0.1722976066</v>
      </c>
      <c r="J14" s="1">
        <f>(Sheet1!J14 - Sheet1!$B$34) / (Sheet1!$B$35 - Sheet1!$B$34)</f>
        <v>0.1709242066</v>
      </c>
      <c r="K14" s="1">
        <f>(Sheet1!K14 - Sheet1!$B$34) / (Sheet1!$B$35 - Sheet1!$B$34)</f>
        <v>0.1695691186</v>
      </c>
      <c r="L14" s="1">
        <f>(Sheet1!L14 - Sheet1!$B$34) / (Sheet1!$B$35 - Sheet1!$B$34)</f>
        <v>0.1774249666</v>
      </c>
      <c r="M14" s="1">
        <f>(Sheet1!M14 - Sheet1!$B$34) / (Sheet1!$B$35 - Sheet1!$B$34)</f>
        <v>0.1757585746</v>
      </c>
      <c r="N14" s="1">
        <f>(Sheet1!N14 - Sheet1!$B$34) / (Sheet1!$B$35 - Sheet1!$B$34)</f>
        <v>0.1729568386</v>
      </c>
      <c r="O14" s="10"/>
      <c r="P14" s="11">
        <f>IFERROR(__xludf.DUMMYFUNCTION("""COMPUTED_VALUE"""),0.1695141826438865)</f>
        <v>0.1695141826</v>
      </c>
    </row>
    <row r="15">
      <c r="A15" s="3" t="s">
        <v>13</v>
      </c>
      <c r="B15" s="1">
        <f>(Sheet1!B15 - Sheet1!$B$34) / (Sheet1!$B$35 - Sheet1!$B$34)</f>
        <v>0.3592448131</v>
      </c>
      <c r="C15" s="1">
        <f>(Sheet1!C15 - Sheet1!$B$34) / (Sheet1!$B$35 - Sheet1!$B$34)</f>
        <v>0.3229138054</v>
      </c>
      <c r="D15" s="1">
        <f>(Sheet1!D15 - Sheet1!$B$34) / (Sheet1!$B$35 - Sheet1!$B$34)</f>
        <v>0.2926806937</v>
      </c>
      <c r="E15" s="1">
        <f>(Sheet1!E15 - Sheet1!$B$34) / (Sheet1!$B$35 - Sheet1!$B$34)</f>
        <v>0.2666593419</v>
      </c>
      <c r="F15" s="1">
        <f>(Sheet1!F15 - Sheet1!$B$34) / (Sheet1!$B$35 - Sheet1!$B$34)</f>
        <v>0.247907854</v>
      </c>
      <c r="G15" s="1">
        <f>(Sheet1!G15 - Sheet1!$B$34) / (Sheet1!$B$35 - Sheet1!$B$34)</f>
        <v>0.2372685821</v>
      </c>
      <c r="H15" s="1">
        <f>(Sheet1!H15 - Sheet1!$B$34) / (Sheet1!$B$35 - Sheet1!$B$34)</f>
        <v>0.2245600542</v>
      </c>
      <c r="I15" s="1">
        <f>(Sheet1!I15 - Sheet1!$B$34) / (Sheet1!$B$35 - Sheet1!$B$34)</f>
        <v>0.2152575583</v>
      </c>
      <c r="J15" s="1">
        <f>(Sheet1!J15 - Sheet1!$B$34) / (Sheet1!$B$35 - Sheet1!$B$34)</f>
        <v>0.2046365984</v>
      </c>
      <c r="K15" s="1">
        <f>(Sheet1!K15 - Sheet1!$B$34) / (Sheet1!$B$35 - Sheet1!$B$34)</f>
        <v>0.1900053105</v>
      </c>
      <c r="L15" s="1">
        <f>(Sheet1!L15 - Sheet1!$B$34) / (Sheet1!$B$35 - Sheet1!$B$34)</f>
        <v>0.2275998462</v>
      </c>
      <c r="M15" s="1">
        <f>(Sheet1!M15 - Sheet1!$B$34) / (Sheet1!$B$35 - Sheet1!$B$34)</f>
        <v>0.2143053343</v>
      </c>
      <c r="N15" s="1">
        <f>(Sheet1!N15 - Sheet1!$B$34) / (Sheet1!$B$35 - Sheet1!$B$34)</f>
        <v>0.2091596623</v>
      </c>
      <c r="O15" s="10"/>
      <c r="P15" s="11">
        <f>IFERROR(__xludf.DUMMYFUNCTION("""COMPUTED_VALUE"""),0.22549396619604825)</f>
        <v>0.2254939662</v>
      </c>
    </row>
    <row r="16">
      <c r="A16" s="3" t="s">
        <v>14</v>
      </c>
      <c r="B16" s="1">
        <f>(Sheet1!B16 - Sheet1!$B$34) / (Sheet1!$B$35 - Sheet1!$B$34)</f>
        <v>0.3555641012</v>
      </c>
      <c r="C16" s="1">
        <f>(Sheet1!C16 - Sheet1!$B$34) / (Sheet1!$B$35 - Sheet1!$B$34)</f>
        <v>0.3273636214</v>
      </c>
      <c r="D16" s="1">
        <f>(Sheet1!D16 - Sheet1!$B$34) / (Sheet1!$B$35 - Sheet1!$B$34)</f>
        <v>0.2917834057</v>
      </c>
      <c r="E16" s="1">
        <f>(Sheet1!E16 - Sheet1!$B$34) / (Sheet1!$B$35 - Sheet1!$B$34)</f>
        <v>0.2683440459</v>
      </c>
      <c r="F16" s="1">
        <f>(Sheet1!F16 - Sheet1!$B$34) / (Sheet1!$B$35 - Sheet1!$B$34)</f>
        <v>0.3063597575</v>
      </c>
      <c r="G16" s="1">
        <f>(Sheet1!G16 - Sheet1!$B$34) / (Sheet1!$B$35 - Sheet1!$B$34)</f>
        <v>0.2798806058</v>
      </c>
      <c r="H16" s="1">
        <f>(Sheet1!H16 - Sheet1!$B$34) / (Sheet1!$B$35 - Sheet1!$B$34)</f>
        <v>0.2715486458</v>
      </c>
      <c r="I16" s="1">
        <f>(Sheet1!I16 - Sheet1!$B$34) / (Sheet1!$B$35 - Sheet1!$B$34)</f>
        <v>0.251570254</v>
      </c>
      <c r="J16" s="1">
        <f>(Sheet1!J16 - Sheet1!$B$34) / (Sheet1!$B$35 - Sheet1!$B$34)</f>
        <v>0.2342837261</v>
      </c>
      <c r="K16" s="1">
        <f>(Sheet1!K16 - Sheet1!$B$34) / (Sheet1!$B$35 - Sheet1!$B$34)</f>
        <v>0.2383489901</v>
      </c>
      <c r="L16" s="1">
        <f>(Sheet1!L16 - Sheet1!$B$34) / (Sheet1!$B$35 - Sheet1!$B$34)</f>
        <v>0.248805142</v>
      </c>
      <c r="M16" s="1">
        <f>(Sheet1!M16 - Sheet1!$B$34) / (Sheet1!$B$35 - Sheet1!$B$34)</f>
        <v>0.251863246</v>
      </c>
      <c r="N16" s="1">
        <f>(Sheet1!N16 - Sheet1!$B$34) / (Sheet1!$B$35 - Sheet1!$B$34)</f>
        <v>0.3094544855</v>
      </c>
      <c r="O16" s="10"/>
      <c r="P16" s="11">
        <f>IFERROR(__xludf.DUMMYFUNCTION("""COMPUTED_VALUE"""),0.2597190939222472)</f>
        <v>0.2597190939</v>
      </c>
    </row>
    <row r="17">
      <c r="A17" s="3" t="s">
        <v>15</v>
      </c>
      <c r="B17" s="1">
        <f>(Sheet1!B17 - Sheet1!$B$34) / (Sheet1!$B$35 - Sheet1!$B$34)</f>
        <v>0.3661484371</v>
      </c>
      <c r="C17" s="1">
        <f>(Sheet1!C17 - Sheet1!$B$34) / (Sheet1!$B$35 - Sheet1!$B$34)</f>
        <v>0.3398524053</v>
      </c>
      <c r="D17" s="1">
        <f>(Sheet1!D17 - Sheet1!$B$34) / (Sheet1!$B$35 - Sheet1!$B$34)</f>
        <v>0.3238477174</v>
      </c>
      <c r="E17" s="1">
        <f>(Sheet1!E17 - Sheet1!$B$34) / (Sheet1!$B$35 - Sheet1!$B$34)</f>
        <v>0.2631800619</v>
      </c>
      <c r="F17" s="1">
        <f>(Sheet1!F17 - Sheet1!$B$34) / (Sheet1!$B$35 - Sheet1!$B$34)</f>
        <v>0.1850244465</v>
      </c>
      <c r="G17" s="1">
        <f>(Sheet1!G17 - Sheet1!$B$34) / (Sheet1!$B$35 - Sheet1!$B$34)</f>
        <v>0.1535461188</v>
      </c>
      <c r="H17" s="1">
        <f>(Sheet1!H17 - Sheet1!$B$34) / (Sheet1!$B$35 - Sheet1!$B$34)</f>
        <v>0.244630006</v>
      </c>
      <c r="I17" s="1">
        <f>(Sheet1!I17 - Sheet1!$B$34) / (Sheet1!$B$35 - Sheet1!$B$34)</f>
        <v>0.2815469977</v>
      </c>
      <c r="J17" s="1">
        <f>(Sheet1!J17 - Sheet1!$B$34) / (Sheet1!$B$35 - Sheet1!$B$34)</f>
        <v>0.2176747423</v>
      </c>
      <c r="K17" s="1">
        <f>(Sheet1!K17 - Sheet1!$B$34) / (Sheet1!$B$35 - Sheet1!$B$34)</f>
        <v>0.2588950539</v>
      </c>
      <c r="L17" s="1">
        <f>(Sheet1!L17 - Sheet1!$B$34) / (Sheet1!$B$35 - Sheet1!$B$34)</f>
        <v>0.248274094</v>
      </c>
      <c r="M17" s="1">
        <f>(Sheet1!M17 - Sheet1!$B$34) / (Sheet1!$B$35 - Sheet1!$B$34)</f>
        <v>0.2943104616</v>
      </c>
      <c r="N17" s="1">
        <f>(Sheet1!N17 - Sheet1!$B$34) / (Sheet1!$B$35 - Sheet1!$B$34)</f>
        <v>0.2777014778</v>
      </c>
      <c r="O17" s="10"/>
      <c r="P17" s="11">
        <f>IFERROR(__xludf.DUMMYFUNCTION("""COMPUTED_VALUE"""),0.2338625501290996)</f>
        <v>0.2338625501</v>
      </c>
    </row>
    <row r="18">
      <c r="A18" s="3" t="s">
        <v>16</v>
      </c>
      <c r="B18" s="1">
        <f>(Sheet1!B18 - Sheet1!$B$34) / (Sheet1!$B$35 - Sheet1!$B$34)</f>
        <v>1</v>
      </c>
      <c r="C18" s="1">
        <f>(Sheet1!C18 - Sheet1!$B$34) / (Sheet1!$B$35 - Sheet1!$B$34)</f>
        <v>0.9410536725</v>
      </c>
      <c r="D18" s="1">
        <f>(Sheet1!D18 - Sheet1!$B$34) / (Sheet1!$B$35 - Sheet1!$B$34)</f>
        <v>0.6532073468</v>
      </c>
      <c r="E18" s="1">
        <f>(Sheet1!E18 - Sheet1!$B$34) / (Sheet1!$B$35 - Sheet1!$B$34)</f>
        <v>0.3906315809</v>
      </c>
      <c r="F18" s="1">
        <f>(Sheet1!F18 - Sheet1!$B$34) / (Sheet1!$B$35 - Sheet1!$B$34)</f>
        <v>0.4215239246</v>
      </c>
      <c r="G18" s="1">
        <f>(Sheet1!G18 - Sheet1!$B$34) / (Sheet1!$B$35 - Sheet1!$B$34)</f>
        <v>0.499624604</v>
      </c>
      <c r="H18" s="1">
        <f>(Sheet1!H18 - Sheet1!$B$34) / (Sheet1!$B$35 - Sheet1!$B$34)</f>
        <v>0.619220275</v>
      </c>
      <c r="I18" s="1">
        <f>(Sheet1!I18 - Sheet1!$B$34) / (Sheet1!$B$35 - Sheet1!$B$34)</f>
        <v>0.6331740189</v>
      </c>
      <c r="J18" s="1">
        <f>(Sheet1!J18 - Sheet1!$B$34) / (Sheet1!$B$35 - Sheet1!$B$34)</f>
        <v>0.6107601311</v>
      </c>
      <c r="K18" s="1">
        <f>(Sheet1!K18 - Sheet1!$B$34) / (Sheet1!$B$35 - Sheet1!$B$34)</f>
        <v>0.4886923401</v>
      </c>
      <c r="L18" s="1">
        <f>(Sheet1!L18 - Sheet1!$B$34) / (Sheet1!$B$35 - Sheet1!$B$34)</f>
        <v>0.3862550129</v>
      </c>
      <c r="M18" s="1">
        <f>(Sheet1!M18 - Sheet1!$B$34) / (Sheet1!$B$35 - Sheet1!$B$34)</f>
        <v>0.3283890934</v>
      </c>
      <c r="N18" s="1">
        <f>(Sheet1!N18 - Sheet1!$B$34) / (Sheet1!$B$35 - Sheet1!$B$34)</f>
        <v>0.3051328536</v>
      </c>
      <c r="O18" s="10"/>
      <c r="P18" s="11">
        <f>IFERROR(__xludf.DUMMYFUNCTION("""COMPUTED_VALUE"""),0.2132981742936146)</f>
        <v>0.2132981743</v>
      </c>
    </row>
    <row r="19">
      <c r="A19" s="3" t="s">
        <v>17</v>
      </c>
      <c r="B19" s="1">
        <f>(Sheet1!B19 - Sheet1!$B$34) / (Sheet1!$B$35 - Sheet1!$B$34)</f>
        <v>0.1926971745</v>
      </c>
      <c r="C19" s="1">
        <f>(Sheet1!C19 - Sheet1!$B$34) / (Sheet1!$B$35 - Sheet1!$B$34)</f>
        <v>0.1947481184</v>
      </c>
      <c r="D19" s="1">
        <f>(Sheet1!D19 - Sheet1!$B$34) / (Sheet1!$B$35 - Sheet1!$B$34)</f>
        <v>0.1881741105</v>
      </c>
      <c r="E19" s="1">
        <f>(Sheet1!E19 - Sheet1!$B$34) / (Sheet1!$B$35 - Sheet1!$B$34)</f>
        <v>0.1841271585</v>
      </c>
      <c r="F19" s="1">
        <f>(Sheet1!F19 - Sheet1!$B$34) / (Sheet1!$B$35 - Sheet1!$B$34)</f>
        <v>0.1826805105</v>
      </c>
      <c r="G19" s="1">
        <f>(Sheet1!G19 - Sheet1!$B$34) / (Sheet1!$B$35 - Sheet1!$B$34)</f>
        <v>0.1769122306</v>
      </c>
      <c r="H19" s="1">
        <f>(Sheet1!H19 - Sheet1!$B$34) / (Sheet1!$B$35 - Sheet1!$B$34)</f>
        <v>0.1808676226</v>
      </c>
      <c r="I19" s="1">
        <f>(Sheet1!I19 - Sheet1!$B$34) / (Sheet1!$B$35 - Sheet1!$B$34)</f>
        <v>0.1749711586</v>
      </c>
      <c r="J19" s="1">
        <f>(Sheet1!J19 - Sheet1!$B$34) / (Sheet1!$B$35 - Sheet1!$B$34)</f>
        <v>0.1792561666</v>
      </c>
      <c r="K19" s="1">
        <f>(Sheet1!K19 - Sheet1!$B$34) / (Sheet1!$B$35 - Sheet1!$B$34)</f>
        <v>0.1794392866</v>
      </c>
      <c r="L19" s="1">
        <f>(Sheet1!L19 - Sheet1!$B$34) / (Sheet1!$B$35 - Sheet1!$B$34)</f>
        <v>0.1776263986</v>
      </c>
      <c r="M19" s="1">
        <f>(Sheet1!M19 - Sheet1!$B$34) / (Sheet1!$B$35 - Sheet1!$B$34)</f>
        <v>0.1807760626</v>
      </c>
      <c r="N19" s="1">
        <f>(Sheet1!N19 - Sheet1!$B$34) / (Sheet1!$B$35 - Sheet1!$B$34)</f>
        <v>0.1834129905</v>
      </c>
      <c r="O19" s="10"/>
      <c r="P19" s="11">
        <f>IFERROR(__xludf.DUMMYFUNCTION("""COMPUTED_VALUE"""),0.21538574227691407)</f>
        <v>0.2153857423</v>
      </c>
    </row>
    <row r="20">
      <c r="A20" s="3" t="s">
        <v>18</v>
      </c>
      <c r="B20" s="1">
        <f>(Sheet1!B20 - Sheet1!$B$34) / (Sheet1!$B$35 - Sheet1!$B$34)</f>
        <v>0.1860132945</v>
      </c>
      <c r="C20" s="1">
        <f>(Sheet1!C20 - Sheet1!$B$34) / (Sheet1!$B$35 - Sheet1!$B$34)</f>
        <v>0.1872401985</v>
      </c>
      <c r="D20" s="1">
        <f>(Sheet1!D20 - Sheet1!$B$34) / (Sheet1!$B$35 - Sheet1!$B$34)</f>
        <v>0.1959200864</v>
      </c>
      <c r="E20" s="1">
        <f>(Sheet1!E20 - Sheet1!$B$34) / (Sheet1!$B$35 - Sheet1!$B$34)</f>
        <v>0.1996191104</v>
      </c>
      <c r="F20" s="1">
        <f>(Sheet1!F20 - Sheet1!$B$34) / (Sheet1!$B$35 - Sheet1!$B$34)</f>
        <v>0.1975864784</v>
      </c>
      <c r="G20" s="1">
        <f>(Sheet1!G20 - Sheet1!$B$34) / (Sheet1!$B$35 - Sheet1!$B$34)</f>
        <v>0.1941621344</v>
      </c>
      <c r="H20" s="1">
        <f>(Sheet1!H20 - Sheet1!$B$34) / (Sheet1!$B$35 - Sheet1!$B$34)</f>
        <v>0.1905729825</v>
      </c>
      <c r="I20" s="1">
        <f>(Sheet1!I20 - Sheet1!$B$34) / (Sheet1!$B$35 - Sheet1!$B$34)</f>
        <v>0.1841637825</v>
      </c>
      <c r="J20" s="1">
        <f>(Sheet1!J20 - Sheet1!$B$34) / (Sheet1!$B$35 - Sheet1!$B$34)</f>
        <v>0.1815268545</v>
      </c>
      <c r="K20" s="1">
        <f>(Sheet1!K20 - Sheet1!$B$34) / (Sheet1!$B$35 - Sheet1!$B$34)</f>
        <v>0.1763079346</v>
      </c>
      <c r="L20" s="1">
        <f>(Sheet1!L20 - Sheet1!$B$34) / (Sheet1!$B$35 - Sheet1!$B$34)</f>
        <v>0.1731216466</v>
      </c>
      <c r="M20" s="1">
        <f>(Sheet1!M20 - Sheet1!$B$34) / (Sheet1!$B$35 - Sheet1!$B$34)</f>
        <v>0.1727920306</v>
      </c>
      <c r="N20" s="1">
        <f>(Sheet1!N20 - Sheet1!$B$34) / (Sheet1!$B$35 - Sheet1!$B$34)</f>
        <v>0.1725173506</v>
      </c>
      <c r="O20" s="10"/>
      <c r="P20" s="11">
        <f>IFERROR(__xludf.DUMMYFUNCTION("""COMPUTED_VALUE"""),0.20709040634327675)</f>
        <v>0.2070904063</v>
      </c>
    </row>
    <row r="21">
      <c r="A21" s="3" t="s">
        <v>19</v>
      </c>
      <c r="B21" s="1">
        <f>(Sheet1!B21 - Sheet1!$B$34) / (Sheet1!$B$35 - Sheet1!$B$34)</f>
        <v>0.24970243</v>
      </c>
      <c r="C21" s="1">
        <f>(Sheet1!C21 - Sheet1!$B$34) / (Sheet1!$B$35 - Sheet1!$B$34)</f>
        <v>0.3438810452</v>
      </c>
      <c r="D21" s="1">
        <f>(Sheet1!D21 - Sheet1!$B$34) / (Sheet1!$B$35 - Sheet1!$B$34)</f>
        <v>0.3359885733</v>
      </c>
      <c r="E21" s="1">
        <f>(Sheet1!E21 - Sheet1!$B$34) / (Sheet1!$B$35 - Sheet1!$B$34)</f>
        <v>0.3218150854</v>
      </c>
      <c r="F21" s="1">
        <f>(Sheet1!F21 - Sheet1!$B$34) / (Sheet1!$B$35 - Sheet1!$B$34)</f>
        <v>0.2931751177</v>
      </c>
      <c r="G21" s="1">
        <f>(Sheet1!G21 - Sheet1!$B$34) / (Sheet1!$B$35 - Sheet1!$B$34)</f>
        <v>0.2709260378</v>
      </c>
      <c r="H21" s="1">
        <f>(Sheet1!H21 - Sheet1!$B$34) / (Sheet1!$B$35 - Sheet1!$B$34)</f>
        <v>0.2777747258</v>
      </c>
      <c r="I21" s="1">
        <f>(Sheet1!I21 - Sheet1!$B$34) / (Sheet1!$B$35 - Sheet1!$B$34)</f>
        <v>0.2669523339</v>
      </c>
      <c r="J21" s="1">
        <f>(Sheet1!J21 - Sheet1!$B$34) / (Sheet1!$B$35 - Sheet1!$B$34)</f>
        <v>0.3406581333</v>
      </c>
      <c r="K21" s="1">
        <f>(Sheet1!K21 - Sheet1!$B$34) / (Sheet1!$B$35 - Sheet1!$B$34)</f>
        <v>0.3399439653</v>
      </c>
      <c r="L21" s="1">
        <f>(Sheet1!L21 - Sheet1!$B$34) / (Sheet1!$B$35 - Sheet1!$B$34)</f>
        <v>0.3021479976</v>
      </c>
      <c r="M21" s="1">
        <f>(Sheet1!M21 - Sheet1!$B$34) / (Sheet1!$B$35 - Sheet1!$B$34)</f>
        <v>0.2956289256</v>
      </c>
      <c r="N21" s="1">
        <f>(Sheet1!N21 - Sheet1!$B$34) / (Sheet1!$B$35 - Sheet1!$B$34)</f>
        <v>0.2848248457</v>
      </c>
      <c r="O21" s="10"/>
      <c r="P21" s="11">
        <f>IFERROR(__xludf.DUMMYFUNCTION("""COMPUTED_VALUE"""),0.19661594242707245)</f>
        <v>0.1966159424</v>
      </c>
    </row>
    <row r="22">
      <c r="A22" s="3" t="s">
        <v>20</v>
      </c>
      <c r="B22" s="1">
        <f>(Sheet1!B22 - Sheet1!$B$34) / (Sheet1!$B$35 - Sheet1!$B$34)</f>
        <v>0.3146001575</v>
      </c>
      <c r="C22" s="1">
        <f>(Sheet1!C22 - Sheet1!$B$34) / (Sheet1!$B$35 - Sheet1!$B$34)</f>
        <v>0.2931018697</v>
      </c>
      <c r="D22" s="1">
        <f>(Sheet1!D22 - Sheet1!$B$34) / (Sheet1!$B$35 - Sheet1!$B$34)</f>
        <v>0.2696258858</v>
      </c>
      <c r="E22" s="1">
        <f>(Sheet1!E22 - Sheet1!$B$34) / (Sheet1!$B$35 - Sheet1!$B$34)</f>
        <v>0.2280393342</v>
      </c>
      <c r="F22" s="1">
        <f>(Sheet1!F22 - Sheet1!$B$34) / (Sheet1!$B$35 - Sheet1!$B$34)</f>
        <v>0.2014319984</v>
      </c>
      <c r="G22" s="1">
        <f>(Sheet1!G22 - Sheet1!$B$34) / (Sheet1!$B$35 - Sheet1!$B$34)</f>
        <v>0.1960116464</v>
      </c>
      <c r="H22" s="1">
        <f>(Sheet1!H22 - Sheet1!$B$34) / (Sheet1!$B$35 - Sheet1!$B$34)</f>
        <v>0.1601750627</v>
      </c>
      <c r="I22" s="1">
        <f>(Sheet1!I22 - Sheet1!$B$34) / (Sheet1!$B$35 - Sheet1!$B$34)</f>
        <v>0.1456719588</v>
      </c>
      <c r="J22" s="1">
        <f>(Sheet1!J22 - Sheet1!$B$34) / (Sheet1!$B$35 - Sheet1!$B$34)</f>
        <v>0.1560182388</v>
      </c>
      <c r="K22" s="1">
        <f>(Sheet1!K22 - Sheet1!$B$34) / (Sheet1!$B$35 - Sheet1!$B$34)</f>
        <v>0.1846582065</v>
      </c>
      <c r="L22" s="1">
        <f>(Sheet1!L22 - Sheet1!$B$34) / (Sheet1!$B$35 - Sheet1!$B$34)</f>
        <v>0.1971286784</v>
      </c>
      <c r="M22" s="1">
        <f>(Sheet1!M22 - Sheet1!$B$34) / (Sheet1!$B$35 - Sheet1!$B$34)</f>
        <v>0.503103884</v>
      </c>
      <c r="N22" s="1">
        <f>(Sheet1!N22 - Sheet1!$B$34) / (Sheet1!$B$35 - Sheet1!$B$34)</f>
        <v>0.6440513468</v>
      </c>
      <c r="O22" s="10"/>
      <c r="P22" s="11">
        <f>IFERROR(__xludf.DUMMYFUNCTION("""COMPUTED_VALUE"""),0.19438187844494498)</f>
        <v>0.1943818784</v>
      </c>
    </row>
    <row r="23">
      <c r="A23" s="3" t="s">
        <v>21</v>
      </c>
      <c r="B23" s="1">
        <f>(Sheet1!B23 - Sheet1!$B$34) / (Sheet1!$B$35 - Sheet1!$B$34)</f>
        <v>0.2389532861</v>
      </c>
      <c r="C23" s="1">
        <f>(Sheet1!C23 - Sheet1!$B$34) / (Sheet1!$B$35 - Sheet1!$B$34)</f>
        <v>0.2285154462</v>
      </c>
      <c r="D23" s="1">
        <f>(Sheet1!D23 - Sheet1!$B$34) / (Sheet1!$B$35 - Sheet1!$B$34)</f>
        <v>0.2200919262</v>
      </c>
      <c r="E23" s="1">
        <f>(Sheet1!E23 - Sheet1!$B$34) / (Sheet1!$B$35 - Sheet1!$B$34)</f>
        <v>0.1803548866</v>
      </c>
      <c r="F23" s="1">
        <f>(Sheet1!F23 - Sheet1!$B$34) / (Sheet1!$B$35 - Sheet1!$B$34)</f>
        <v>0.1776080866</v>
      </c>
      <c r="G23" s="1">
        <f>(Sheet1!G23 - Sheet1!$B$34) / (Sheet1!$B$35 - Sheet1!$B$34)</f>
        <v>0.1842004065</v>
      </c>
      <c r="H23" s="1">
        <f>(Sheet1!H23 - Sheet1!$B$34) / (Sheet1!$B$35 - Sheet1!$B$34)</f>
        <v>0.1757768866</v>
      </c>
      <c r="I23" s="1">
        <f>(Sheet1!I23 - Sheet1!$B$34) / (Sheet1!$B$35 - Sheet1!$B$34)</f>
        <v>0.1719313666</v>
      </c>
      <c r="J23" s="1">
        <f>(Sheet1!J23 - Sheet1!$B$34) / (Sheet1!$B$35 - Sheet1!$B$34)</f>
        <v>0.2085553663</v>
      </c>
      <c r="K23" s="1">
        <f>(Sheet1!K23 - Sheet1!$B$34) / (Sheet1!$B$35 - Sheet1!$B$34)</f>
        <v>0.1900602465</v>
      </c>
      <c r="L23" s="1">
        <f>(Sheet1!L23 - Sheet1!$B$34) / (Sheet1!$B$35 - Sheet1!$B$34)</f>
        <v>0.1900602465</v>
      </c>
      <c r="M23" s="1">
        <f>(Sheet1!M23 - Sheet1!$B$34) / (Sheet1!$B$35 - Sheet1!$B$34)</f>
        <v>0.1832848065</v>
      </c>
      <c r="N23" s="1">
        <f>(Sheet1!N23 - Sheet1!$B$34) / (Sheet1!$B$35 - Sheet1!$B$34)</f>
        <v>0.2081891263</v>
      </c>
      <c r="O23" s="10"/>
      <c r="P23" s="11">
        <f>IFERROR(__xludf.DUMMYFUNCTION("""COMPUTED_VALUE"""),0.19247743046018054)</f>
        <v>0.1924774305</v>
      </c>
    </row>
    <row r="24">
      <c r="A24" s="3" t="s">
        <v>22</v>
      </c>
      <c r="B24" s="1">
        <f>(Sheet1!B24 - Sheet1!$B$34) / (Sheet1!$B$35 - Sheet1!$B$34)</f>
        <v>0.2996575656</v>
      </c>
      <c r="C24" s="1">
        <f>(Sheet1!C24 - Sheet1!$B$34) / (Sheet1!$B$35 - Sheet1!$B$34)</f>
        <v>0.3053892216</v>
      </c>
      <c r="D24" s="1">
        <f>(Sheet1!D24 - Sheet1!$B$34) / (Sheet1!$B$35 - Sheet1!$B$34)</f>
        <v>0.1669688147</v>
      </c>
      <c r="E24" s="1">
        <f>(Sheet1!E24 - Sheet1!$B$34) / (Sheet1!$B$35 - Sheet1!$B$34)</f>
        <v>0.1007343112</v>
      </c>
      <c r="F24" s="1">
        <f>(Sheet1!F24 - Sheet1!$B$34) / (Sheet1!$B$35 - Sheet1!$B$34)</f>
        <v>0.0877144793</v>
      </c>
      <c r="G24" s="1">
        <f>(Sheet1!G24 - Sheet1!$B$34) / (Sheet1!$B$35 - Sheet1!$B$34)</f>
        <v>0.09157831127</v>
      </c>
      <c r="H24" s="1">
        <f>(Sheet1!H24 - Sheet1!$B$34) / (Sheet1!$B$35 - Sheet1!$B$34)</f>
        <v>0</v>
      </c>
      <c r="I24" s="1">
        <f>(Sheet1!I24 - Sheet1!$B$34) / (Sheet1!$B$35 - Sheet1!$B$34)</f>
        <v>0.2038858064</v>
      </c>
      <c r="J24" s="1">
        <f>(Sheet1!J24 - Sheet1!$B$34) / (Sheet1!$B$35 - Sheet1!$B$34)</f>
        <v>0.1956087824</v>
      </c>
      <c r="K24" s="1">
        <f>(Sheet1!K24 - Sheet1!$B$34) / (Sheet1!$B$35 - Sheet1!$B$34)</f>
        <v>0.2181508543</v>
      </c>
      <c r="L24" s="1">
        <f>(Sheet1!L24 - Sheet1!$B$34) / (Sheet1!$B$35 - Sheet1!$B$34)</f>
        <v>0.2349795821</v>
      </c>
      <c r="M24" s="1">
        <f>(Sheet1!M24 - Sheet1!$B$34) / (Sheet1!$B$35 - Sheet1!$B$34)</f>
        <v>0.2351077661</v>
      </c>
      <c r="N24" s="1">
        <f>(Sheet1!N24 - Sheet1!$B$34) / (Sheet1!$B$35 - Sheet1!$B$34)</f>
        <v>0.2121078943</v>
      </c>
      <c r="O24" s="10"/>
      <c r="P24" s="11">
        <f>IFERROR(__xludf.DUMMYFUNCTION("""COMPUTED_VALUE"""),0.18876009448991923)</f>
        <v>0.1887600945</v>
      </c>
    </row>
    <row r="25">
      <c r="A25" s="3" t="s">
        <v>23</v>
      </c>
      <c r="B25" s="1">
        <f>(Sheet1!B25 - Sheet1!$B$34) / (Sheet1!$B$35 - Sheet1!$B$34)</f>
        <v>0.1604680547</v>
      </c>
      <c r="C25" s="1">
        <f>(Sheet1!C25 - Sheet1!$B$34) / (Sheet1!$B$35 - Sheet1!$B$34)</f>
        <v>0.1488216228</v>
      </c>
      <c r="D25" s="1">
        <f>(Sheet1!D25 - Sheet1!$B$34) / (Sheet1!$B$35 - Sheet1!$B$34)</f>
        <v>0.1685802707</v>
      </c>
      <c r="E25" s="1">
        <f>(Sheet1!E25 - Sheet1!$B$34) / (Sheet1!$B$35 - Sheet1!$B$34)</f>
        <v>0.7635737699</v>
      </c>
      <c r="F25" s="1">
        <f>(Sheet1!F25 - Sheet1!$B$34) / (Sheet1!$B$35 - Sheet1!$B$34)</f>
        <v>0.2722445018</v>
      </c>
      <c r="G25" s="1">
        <f>(Sheet1!G25 - Sheet1!$B$34) / (Sheet1!$B$35 - Sheet1!$B$34)</f>
        <v>0.1771685986</v>
      </c>
      <c r="H25" s="1">
        <f>(Sheet1!H25 - Sheet1!$B$34) / (Sheet1!$B$35 - Sheet1!$B$34)</f>
        <v>0.3161200535</v>
      </c>
      <c r="I25" s="1">
        <f>(Sheet1!I25 - Sheet1!$B$34) / (Sheet1!$B$35 - Sheet1!$B$34)</f>
        <v>0.3900272849</v>
      </c>
      <c r="J25" s="1">
        <f>(Sheet1!J25 - Sheet1!$B$34) / (Sheet1!$B$35 - Sheet1!$B$34)</f>
        <v>0.07691039938</v>
      </c>
      <c r="K25" s="1">
        <f>(Sheet1!K25 - Sheet1!$B$34) / (Sheet1!$B$35 - Sheet1!$B$34)</f>
        <v>0.1427786629</v>
      </c>
      <c r="L25" s="1">
        <f>(Sheet1!L25 - Sheet1!$B$34) / (Sheet1!$B$35 - Sheet1!$B$34)</f>
        <v>0.07810067938</v>
      </c>
      <c r="M25" s="1">
        <f>(Sheet1!M25 - Sheet1!$B$34) / (Sheet1!$B$35 - Sheet1!$B$34)</f>
        <v>0.2198904942</v>
      </c>
      <c r="N25" s="1">
        <f>(Sheet1!N25 - Sheet1!$B$34) / (Sheet1!$B$35 - Sheet1!$B$34)</f>
        <v>0.01895291985</v>
      </c>
      <c r="O25" s="10"/>
      <c r="P25" s="11">
        <f>IFERROR(__xludf.DUMMYFUNCTION("""COMPUTED_VALUE"""),0.1820762145433903)</f>
        <v>0.1820762145</v>
      </c>
    </row>
    <row r="26">
      <c r="A26" s="3" t="s">
        <v>24</v>
      </c>
      <c r="B26" s="1">
        <f>(Sheet1!B26 - Sheet1!$B$34) / (Sheet1!$B$35 - Sheet1!$B$34)</f>
        <v>0.4011792928</v>
      </c>
      <c r="C26" s="1">
        <f>(Sheet1!C26 - Sheet1!$B$34) / (Sheet1!$B$35 - Sheet1!$B$34)</f>
        <v>0.3859620209</v>
      </c>
      <c r="D26" s="1">
        <f>(Sheet1!D26 - Sheet1!$B$34) / (Sheet1!$B$35 - Sheet1!$B$34)</f>
        <v>0.3663864931</v>
      </c>
      <c r="E26" s="1">
        <f>(Sheet1!E26 - Sheet1!$B$34) / (Sheet1!$B$35 - Sheet1!$B$34)</f>
        <v>0.3451995092</v>
      </c>
      <c r="F26" s="1">
        <f>(Sheet1!F26 - Sheet1!$B$34) / (Sheet1!$B$35 - Sheet1!$B$34)</f>
        <v>0.3142339175</v>
      </c>
      <c r="G26" s="1">
        <f>(Sheet1!G26 - Sheet1!$B$34) / (Sheet1!$B$35 - Sheet1!$B$34)</f>
        <v>0.3132816935</v>
      </c>
      <c r="H26" s="1">
        <f>(Sheet1!H26 - Sheet1!$B$34) / (Sheet1!$B$35 - Sheet1!$B$34)</f>
        <v>0.3075317255</v>
      </c>
      <c r="I26" s="1">
        <f>(Sheet1!I26 - Sheet1!$B$34) / (Sheet1!$B$35 - Sheet1!$B$34)</f>
        <v>0.4011792928</v>
      </c>
      <c r="J26" s="1">
        <f>(Sheet1!J26 - Sheet1!$B$34) / (Sheet1!$B$35 - Sheet1!$B$34)</f>
        <v>0.3997509568</v>
      </c>
      <c r="K26" s="1">
        <f>(Sheet1!K26 - Sheet1!$B$34) / (Sheet1!$B$35 - Sheet1!$B$34)</f>
        <v>0.381017781</v>
      </c>
      <c r="L26" s="1">
        <f>(Sheet1!L26 - Sheet1!$B$34) / (Sheet1!$B$35 - Sheet1!$B$34)</f>
        <v>0.3410426853</v>
      </c>
      <c r="M26" s="1">
        <f>(Sheet1!M26 - Sheet1!$B$34) / (Sheet1!$B$35 - Sheet1!$B$34)</f>
        <v>0.3343038693</v>
      </c>
      <c r="N26" s="1">
        <f>(Sheet1!N26 - Sheet1!$B$34) / (Sheet1!$B$35 - Sheet1!$B$34)</f>
        <v>0.2854474537</v>
      </c>
      <c r="O26" s="10"/>
      <c r="P26" s="11">
        <f>IFERROR(__xludf.DUMMYFUNCTION("""COMPUTED_VALUE"""),0.17872511857019904)</f>
        <v>0.1787251186</v>
      </c>
    </row>
    <row r="27">
      <c r="A27" s="3" t="s">
        <v>25</v>
      </c>
      <c r="B27" s="1">
        <f>(Sheet1!B27 - Sheet1!$B$34) / (Sheet1!$B$35 - Sheet1!$B$34)</f>
        <v>0.2431833581</v>
      </c>
      <c r="C27" s="1">
        <f>(Sheet1!C27 - Sheet1!$B$34) / (Sheet1!$B$35 - Sheet1!$B$34)</f>
        <v>0.2041238624</v>
      </c>
      <c r="D27" s="1">
        <f>(Sheet1!D27 - Sheet1!$B$34) / (Sheet1!$B$35 - Sheet1!$B$34)</f>
        <v>0.255727078</v>
      </c>
      <c r="E27" s="1">
        <f>(Sheet1!E27 - Sheet1!$B$34) / (Sheet1!$B$35 - Sheet1!$B$34)</f>
        <v>0.2704682378</v>
      </c>
      <c r="F27" s="1">
        <f>(Sheet1!F27 - Sheet1!$B$34) / (Sheet1!$B$35 - Sheet1!$B$34)</f>
        <v>0.247358494</v>
      </c>
      <c r="G27" s="1">
        <f>(Sheet1!G27 - Sheet1!$B$34) / (Sheet1!$B$35 - Sheet1!$B$34)</f>
        <v>0.2394110861</v>
      </c>
      <c r="H27" s="1">
        <f>(Sheet1!H27 - Sheet1!$B$34) / (Sheet1!$B$35 - Sheet1!$B$34)</f>
        <v>0.2428354301</v>
      </c>
      <c r="I27" s="1">
        <f>(Sheet1!I27 - Sheet1!$B$34) / (Sheet1!$B$35 - Sheet1!$B$34)</f>
        <v>0.2335695581</v>
      </c>
      <c r="J27" s="1">
        <f>(Sheet1!J27 - Sheet1!$B$34) / (Sheet1!$B$35 - Sheet1!$B$34)</f>
        <v>0.2133897343</v>
      </c>
      <c r="K27" s="1">
        <f>(Sheet1!K27 - Sheet1!$B$34) / (Sheet1!$B$35 - Sheet1!$B$34)</f>
        <v>0.2171803183</v>
      </c>
      <c r="L27" s="1">
        <f>(Sheet1!L27 - Sheet1!$B$34) / (Sheet1!$B$35 - Sheet1!$B$34)</f>
        <v>0.2044168544</v>
      </c>
      <c r="M27" s="1">
        <f>(Sheet1!M27 - Sheet1!$B$34) / (Sheet1!$B$35 - Sheet1!$B$34)</f>
        <v>0.3876101009</v>
      </c>
      <c r="N27" s="1">
        <f>(Sheet1!N27 - Sheet1!$B$34) / (Sheet1!$B$35 - Sheet1!$B$34)</f>
        <v>0.3324909813</v>
      </c>
      <c r="O27" s="10"/>
      <c r="P27" s="11">
        <f>IFERROR(__xludf.DUMMYFUNCTION("""COMPUTED_VALUE"""),0.3681078210551374)</f>
        <v>0.3681078211</v>
      </c>
    </row>
    <row r="28">
      <c r="A28" s="3" t="s">
        <v>26</v>
      </c>
      <c r="B28" s="1">
        <f>(Sheet1!B28 - Sheet1!$B$34) / (Sheet1!$B$35 - Sheet1!$B$34)</f>
        <v>0.2243219982</v>
      </c>
      <c r="C28" s="1">
        <f>(Sheet1!C28 - Sheet1!$B$34) / (Sheet1!$B$35 - Sheet1!$B$34)</f>
        <v>0.2275632222</v>
      </c>
      <c r="D28" s="1">
        <f>(Sheet1!D28 - Sheet1!$B$34) / (Sheet1!$B$35 - Sheet1!$B$34)</f>
        <v>0.2224907982</v>
      </c>
      <c r="E28" s="1">
        <f>(Sheet1!E28 - Sheet1!$B$34) / (Sheet1!$B$35 - Sheet1!$B$34)</f>
        <v>0.2002966544</v>
      </c>
      <c r="F28" s="1">
        <f>(Sheet1!F28 - Sheet1!$B$34) / (Sheet1!$B$35 - Sheet1!$B$34)</f>
        <v>0.1755205186</v>
      </c>
      <c r="G28" s="1">
        <f>(Sheet1!G28 - Sheet1!$B$34) / (Sheet1!$B$35 - Sheet1!$B$34)</f>
        <v>0.1864161585</v>
      </c>
      <c r="H28" s="1">
        <f>(Sheet1!H28 - Sheet1!$B$34) / (Sheet1!$B$35 - Sheet1!$B$34)</f>
        <v>0.1844201505</v>
      </c>
      <c r="I28" s="1">
        <f>(Sheet1!I28 - Sheet1!$B$34) / (Sheet1!$B$35 - Sheet1!$B$34)</f>
        <v>0.1787983666</v>
      </c>
      <c r="J28" s="1">
        <f>(Sheet1!J28 - Sheet1!$B$34) / (Sheet1!$B$35 - Sheet1!$B$34)</f>
        <v>0.1704114706</v>
      </c>
      <c r="K28" s="1">
        <f>(Sheet1!K28 - Sheet1!$B$34) / (Sheet1!$B$35 - Sheet1!$B$34)</f>
        <v>0.1693676866</v>
      </c>
      <c r="L28" s="1">
        <f>(Sheet1!L28 - Sheet1!$B$34) / (Sheet1!$B$35 - Sheet1!$B$34)</f>
        <v>0.1722792946</v>
      </c>
      <c r="M28" s="1">
        <f>(Sheet1!M28 - Sheet1!$B$34) / (Sheet1!$B$35 - Sheet1!$B$34)</f>
        <v>0.1706129026</v>
      </c>
      <c r="N28" s="1">
        <f>(Sheet1!N28 - Sheet1!$B$34) / (Sheet1!$B$35 - Sheet1!$B$34)</f>
        <v>0.1704114706</v>
      </c>
      <c r="O28" s="10"/>
      <c r="P28" s="11">
        <f>IFERROR(__xludf.DUMMYFUNCTION("""COMPUTED_VALUE"""),0.3205881814352945)</f>
        <v>0.3205881814</v>
      </c>
    </row>
    <row r="29">
      <c r="A29" s="3" t="s">
        <v>27</v>
      </c>
      <c r="B29" s="1">
        <f>(Sheet1!B29 - Sheet1!$B$34) / (Sheet1!$B$35 - Sheet1!$B$34)</f>
        <v>0.2351260781</v>
      </c>
      <c r="C29" s="1">
        <f>(Sheet1!C29 - Sheet1!$B$34) / (Sheet1!$B$35 - Sheet1!$B$34)</f>
        <v>0.2320313501</v>
      </c>
      <c r="D29" s="1">
        <f>(Sheet1!D29 - Sheet1!$B$34) / (Sheet1!$B$35 - Sheet1!$B$34)</f>
        <v>0.1783588786</v>
      </c>
      <c r="E29" s="1">
        <f>(Sheet1!E29 - Sheet1!$B$34) / (Sheet1!$B$35 - Sheet1!$B$34)</f>
        <v>0.1609075427</v>
      </c>
      <c r="F29" s="1">
        <f>(Sheet1!F29 - Sheet1!$B$34) / (Sheet1!$B$35 - Sheet1!$B$34)</f>
        <v>0.1479243348</v>
      </c>
      <c r="G29" s="1">
        <f>(Sheet1!G29 - Sheet1!$B$34) / (Sheet1!$B$35 - Sheet1!$B$34)</f>
        <v>0.1619147027</v>
      </c>
      <c r="H29" s="1">
        <f>(Sheet1!H29 - Sheet1!$B$34) / (Sheet1!$B$35 - Sheet1!$B$34)</f>
        <v>0.1607976707</v>
      </c>
      <c r="I29" s="1">
        <f>(Sheet1!I29 - Sheet1!$B$34) / (Sheet1!$B$35 - Sheet1!$B$34)</f>
        <v>0.1602483107</v>
      </c>
      <c r="J29" s="1">
        <f>(Sheet1!J29 - Sheet1!$B$34) / (Sheet1!$B$35 - Sheet1!$B$34)</f>
        <v>0.1601201267</v>
      </c>
      <c r="K29" s="1">
        <f>(Sheet1!K29 - Sheet1!$B$34) / (Sheet1!$B$35 - Sheet1!$B$34)</f>
        <v>0.1584720467</v>
      </c>
      <c r="L29" s="1">
        <f>(Sheet1!L29 - Sheet1!$B$34) / (Sheet1!$B$35 - Sheet1!$B$34)</f>
        <v>0.2267208702</v>
      </c>
      <c r="M29" s="1">
        <f>(Sheet1!M29 - Sheet1!$B$34) / (Sheet1!$B$35 - Sheet1!$B$34)</f>
        <v>0.1452324708</v>
      </c>
      <c r="N29" s="1">
        <f>(Sheet1!N29 - Sheet1!$B$34) / (Sheet1!$B$35 - Sheet1!$B$34)</f>
        <v>0.1398853669</v>
      </c>
      <c r="O29" s="10"/>
      <c r="P29" s="11">
        <f>IFERROR(__xludf.DUMMYFUNCTION("""COMPUTED_VALUE"""),0.31112087751103296)</f>
        <v>0.3111208775</v>
      </c>
    </row>
    <row r="30">
      <c r="A30" s="3" t="s">
        <v>28</v>
      </c>
      <c r="B30" s="1">
        <f>(Sheet1!B30 - Sheet1!$B$34) / (Sheet1!$B$35 - Sheet1!$B$34)</f>
        <v>0.5310846198</v>
      </c>
      <c r="C30" s="1">
        <f>(Sheet1!C30 - Sheet1!$B$34) / (Sheet1!$B$35 - Sheet1!$B$34)</f>
        <v>0.6001941072</v>
      </c>
      <c r="D30" s="1">
        <f>(Sheet1!D30 - Sheet1!$B$34) / (Sheet1!$B$35 - Sheet1!$B$34)</f>
        <v>0.4768994122</v>
      </c>
      <c r="E30" s="1">
        <f>(Sheet1!E30 - Sheet1!$B$34) / (Sheet1!$B$35 - Sheet1!$B$34)</f>
        <v>0.621545899</v>
      </c>
      <c r="F30" s="1">
        <f>(Sheet1!F30 - Sheet1!$B$34) / (Sheet1!$B$35 - Sheet1!$B$34)</f>
        <v>0.50215166</v>
      </c>
      <c r="G30" s="1">
        <f>(Sheet1!G30 - Sheet1!$B$34) / (Sheet1!$B$35 - Sheet1!$B$34)</f>
        <v>0.5207566518</v>
      </c>
      <c r="H30" s="1">
        <f>(Sheet1!H30 - Sheet1!$B$34) / (Sheet1!$B$35 - Sheet1!$B$34)</f>
        <v>0.3092713655</v>
      </c>
      <c r="I30" s="1">
        <f>(Sheet1!I30 - Sheet1!$B$34) / (Sheet1!$B$35 - Sheet1!$B$34)</f>
        <v>0.3036312696</v>
      </c>
      <c r="J30" s="1">
        <f>(Sheet1!J30 - Sheet1!$B$34) / (Sheet1!$B$35 - Sheet1!$B$34)</f>
        <v>0.3365196213</v>
      </c>
      <c r="K30" s="1">
        <f>(Sheet1!K30 - Sheet1!$B$34) / (Sheet1!$B$35 - Sheet1!$B$34)</f>
        <v>0.3207163654</v>
      </c>
      <c r="L30" s="1">
        <f>(Sheet1!L30 - Sheet1!$B$34) / (Sheet1!$B$35 - Sheet1!$B$34)</f>
        <v>0.2954274936</v>
      </c>
      <c r="M30" s="1">
        <f>(Sheet1!M30 - Sheet1!$B$34) / (Sheet1!$B$35 - Sheet1!$B$34)</f>
        <v>0.3027156696</v>
      </c>
      <c r="N30" s="1">
        <f>(Sheet1!N30 - Sheet1!$B$34) / (Sheet1!$B$35 - Sheet1!$B$34)</f>
        <v>0.3343404933</v>
      </c>
      <c r="O30" s="10"/>
      <c r="P30" s="11">
        <f>IFERROR(__xludf.DUMMYFUNCTION("""COMPUTED_VALUE"""),0.2196158142430735)</f>
        <v>0.2196158142</v>
      </c>
    </row>
    <row r="31">
      <c r="P31" s="1">
        <f>IFERROR(__xludf.DUMMYFUNCTION("""COMPUTED_VALUE"""),0.23952095808383234)</f>
        <v>0.2395209581</v>
      </c>
    </row>
    <row r="32">
      <c r="P32" s="1">
        <f>IFERROR(__xludf.DUMMYFUNCTION("""COMPUTED_VALUE"""),0.19974729440202163)</f>
        <v>0.1997472944</v>
      </c>
    </row>
    <row r="33">
      <c r="P33" s="1">
        <f>IFERROR(__xludf.DUMMYFUNCTION("""COMPUTED_VALUE"""),0.16790272665677816)</f>
        <v>0.1679027267</v>
      </c>
    </row>
    <row r="34">
      <c r="A34" s="6" t="s">
        <v>29</v>
      </c>
      <c r="B34" s="1">
        <f>MIN(B2:N30)</f>
        <v>0</v>
      </c>
      <c r="P34" s="1">
        <f>IFERROR(__xludf.DUMMYFUNCTION("""COMPUTED_VALUE"""),0.19114065447087475)</f>
        <v>0.1911406545</v>
      </c>
    </row>
    <row r="35">
      <c r="A35" s="6" t="s">
        <v>30</v>
      </c>
      <c r="B35" s="1">
        <f>MAX(B2:N30)</f>
        <v>1</v>
      </c>
      <c r="P35" s="1">
        <f>IFERROR(__xludf.DUMMYFUNCTION("""COMPUTED_VALUE"""),0.1588565987291472)</f>
        <v>0.1588565987</v>
      </c>
    </row>
    <row r="36">
      <c r="P36" s="1">
        <f>IFERROR(__xludf.DUMMYFUNCTION("""COMPUTED_VALUE"""),0.18562874251497005)</f>
        <v>0.1856287425</v>
      </c>
    </row>
    <row r="37">
      <c r="P37" s="1">
        <f>IFERROR(__xludf.DUMMYFUNCTION("""COMPUTED_VALUE"""),0.21941438224468493)</f>
        <v>0.2194143822</v>
      </c>
    </row>
    <row r="38">
      <c r="P38" s="1">
        <f>IFERROR(__xludf.DUMMYFUNCTION("""COMPUTED_VALUE"""),0.21263894229888847)</f>
        <v>0.2126389423</v>
      </c>
    </row>
    <row r="39">
      <c r="P39" s="1">
        <f>IFERROR(__xludf.DUMMYFUNCTION("""COMPUTED_VALUE"""),0.4011976047904191)</f>
        <v>0.4011976048</v>
      </c>
    </row>
    <row r="40">
      <c r="P40" s="1">
        <f>IFERROR(__xludf.DUMMYFUNCTION("""COMPUTED_VALUE"""),0.3754143089966855)</f>
        <v>0.375414309</v>
      </c>
    </row>
    <row r="41">
      <c r="P41" s="1">
        <f>IFERROR(__xludf.DUMMYFUNCTION("""COMPUTED_VALUE"""),0.17321320661429435)</f>
        <v>0.1732132066</v>
      </c>
    </row>
    <row r="42">
      <c r="P42" s="1">
        <f>IFERROR(__xludf.DUMMYFUNCTION("""COMPUTED_VALUE"""),0.16881832664945337)</f>
        <v>0.1688183266</v>
      </c>
    </row>
    <row r="43">
      <c r="P43" s="1">
        <f>IFERROR(__xludf.DUMMYFUNCTION("""COMPUTED_VALUE"""),0.1638740866890073)</f>
        <v>0.1638740867</v>
      </c>
    </row>
    <row r="44">
      <c r="P44" s="1">
        <f>IFERROR(__xludf.DUMMYFUNCTION("""COMPUTED_VALUE"""),0.2041604863667161)</f>
        <v>0.2041604864</v>
      </c>
    </row>
    <row r="45">
      <c r="P45" s="1">
        <f>IFERROR(__xludf.DUMMYFUNCTION("""COMPUTED_VALUE"""),0.17596000659231995)</f>
        <v>0.1759600066</v>
      </c>
    </row>
    <row r="46">
      <c r="P46" s="1">
        <f>IFERROR(__xludf.DUMMYFUNCTION("""COMPUTED_VALUE"""),0.2321778461425772)</f>
        <v>0.2321778461</v>
      </c>
    </row>
    <row r="47">
      <c r="P47" s="1">
        <f>IFERROR(__xludf.DUMMYFUNCTION("""COMPUTED_VALUE"""),0.19079272647365816)</f>
        <v>0.1907927265</v>
      </c>
    </row>
    <row r="48">
      <c r="P48" s="1">
        <f>IFERROR(__xludf.DUMMYFUNCTION("""COMPUTED_VALUE"""),0.17174824662601404)</f>
        <v>0.1717482466</v>
      </c>
    </row>
    <row r="49">
      <c r="P49" s="1">
        <f>IFERROR(__xludf.DUMMYFUNCTION("""COMPUTED_VALUE"""),0.16350784669193724)</f>
        <v>0.1635078467</v>
      </c>
    </row>
    <row r="50">
      <c r="P50" s="1">
        <f>IFERROR(__xludf.DUMMYFUNCTION("""COMPUTED_VALUE"""),0.17431192660550457)</f>
        <v>0.1743119266</v>
      </c>
    </row>
    <row r="51">
      <c r="P51" s="1">
        <f>IFERROR(__xludf.DUMMYFUNCTION("""COMPUTED_VALUE"""),0.16991704664066362)</f>
        <v>0.1699170466</v>
      </c>
    </row>
    <row r="52">
      <c r="P52" s="1">
        <f>IFERROR(__xludf.DUMMYFUNCTION("""COMPUTED_VALUE"""),0.16497280668021755)</f>
        <v>0.1649728067</v>
      </c>
    </row>
    <row r="53">
      <c r="P53" s="1">
        <f>IFERROR(__xludf.DUMMYFUNCTION("""COMPUTED_VALUE"""),0.16149352670805178)</f>
        <v>0.1614935267</v>
      </c>
    </row>
    <row r="54">
      <c r="P54" s="1">
        <f>IFERROR(__xludf.DUMMYFUNCTION("""COMPUTED_VALUE"""),0.647933490816532)</f>
        <v>0.6479334908</v>
      </c>
    </row>
    <row r="55">
      <c r="P55" s="1">
        <f>IFERROR(__xludf.DUMMYFUNCTION("""COMPUTED_VALUE"""),0.5875771392993828)</f>
        <v>0.5875771393</v>
      </c>
    </row>
    <row r="56">
      <c r="P56" s="1">
        <f>IFERROR(__xludf.DUMMYFUNCTION("""COMPUTED_VALUE"""),0.5025911479792707)</f>
        <v>0.502591148</v>
      </c>
    </row>
    <row r="57">
      <c r="P57" s="1">
        <f>IFERROR(__xludf.DUMMYFUNCTION("""COMPUTED_VALUE"""),0.3674852130601183)</f>
        <v>0.3674852131</v>
      </c>
    </row>
    <row r="58">
      <c r="P58" s="1">
        <f>IFERROR(__xludf.DUMMYFUNCTION("""COMPUTED_VALUE"""),0.28912816568697464)</f>
        <v>0.2891281657</v>
      </c>
    </row>
    <row r="59">
      <c r="P59" s="1">
        <f>IFERROR(__xludf.DUMMYFUNCTION("""COMPUTED_VALUE"""),0.31855554945155556)</f>
        <v>0.3185555495</v>
      </c>
    </row>
    <row r="60">
      <c r="P60" s="1">
        <f>IFERROR(__xludf.DUMMYFUNCTION("""COMPUTED_VALUE"""),0.2813455657492354)</f>
        <v>0.2813455657</v>
      </c>
    </row>
    <row r="61">
      <c r="P61" s="1">
        <f>IFERROR(__xludf.DUMMYFUNCTION("""COMPUTED_VALUE"""),0.24160852606713176)</f>
        <v>0.2416085261</v>
      </c>
    </row>
    <row r="62">
      <c r="P62" s="1">
        <f>IFERROR(__xludf.DUMMYFUNCTION("""COMPUTED_VALUE"""),0.21710707026314344)</f>
        <v>0.2171070703</v>
      </c>
    </row>
    <row r="63">
      <c r="P63" s="1">
        <f>IFERROR(__xludf.DUMMYFUNCTION("""COMPUTED_VALUE"""),0.5928326832573385)</f>
        <v>0.5928326833</v>
      </c>
    </row>
    <row r="64">
      <c r="P64" s="1">
        <f>IFERROR(__xludf.DUMMYFUNCTION("""COMPUTED_VALUE"""),0.4808548041531615)</f>
        <v>0.4808548042</v>
      </c>
    </row>
    <row r="65">
      <c r="P65" s="1">
        <f>IFERROR(__xludf.DUMMYFUNCTION("""COMPUTED_VALUE"""),0.41850244465198044)</f>
        <v>0.4185024447</v>
      </c>
    </row>
    <row r="66">
      <c r="P66" s="1">
        <f>IFERROR(__xludf.DUMMYFUNCTION("""COMPUTED_VALUE"""),0.4018568367851453)</f>
        <v>0.4018568368</v>
      </c>
    </row>
    <row r="67">
      <c r="P67" s="1">
        <f>IFERROR(__xludf.DUMMYFUNCTION("""COMPUTED_VALUE"""),0.16878170264974637)</f>
        <v>0.1687817026</v>
      </c>
    </row>
    <row r="68">
      <c r="P68" s="1">
        <f>IFERROR(__xludf.DUMMYFUNCTION("""COMPUTED_VALUE"""),0.16543060667655515)</f>
        <v>0.1654306067</v>
      </c>
    </row>
    <row r="69">
      <c r="P69" s="1">
        <f>IFERROR(__xludf.DUMMYFUNCTION("""COMPUTED_VALUE"""),0.1629401746964786)</f>
        <v>0.1629401747</v>
      </c>
    </row>
    <row r="70">
      <c r="P70" s="1">
        <f>IFERROR(__xludf.DUMMYFUNCTION("""COMPUTED_VALUE"""),0.17348788661209688)</f>
        <v>0.1734878866</v>
      </c>
    </row>
    <row r="71">
      <c r="P71" s="1">
        <f>IFERROR(__xludf.DUMMYFUNCTION("""COMPUTED_VALUE"""),0.1712355106301159)</f>
        <v>0.1712355106</v>
      </c>
    </row>
    <row r="72">
      <c r="P72" s="1">
        <f>IFERROR(__xludf.DUMMYFUNCTION("""COMPUTED_VALUE"""),0.16916625464666996)</f>
        <v>0.1691662546</v>
      </c>
    </row>
    <row r="73">
      <c r="P73" s="1">
        <f>IFERROR(__xludf.DUMMYFUNCTION("""COMPUTED_VALUE"""),0.16962405464300753)</f>
        <v>0.1696240546</v>
      </c>
    </row>
    <row r="74">
      <c r="P74" s="1">
        <f>IFERROR(__xludf.DUMMYFUNCTION("""COMPUTED_VALUE"""),0.1661264626709883)</f>
        <v>0.1661264627</v>
      </c>
    </row>
    <row r="75">
      <c r="P75" s="1">
        <f>IFERROR(__xludf.DUMMYFUNCTION("""COMPUTED_VALUE"""),0.16632789466937684)</f>
        <v>0.1663278947</v>
      </c>
    </row>
    <row r="76">
      <c r="P76" s="1">
        <f>IFERROR(__xludf.DUMMYFUNCTION("""COMPUTED_VALUE"""),0.1656503506747972)</f>
        <v>0.1656503507</v>
      </c>
    </row>
    <row r="77">
      <c r="P77" s="1">
        <f>IFERROR(__xludf.DUMMYFUNCTION("""COMPUTED_VALUE"""),0.42948964456408284)</f>
        <v>0.4294896446</v>
      </c>
    </row>
    <row r="78">
      <c r="P78" s="1">
        <f>IFERROR(__xludf.DUMMYFUNCTION("""COMPUTED_VALUE"""),0.37319855701441157)</f>
        <v>0.373198557</v>
      </c>
    </row>
    <row r="79">
      <c r="P79" s="1">
        <f>IFERROR(__xludf.DUMMYFUNCTION("""COMPUTED_VALUE"""),0.3639326850885385)</f>
        <v>0.3639326851</v>
      </c>
    </row>
    <row r="80">
      <c r="P80" s="1">
        <f>IFERROR(__xludf.DUMMYFUNCTION("""COMPUTED_VALUE"""),0.25807101393543186)</f>
        <v>0.2580710139</v>
      </c>
    </row>
    <row r="81">
      <c r="P81" s="1">
        <f>IFERROR(__xludf.DUMMYFUNCTION("""COMPUTED_VALUE"""),0.1788899265688806)</f>
        <v>0.1788899266</v>
      </c>
    </row>
    <row r="82">
      <c r="P82" s="1">
        <f>IFERROR(__xludf.DUMMYFUNCTION("""COMPUTED_VALUE"""),0.1821311505429508)</f>
        <v>0.1821311505</v>
      </c>
    </row>
    <row r="83">
      <c r="P83" s="1">
        <f>IFERROR(__xludf.DUMMYFUNCTION("""COMPUTED_VALUE"""),0.169422622644619)</f>
        <v>0.1694226226</v>
      </c>
    </row>
    <row r="84">
      <c r="P84" s="1">
        <f>IFERROR(__xludf.DUMMYFUNCTION("""COMPUTED_VALUE"""),0.1048178871614569)</f>
        <v>0.1048178872</v>
      </c>
    </row>
    <row r="85">
      <c r="P85" s="1">
        <f>IFERROR(__xludf.DUMMYFUNCTION("""COMPUTED_VALUE"""),0.0393341756853266)</f>
        <v>0.03933417569</v>
      </c>
    </row>
    <row r="86">
      <c r="P86" s="1">
        <f>IFERROR(__xludf.DUMMYFUNCTION("""COMPUTED_VALUE"""),0.15720851874233183)</f>
        <v>0.1572085187</v>
      </c>
    </row>
    <row r="87">
      <c r="P87" s="1">
        <f>IFERROR(__xludf.DUMMYFUNCTION("""COMPUTED_VALUE"""),0.16048636671610905)</f>
        <v>0.1604863667</v>
      </c>
    </row>
    <row r="88">
      <c r="P88" s="1">
        <f>IFERROR(__xludf.DUMMYFUNCTION("""COMPUTED_VALUE"""),0.17286527861707776)</f>
        <v>0.1728652786</v>
      </c>
    </row>
    <row r="89">
      <c r="P89" s="1">
        <f>IFERROR(__xludf.DUMMYFUNCTION("""COMPUTED_VALUE"""),0.18328480653372153)</f>
        <v>0.1832848065</v>
      </c>
    </row>
    <row r="90">
      <c r="P90" s="1">
        <f>IFERROR(__xludf.DUMMYFUNCTION("""COMPUTED_VALUE"""),0.1766192385870461)</f>
        <v>0.1766192386</v>
      </c>
    </row>
    <row r="91">
      <c r="P91" s="1">
        <f>IFERROR(__xludf.DUMMYFUNCTION("""COMPUTED_VALUE"""),0.16828727865370177)</f>
        <v>0.1682872787</v>
      </c>
    </row>
    <row r="92">
      <c r="P92" s="1">
        <f>IFERROR(__xludf.DUMMYFUNCTION("""COMPUTED_VALUE"""),0.16643776666849786)</f>
        <v>0.1664377667</v>
      </c>
    </row>
    <row r="93">
      <c r="P93" s="1">
        <f>IFERROR(__xludf.DUMMYFUNCTION("""COMPUTED_VALUE"""),0.2728121738175026)</f>
        <v>0.2728121738</v>
      </c>
    </row>
    <row r="94">
      <c r="P94" s="1">
        <f>IFERROR(__xludf.DUMMYFUNCTION("""COMPUTED_VALUE"""),0.2614037979087696)</f>
        <v>0.2614037979</v>
      </c>
    </row>
    <row r="95">
      <c r="P95" s="1">
        <f>IFERROR(__xludf.DUMMYFUNCTION("""COMPUTED_VALUE"""),0.2557820139537439)</f>
        <v>0.255782014</v>
      </c>
    </row>
    <row r="96">
      <c r="P96" s="1">
        <f>IFERROR(__xludf.DUMMYFUNCTION("""COMPUTED_VALUE"""),0.24658939002728486)</f>
        <v>0.24658939</v>
      </c>
    </row>
    <row r="97">
      <c r="P97" s="1">
        <f>IFERROR(__xludf.DUMMYFUNCTION("""COMPUTED_VALUE"""),0.2306579501547364)</f>
        <v>0.2306579502</v>
      </c>
    </row>
    <row r="98">
      <c r="P98" s="1">
        <f>IFERROR(__xludf.DUMMYFUNCTION("""COMPUTED_VALUE"""),0.23007196615942427)</f>
        <v>0.2300719662</v>
      </c>
    </row>
    <row r="99">
      <c r="P99" s="1">
        <f>IFERROR(__xludf.DUMMYFUNCTION("""COMPUTED_VALUE"""),0.29013532567891737)</f>
        <v>0.2901353257</v>
      </c>
    </row>
    <row r="100">
      <c r="P100" s="1">
        <f>IFERROR(__xludf.DUMMYFUNCTION("""COMPUTED_VALUE"""),0.2693328938453368)</f>
        <v>0.2693328938</v>
      </c>
    </row>
    <row r="101">
      <c r="P101" s="1">
        <f>IFERROR(__xludf.DUMMYFUNCTION("""COMPUTED_VALUE"""),0.2658169898734641)</f>
        <v>0.2658169899</v>
      </c>
    </row>
    <row r="102">
      <c r="P102" s="1">
        <f>IFERROR(__xludf.DUMMYFUNCTION("""COMPUTED_VALUE"""),0.22813089417495283)</f>
        <v>0.2281308942</v>
      </c>
    </row>
    <row r="103">
      <c r="P103" s="1">
        <f>IFERROR(__xludf.DUMMYFUNCTION("""COMPUTED_VALUE"""),0.2502884139976927)</f>
        <v>0.250288414</v>
      </c>
    </row>
    <row r="104">
      <c r="P104" s="1">
        <f>IFERROR(__xludf.DUMMYFUNCTION("""COMPUTED_VALUE"""),0.3237927814096577)</f>
        <v>0.3237927814</v>
      </c>
    </row>
    <row r="105">
      <c r="P105" s="1">
        <f>IFERROR(__xludf.DUMMYFUNCTION("""COMPUTED_VALUE"""),0.26019520591843837)</f>
        <v>0.2601952059</v>
      </c>
    </row>
    <row r="106">
      <c r="P106" s="1">
        <f>IFERROR(__xludf.DUMMYFUNCTION("""COMPUTED_VALUE"""),0.32463513340291894)</f>
        <v>0.3246351334</v>
      </c>
    </row>
    <row r="107">
      <c r="P107" s="1">
        <f>IFERROR(__xludf.DUMMYFUNCTION("""COMPUTED_VALUE"""),0.320276877437785)</f>
        <v>0.3202768774</v>
      </c>
    </row>
    <row r="108">
      <c r="P108" s="1">
        <f>IFERROR(__xludf.DUMMYFUNCTION("""COMPUTED_VALUE"""),0.30610338955117283)</f>
        <v>0.3061033896</v>
      </c>
    </row>
    <row r="109">
      <c r="P109" s="1">
        <f>IFERROR(__xludf.DUMMYFUNCTION("""COMPUTED_VALUE"""),0.28053983775568125)</f>
        <v>0.2805398378</v>
      </c>
    </row>
    <row r="110">
      <c r="P110" s="1">
        <f>IFERROR(__xludf.DUMMYFUNCTION("""COMPUTED_VALUE"""),0.260945997912432)</f>
        <v>0.2609459979</v>
      </c>
    </row>
    <row r="111">
      <c r="P111" s="1">
        <f>IFERROR(__xludf.DUMMYFUNCTION("""COMPUTED_VALUE"""),0.24602171803182624)</f>
        <v>0.246021718</v>
      </c>
    </row>
    <row r="112">
      <c r="P112" s="1">
        <f>IFERROR(__xludf.DUMMYFUNCTION("""COMPUTED_VALUE"""),0.30654287754765697)</f>
        <v>0.3065428775</v>
      </c>
    </row>
    <row r="113">
      <c r="P113" s="1">
        <f>IFERROR(__xludf.DUMMYFUNCTION("""COMPUTED_VALUE"""),0.2850262777197898)</f>
        <v>0.2850262777</v>
      </c>
    </row>
    <row r="114">
      <c r="P114" s="1">
        <f>IFERROR(__xludf.DUMMYFUNCTION("""COMPUTED_VALUE"""),0.26378435788972515)</f>
        <v>0.2637843579</v>
      </c>
    </row>
    <row r="115">
      <c r="P115" s="1">
        <f>IFERROR(__xludf.DUMMYFUNCTION("""COMPUTED_VALUE"""),0.24745005402039955)</f>
        <v>0.247450054</v>
      </c>
    </row>
    <row r="116">
      <c r="P116" s="1">
        <f>IFERROR(__xludf.DUMMYFUNCTION("""COMPUTED_VALUE"""),0.2352908861176729)</f>
        <v>0.2352908861</v>
      </c>
    </row>
    <row r="117">
      <c r="P117" s="1">
        <f>IFERROR(__xludf.DUMMYFUNCTION("""COMPUTED_VALUE"""),0.2219414382244685)</f>
        <v>0.2219414382</v>
      </c>
    </row>
    <row r="118">
      <c r="P118" s="1">
        <f>IFERROR(__xludf.DUMMYFUNCTION("""COMPUTED_VALUE"""),0.20815250233477997)</f>
        <v>0.2081525023</v>
      </c>
    </row>
    <row r="119">
      <c r="P119" s="1">
        <f>IFERROR(__xludf.DUMMYFUNCTION("""COMPUTED_VALUE"""),0.2384405500924756)</f>
        <v>0.2384405501</v>
      </c>
    </row>
    <row r="120">
      <c r="P120" s="1">
        <f>IFERROR(__xludf.DUMMYFUNCTION("""COMPUTED_VALUE"""),0.23554725411562194)</f>
        <v>0.2355472541</v>
      </c>
    </row>
    <row r="121">
      <c r="P121" s="1">
        <f>IFERROR(__xludf.DUMMYFUNCTION("""COMPUTED_VALUE"""),0.2343203501254372)</f>
        <v>0.2343203501</v>
      </c>
    </row>
    <row r="122">
      <c r="P122" s="1">
        <f>IFERROR(__xludf.DUMMYFUNCTION("""COMPUTED_VALUE"""),0.2246516142027871)</f>
        <v>0.2246516142</v>
      </c>
    </row>
    <row r="123">
      <c r="P123" s="1">
        <f>IFERROR(__xludf.DUMMYFUNCTION("""COMPUTED_VALUE"""),0.21776630225786958)</f>
        <v>0.2177663023</v>
      </c>
    </row>
    <row r="124">
      <c r="P124" s="1">
        <f>IFERROR(__xludf.DUMMYFUNCTION("""COMPUTED_VALUE"""),0.21252907029976742)</f>
        <v>0.2125290703</v>
      </c>
    </row>
    <row r="125">
      <c r="P125" s="1">
        <f>IFERROR(__xludf.DUMMYFUNCTION("""COMPUTED_VALUE"""),0.20665091834679264)</f>
        <v>0.2066509183</v>
      </c>
    </row>
    <row r="126">
      <c r="P126" s="1">
        <f>IFERROR(__xludf.DUMMYFUNCTION("""COMPUTED_VALUE"""),0.1995458624036331)</f>
        <v>0.1995458624</v>
      </c>
    </row>
    <row r="127">
      <c r="P127" s="1">
        <f>IFERROR(__xludf.DUMMYFUNCTION("""COMPUTED_VALUE"""),0.19330147045358823)</f>
        <v>0.1933014705</v>
      </c>
    </row>
    <row r="128">
      <c r="P128" s="1">
        <f>IFERROR(__xludf.DUMMYFUNCTION("""COMPUTED_VALUE"""),0.1904081744767346)</f>
        <v>0.1904081745</v>
      </c>
    </row>
    <row r="129">
      <c r="P129" s="1">
        <f>IFERROR(__xludf.DUMMYFUNCTION("""COMPUTED_VALUE"""),0.19236755846105952)</f>
        <v>0.1923675585</v>
      </c>
    </row>
    <row r="130">
      <c r="P130" s="1">
        <f>IFERROR(__xludf.DUMMYFUNCTION("""COMPUTED_VALUE"""),0.18883334248933326)</f>
        <v>0.1888333425</v>
      </c>
    </row>
    <row r="131">
      <c r="P131" s="1">
        <f>IFERROR(__xludf.DUMMYFUNCTION("""COMPUTED_VALUE"""),0.18786280649709755)</f>
        <v>0.1878628065</v>
      </c>
    </row>
    <row r="132">
      <c r="P132" s="1">
        <f>IFERROR(__xludf.DUMMYFUNCTION("""COMPUTED_VALUE"""),0.2857221337142229)</f>
        <v>0.2857221337</v>
      </c>
    </row>
    <row r="133">
      <c r="P133" s="1">
        <f>IFERROR(__xludf.DUMMYFUNCTION("""COMPUTED_VALUE"""),0.2689117178487062)</f>
        <v>0.2689117178</v>
      </c>
    </row>
    <row r="134">
      <c r="P134" s="1">
        <f>IFERROR(__xludf.DUMMYFUNCTION("""COMPUTED_VALUE"""),0.24305517405555863)</f>
        <v>0.2430551741</v>
      </c>
    </row>
    <row r="135">
      <c r="P135" s="1">
        <f>IFERROR(__xludf.DUMMYFUNCTION("""COMPUTED_VALUE"""),0.22034829423721364)</f>
        <v>0.2203482942</v>
      </c>
    </row>
    <row r="136">
      <c r="P136" s="1">
        <f>IFERROR(__xludf.DUMMYFUNCTION("""COMPUTED_VALUE"""),0.20458166236334668)</f>
        <v>0.2045816624</v>
      </c>
    </row>
    <row r="137">
      <c r="P137" s="1">
        <f>IFERROR(__xludf.DUMMYFUNCTION("""COMPUTED_VALUE"""),0.18209452654324376)</f>
        <v>0.1820945265</v>
      </c>
    </row>
    <row r="138">
      <c r="P138" s="1">
        <f>IFERROR(__xludf.DUMMYFUNCTION("""COMPUTED_VALUE"""),0.16740830266073356)</f>
        <v>0.1674083027</v>
      </c>
    </row>
    <row r="139">
      <c r="P139" s="1">
        <f>IFERROR(__xludf.DUMMYFUNCTION("""COMPUTED_VALUE"""),0.1772235345822117)</f>
        <v>0.1772235346</v>
      </c>
    </row>
    <row r="140">
      <c r="P140" s="1">
        <f>IFERROR(__xludf.DUMMYFUNCTION("""COMPUTED_VALUE"""),0.1844567745243458)</f>
        <v>0.1844567745</v>
      </c>
    </row>
    <row r="141">
      <c r="P141" s="1">
        <f>IFERROR(__xludf.DUMMYFUNCTION("""COMPUTED_VALUE"""),0.18733175850134592)</f>
        <v>0.1873317585</v>
      </c>
    </row>
    <row r="142">
      <c r="P142" s="1">
        <f>IFERROR(__xludf.DUMMYFUNCTION("""COMPUTED_VALUE"""),0.19421707044626343)</f>
        <v>0.1942170704</v>
      </c>
    </row>
    <row r="143">
      <c r="P143" s="1">
        <f>IFERROR(__xludf.DUMMYFUNCTION("""COMPUTED_VALUE"""),0.33060484535516127)</f>
        <v>0.3306048454</v>
      </c>
    </row>
    <row r="144">
      <c r="P144" s="1">
        <f>IFERROR(__xludf.DUMMYFUNCTION("""COMPUTED_VALUE"""),0.3079712135362303)</f>
        <v>0.3079712135</v>
      </c>
    </row>
    <row r="145">
      <c r="P145" s="1">
        <f>IFERROR(__xludf.DUMMYFUNCTION("""COMPUTED_VALUE"""),0.2732699738138402)</f>
        <v>0.2732699738</v>
      </c>
    </row>
    <row r="146">
      <c r="P146" s="1">
        <f>IFERROR(__xludf.DUMMYFUNCTION("""COMPUTED_VALUE"""),0.2715303338277573)</f>
        <v>0.2715303338</v>
      </c>
    </row>
    <row r="147">
      <c r="P147" s="1">
        <f>IFERROR(__xludf.DUMMYFUNCTION("""COMPUTED_VALUE"""),0.2608178139134575)</f>
        <v>0.2608178139</v>
      </c>
    </row>
    <row r="148">
      <c r="P148" s="1">
        <f>IFERROR(__xludf.DUMMYFUNCTION("""COMPUTED_VALUE"""),0.25142375798860994)</f>
        <v>0.251423758</v>
      </c>
    </row>
    <row r="149">
      <c r="P149" s="1">
        <f>IFERROR(__xludf.DUMMYFUNCTION("""COMPUTED_VALUE"""),0.23880679008954567)</f>
        <v>0.2388067901</v>
      </c>
    </row>
    <row r="150">
      <c r="P150" s="1">
        <f>IFERROR(__xludf.DUMMYFUNCTION("""COMPUTED_VALUE"""),0.22670255818637952)</f>
        <v>0.2267025582</v>
      </c>
    </row>
    <row r="151">
      <c r="P151" s="1">
        <f>IFERROR(__xludf.DUMMYFUNCTION("""COMPUTED_VALUE"""),0.22023842223809262)</f>
        <v>0.2202384222</v>
      </c>
    </row>
    <row r="152">
      <c r="P152" s="1">
        <f>IFERROR(__xludf.DUMMYFUNCTION("""COMPUTED_VALUE"""),0.28546576571627386)</f>
        <v>0.2854657657</v>
      </c>
    </row>
    <row r="153">
      <c r="P153" s="1">
        <f>IFERROR(__xludf.DUMMYFUNCTION("""COMPUTED_VALUE"""),0.27039498983684007)</f>
        <v>0.2703949898</v>
      </c>
    </row>
    <row r="154">
      <c r="P154" s="1">
        <f>IFERROR(__xludf.DUMMYFUNCTION("""COMPUTED_VALUE"""),0.26352798989177606)</f>
        <v>0.2635279899</v>
      </c>
    </row>
    <row r="155">
      <c r="P155" s="1">
        <f>IFERROR(__xludf.DUMMYFUNCTION("""COMPUTED_VALUE"""),0.3536962771704298)</f>
        <v>0.3536962772</v>
      </c>
    </row>
    <row r="156">
      <c r="P156" s="1">
        <f>IFERROR(__xludf.DUMMYFUNCTION("""COMPUTED_VALUE"""),0.49695105202439155)</f>
        <v>0.496951052</v>
      </c>
    </row>
    <row r="157">
      <c r="P157" s="1">
        <f>IFERROR(__xludf.DUMMYFUNCTION("""COMPUTED_VALUE"""),0.45761687633906495)</f>
        <v>0.4576168763</v>
      </c>
    </row>
    <row r="158">
      <c r="P158" s="1">
        <f>IFERROR(__xludf.DUMMYFUNCTION("""COMPUTED_VALUE"""),0.20626636634986906)</f>
        <v>0.2062663663</v>
      </c>
    </row>
    <row r="159">
      <c r="P159" s="1">
        <f>IFERROR(__xludf.DUMMYFUNCTION("""COMPUTED_VALUE"""),0.185445622516435)</f>
        <v>0.1854456225</v>
      </c>
    </row>
    <row r="160">
      <c r="P160" s="1">
        <f>IFERROR(__xludf.DUMMYFUNCTION("""COMPUTED_VALUE"""),0.18376091852991264)</f>
        <v>0.1837609185</v>
      </c>
    </row>
    <row r="161">
      <c r="P161" s="1">
        <f>IFERROR(__xludf.DUMMYFUNCTION("""COMPUTED_VALUE"""),0.17810251057517992)</f>
        <v>0.1781025106</v>
      </c>
    </row>
    <row r="162">
      <c r="P162" s="1">
        <f>IFERROR(__xludf.DUMMYFUNCTION("""COMPUTED_VALUE"""),0.17504440659964474)</f>
        <v>0.1750444066</v>
      </c>
    </row>
    <row r="163">
      <c r="P163" s="1">
        <f>IFERROR(__xludf.DUMMYFUNCTION("""COMPUTED_VALUE"""),0.17824900657400794)</f>
        <v>0.1782490066</v>
      </c>
    </row>
    <row r="164">
      <c r="P164" s="1">
        <f>IFERROR(__xludf.DUMMYFUNCTION("""COMPUTED_VALUE"""),0.17420205460638355)</f>
        <v>0.1742020546</v>
      </c>
    </row>
    <row r="165">
      <c r="P165" s="1">
        <f>IFERROR(__xludf.DUMMYFUNCTION("""COMPUTED_VALUE"""),0.17229760662161914)</f>
        <v>0.1722976066</v>
      </c>
    </row>
    <row r="166">
      <c r="P166" s="1">
        <f>IFERROR(__xludf.DUMMYFUNCTION("""COMPUTED_VALUE"""),0.17092420663260635)</f>
        <v>0.1709242066</v>
      </c>
    </row>
    <row r="167">
      <c r="P167" s="1">
        <f>IFERROR(__xludf.DUMMYFUNCTION("""COMPUTED_VALUE"""),0.16956911864344704)</f>
        <v>0.1695691186</v>
      </c>
    </row>
    <row r="168">
      <c r="P168" s="1">
        <f>IFERROR(__xludf.DUMMYFUNCTION("""COMPUTED_VALUE"""),0.17742496658060025)</f>
        <v>0.1774249666</v>
      </c>
    </row>
    <row r="169">
      <c r="P169" s="1">
        <f>IFERROR(__xludf.DUMMYFUNCTION("""COMPUTED_VALUE"""),0.1757585745939314)</f>
        <v>0.1757585746</v>
      </c>
    </row>
    <row r="170">
      <c r="P170" s="1">
        <f>IFERROR(__xludf.DUMMYFUNCTION("""COMPUTED_VALUE"""),0.17295683861634528)</f>
        <v>0.1729568386</v>
      </c>
    </row>
    <row r="171">
      <c r="P171" s="1">
        <f>IFERROR(__xludf.DUMMYFUNCTION("""COMPUTED_VALUE"""),0.3592448131260415)</f>
        <v>0.3592448131</v>
      </c>
    </row>
    <row r="172">
      <c r="P172" s="1">
        <f>IFERROR(__xludf.DUMMYFUNCTION("""COMPUTED_VALUE"""),0.32291380541668957)</f>
        <v>0.3229138054</v>
      </c>
    </row>
    <row r="173">
      <c r="P173" s="1">
        <f>IFERROR(__xludf.DUMMYFUNCTION("""COMPUTED_VALUE"""),0.2926806936585544)</f>
        <v>0.2926806937</v>
      </c>
    </row>
    <row r="174">
      <c r="P174" s="1">
        <f>IFERROR(__xludf.DUMMYFUNCTION("""COMPUTED_VALUE"""),0.26665934186672524)</f>
        <v>0.2666593419</v>
      </c>
    </row>
    <row r="175">
      <c r="P175" s="1">
        <f>IFERROR(__xludf.DUMMYFUNCTION("""COMPUTED_VALUE"""),0.24790785401673715)</f>
        <v>0.247907854</v>
      </c>
    </row>
    <row r="176">
      <c r="P176" s="1">
        <f>IFERROR(__xludf.DUMMYFUNCTION("""COMPUTED_VALUE"""),0.2372685821018513)</f>
        <v>0.2372685821</v>
      </c>
    </row>
    <row r="177">
      <c r="P177" s="1">
        <f>IFERROR(__xludf.DUMMYFUNCTION("""COMPUTED_VALUE"""),0.22456005420351954)</f>
        <v>0.2245600542</v>
      </c>
    </row>
    <row r="178">
      <c r="P178" s="1">
        <f>IFERROR(__xludf.DUMMYFUNCTION("""COMPUTED_VALUE"""),0.21525755827793952)</f>
        <v>0.2152575583</v>
      </c>
    </row>
    <row r="179">
      <c r="P179" s="1">
        <f>IFERROR(__xludf.DUMMYFUNCTION("""COMPUTED_VALUE"""),0.2046365983629072)</f>
        <v>0.2046365984</v>
      </c>
    </row>
    <row r="180">
      <c r="P180" s="1">
        <f>IFERROR(__xludf.DUMMYFUNCTION("""COMPUTED_VALUE"""),0.1900053104799575)</f>
        <v>0.1900053105</v>
      </c>
    </row>
    <row r="181">
      <c r="P181" s="1">
        <f>IFERROR(__xludf.DUMMYFUNCTION("""COMPUTED_VALUE"""),0.2275998461792012)</f>
        <v>0.2275998462</v>
      </c>
    </row>
    <row r="182">
      <c r="P182" s="1">
        <f>IFERROR(__xludf.DUMMYFUNCTION("""COMPUTED_VALUE"""),0.21430533428555731)</f>
        <v>0.2143053343</v>
      </c>
    </row>
    <row r="183">
      <c r="P183" s="1">
        <f>IFERROR(__xludf.DUMMYFUNCTION("""COMPUTED_VALUE"""),0.2091596623267227)</f>
        <v>0.2091596623</v>
      </c>
    </row>
    <row r="184">
      <c r="P184" s="1">
        <f>IFERROR(__xludf.DUMMYFUNCTION("""COMPUTED_VALUE"""),0.3555641011554872)</f>
        <v>0.3555641012</v>
      </c>
    </row>
    <row r="185">
      <c r="P185" s="1">
        <f>IFERROR(__xludf.DUMMYFUNCTION("""COMPUTED_VALUE"""),0.327363621381091)</f>
        <v>0.3273636214</v>
      </c>
    </row>
    <row r="186">
      <c r="P186" s="1">
        <f>IFERROR(__xludf.DUMMYFUNCTION("""COMPUTED_VALUE"""),0.29178340566573274)</f>
        <v>0.2917834057</v>
      </c>
    </row>
    <row r="187">
      <c r="P187" s="1">
        <f>IFERROR(__xludf.DUMMYFUNCTION("""COMPUTED_VALUE"""),0.2683440458532476)</f>
        <v>0.2683440459</v>
      </c>
    </row>
    <row r="188">
      <c r="P188" s="1">
        <f>IFERROR(__xludf.DUMMYFUNCTION("""COMPUTED_VALUE"""),0.3063597575491219)</f>
        <v>0.3063597575</v>
      </c>
    </row>
    <row r="189">
      <c r="P189" s="1">
        <f>IFERROR(__xludf.DUMMYFUNCTION("""COMPUTED_VALUE"""),0.27988060576095514)</f>
        <v>0.2798806058</v>
      </c>
    </row>
    <row r="190">
      <c r="P190" s="1">
        <f>IFERROR(__xludf.DUMMYFUNCTION("""COMPUTED_VALUE"""),0.2715486458276108)</f>
        <v>0.2715486458</v>
      </c>
    </row>
    <row r="191">
      <c r="P191" s="1">
        <f>IFERROR(__xludf.DUMMYFUNCTION("""COMPUTED_VALUE"""),0.25157025398743793)</f>
        <v>0.251570254</v>
      </c>
    </row>
    <row r="192">
      <c r="P192" s="1">
        <f>IFERROR(__xludf.DUMMYFUNCTION("""COMPUTED_VALUE"""),0.23428372612573017)</f>
        <v>0.2342837261</v>
      </c>
    </row>
    <row r="193">
      <c r="P193" s="1">
        <f>IFERROR(__xludf.DUMMYFUNCTION("""COMPUTED_VALUE"""),0.23834899009320806)</f>
        <v>0.2383489901</v>
      </c>
    </row>
    <row r="194">
      <c r="P194" s="1">
        <f>IFERROR(__xludf.DUMMYFUNCTION("""COMPUTED_VALUE"""),0.24880514200955886)</f>
        <v>0.248805142</v>
      </c>
    </row>
    <row r="195">
      <c r="P195" s="1">
        <f>IFERROR(__xludf.DUMMYFUNCTION("""COMPUTED_VALUE"""),0.251863245985094)</f>
        <v>0.251863246</v>
      </c>
    </row>
    <row r="196">
      <c r="P196" s="1">
        <f>IFERROR(__xludf.DUMMYFUNCTION("""COMPUTED_VALUE"""),0.3094544855243641)</f>
        <v>0.3094544855</v>
      </c>
    </row>
    <row r="197">
      <c r="P197" s="1">
        <f>IFERROR(__xludf.DUMMYFUNCTION("""COMPUTED_VALUE"""),0.36614843707081246)</f>
        <v>0.3661484371</v>
      </c>
    </row>
    <row r="198">
      <c r="P198" s="1">
        <f>IFERROR(__xludf.DUMMYFUNCTION("""COMPUTED_VALUE"""),0.33985240528118077)</f>
        <v>0.3398524053</v>
      </c>
    </row>
    <row r="199">
      <c r="P199" s="1">
        <f>IFERROR(__xludf.DUMMYFUNCTION("""COMPUTED_VALUE"""),0.32384771740921825)</f>
        <v>0.3238477174</v>
      </c>
    </row>
    <row r="200">
      <c r="P200" s="1">
        <f>IFERROR(__xludf.DUMMYFUNCTION("""COMPUTED_VALUE"""),0.2631800618945595)</f>
        <v>0.2631800619</v>
      </c>
    </row>
    <row r="201">
      <c r="P201" s="1">
        <f>IFERROR(__xludf.DUMMYFUNCTION("""COMPUTED_VALUE"""),0.1850244465198044)</f>
        <v>0.1850244465</v>
      </c>
    </row>
    <row r="202">
      <c r="P202" s="1">
        <f>IFERROR(__xludf.DUMMYFUNCTION("""COMPUTED_VALUE"""),0.15354611877163102)</f>
        <v>0.1535461188</v>
      </c>
    </row>
    <row r="203">
      <c r="P203" s="1">
        <f>IFERROR(__xludf.DUMMYFUNCTION("""COMPUTED_VALUE"""),0.24463000604295995)</f>
        <v>0.244630006</v>
      </c>
    </row>
    <row r="204">
      <c r="P204" s="1">
        <f>IFERROR(__xludf.DUMMYFUNCTION("""COMPUTED_VALUE"""),0.281546997747624)</f>
        <v>0.2815469977</v>
      </c>
    </row>
    <row r="205">
      <c r="P205" s="1">
        <f>IFERROR(__xludf.DUMMYFUNCTION("""COMPUTED_VALUE"""),0.21767474225860206)</f>
        <v>0.2176747423</v>
      </c>
    </row>
    <row r="206">
      <c r="P206" s="1">
        <f>IFERROR(__xludf.DUMMYFUNCTION("""COMPUTED_VALUE"""),0.25889505392883955)</f>
        <v>0.2588950539</v>
      </c>
    </row>
    <row r="207">
      <c r="P207" s="1">
        <f>IFERROR(__xludf.DUMMYFUNCTION("""COMPUTED_VALUE"""),0.2482740940138072)</f>
        <v>0.248274094</v>
      </c>
    </row>
    <row r="208">
      <c r="P208" s="1">
        <f>IFERROR(__xludf.DUMMYFUNCTION("""COMPUTED_VALUE"""),0.2943104616455163)</f>
        <v>0.2943104616</v>
      </c>
    </row>
    <row r="209">
      <c r="P209" s="1">
        <f>IFERROR(__xludf.DUMMYFUNCTION("""COMPUTED_VALUE"""),0.27770147777838816)</f>
        <v>0.2777014778</v>
      </c>
    </row>
    <row r="210">
      <c r="P210" s="1">
        <f>IFERROR(__xludf.DUMMYFUNCTION("""COMPUTED_VALUE"""),1.0)</f>
        <v>1</v>
      </c>
    </row>
    <row r="211">
      <c r="P211" s="1">
        <f>IFERROR(__xludf.DUMMYFUNCTION("""COMPUTED_VALUE"""),0.9410536724715706)</f>
        <v>0.9410536725</v>
      </c>
    </row>
    <row r="212">
      <c r="P212" s="1">
        <f>IFERROR(__xludf.DUMMYFUNCTION("""COMPUTED_VALUE"""),0.6532073467743411)</f>
        <v>0.6532073468</v>
      </c>
    </row>
    <row r="213">
      <c r="P213" s="1">
        <f>IFERROR(__xludf.DUMMYFUNCTION("""COMPUTED_VALUE"""),0.3906315808749473)</f>
        <v>0.3906315809</v>
      </c>
    </row>
    <row r="214">
      <c r="P214" s="1">
        <f>IFERROR(__xludf.DUMMYFUNCTION("""COMPUTED_VALUE"""),0.4215239246278086)</f>
        <v>0.4215239246</v>
      </c>
    </row>
    <row r="215">
      <c r="P215" s="1">
        <f>IFERROR(__xludf.DUMMYFUNCTION("""COMPUTED_VALUE"""),0.49962460400300307)</f>
        <v>0.499624604</v>
      </c>
    </row>
    <row r="216">
      <c r="P216" s="1">
        <f>IFERROR(__xludf.DUMMYFUNCTION("""COMPUTED_VALUE"""),0.6192202750462377)</f>
        <v>0.619220275</v>
      </c>
    </row>
    <row r="217">
      <c r="P217" s="1">
        <f>IFERROR(__xludf.DUMMYFUNCTION("""COMPUTED_VALUE"""),0.6331740189346078)</f>
        <v>0.6331740189</v>
      </c>
    </row>
    <row r="218">
      <c r="P218" s="1">
        <f>IFERROR(__xludf.DUMMYFUNCTION("""COMPUTED_VALUE"""),0.6107601311139189)</f>
        <v>0.6107601311</v>
      </c>
    </row>
    <row r="219">
      <c r="P219" s="1">
        <f>IFERROR(__xludf.DUMMYFUNCTION("""COMPUTED_VALUE"""),0.48869234009046125)</f>
        <v>0.4886923401</v>
      </c>
    </row>
    <row r="220">
      <c r="P220" s="1">
        <f>IFERROR(__xludf.DUMMYFUNCTION("""COMPUTED_VALUE"""),0.3862550129099599)</f>
        <v>0.3862550129</v>
      </c>
    </row>
    <row r="221">
      <c r="P221" s="1">
        <f>IFERROR(__xludf.DUMMYFUNCTION("""COMPUTED_VALUE"""),0.3283890933728872)</f>
        <v>0.3283890934</v>
      </c>
    </row>
    <row r="222">
      <c r="P222" s="1">
        <f>IFERROR(__xludf.DUMMYFUNCTION("""COMPUTED_VALUE"""),0.30513285355893716)</f>
        <v>0.3051328536</v>
      </c>
    </row>
    <row r="223">
      <c r="P223" s="1">
        <f>IFERROR(__xludf.DUMMYFUNCTION("""COMPUTED_VALUE"""),0.1926971744584226)</f>
        <v>0.1926971745</v>
      </c>
    </row>
    <row r="224">
      <c r="P224" s="1">
        <f>IFERROR(__xludf.DUMMYFUNCTION("""COMPUTED_VALUE"""),0.19474811844201503)</f>
        <v>0.1947481184</v>
      </c>
    </row>
    <row r="225">
      <c r="P225" s="1">
        <f>IFERROR(__xludf.DUMMYFUNCTION("""COMPUTED_VALUE"""),0.1881741104946071)</f>
        <v>0.1881741105</v>
      </c>
    </row>
    <row r="226">
      <c r="P226" s="1">
        <f>IFERROR(__xludf.DUMMYFUNCTION("""COMPUTED_VALUE"""),0.18412715852698272)</f>
        <v>0.1841271585</v>
      </c>
    </row>
    <row r="227">
      <c r="P227" s="1">
        <f>IFERROR(__xludf.DUMMYFUNCTION("""COMPUTED_VALUE"""),0.1826805105385559)</f>
        <v>0.1826805105</v>
      </c>
    </row>
    <row r="228">
      <c r="P228" s="1">
        <f>IFERROR(__xludf.DUMMYFUNCTION("""COMPUTED_VALUE"""),0.17691223058470215)</f>
        <v>0.1769122306</v>
      </c>
    </row>
    <row r="229">
      <c r="P229" s="1">
        <f>IFERROR(__xludf.DUMMYFUNCTION("""COMPUTED_VALUE"""),0.180867622553059)</f>
        <v>0.1808676226</v>
      </c>
    </row>
    <row r="230">
      <c r="P230" s="1">
        <f>IFERROR(__xludf.DUMMYFUNCTION("""COMPUTED_VALUE"""),0.17497115860023071)</f>
        <v>0.1749711586</v>
      </c>
    </row>
    <row r="231">
      <c r="P231" s="1">
        <f>IFERROR(__xludf.DUMMYFUNCTION("""COMPUTED_VALUE"""),0.17925616656595067)</f>
        <v>0.1792561666</v>
      </c>
    </row>
    <row r="232">
      <c r="P232" s="1">
        <f>IFERROR(__xludf.DUMMYFUNCTION("""COMPUTED_VALUE"""),0.17943928656448568)</f>
        <v>0.1794392866</v>
      </c>
    </row>
    <row r="233">
      <c r="P233" s="1">
        <f>IFERROR(__xludf.DUMMYFUNCTION("""COMPUTED_VALUE"""),0.1776263985789888)</f>
        <v>0.1776263986</v>
      </c>
    </row>
    <row r="234">
      <c r="P234" s="1">
        <f>IFERROR(__xludf.DUMMYFUNCTION("""COMPUTED_VALUE"""),0.1807760625537915)</f>
        <v>0.1807760626</v>
      </c>
    </row>
    <row r="235">
      <c r="P235" s="1">
        <f>IFERROR(__xludf.DUMMYFUNCTION("""COMPUTED_VALUE"""),0.18341299053269605)</f>
        <v>0.1834129905</v>
      </c>
    </row>
    <row r="236">
      <c r="P236" s="1">
        <f>IFERROR(__xludf.DUMMYFUNCTION("""COMPUTED_VALUE"""),0.18601329451189363)</f>
        <v>0.1860132945</v>
      </c>
    </row>
    <row r="237">
      <c r="P237" s="1">
        <f>IFERROR(__xludf.DUMMYFUNCTION("""COMPUTED_VALUE"""),0.1872401985020784)</f>
        <v>0.1872401985</v>
      </c>
    </row>
    <row r="238">
      <c r="P238" s="1">
        <f>IFERROR(__xludf.DUMMYFUNCTION("""COMPUTED_VALUE"""),0.1959200864326393)</f>
        <v>0.1959200864</v>
      </c>
    </row>
    <row r="239">
      <c r="P239" s="1">
        <f>IFERROR(__xludf.DUMMYFUNCTION("""COMPUTED_VALUE"""),0.1996191104030471)</f>
        <v>0.1996191104</v>
      </c>
    </row>
    <row r="240">
      <c r="P240" s="1">
        <f>IFERROR(__xludf.DUMMYFUNCTION("""COMPUTED_VALUE"""),0.19758647841930818)</f>
        <v>0.1975864784</v>
      </c>
    </row>
    <row r="241">
      <c r="P241" s="1">
        <f>IFERROR(__xludf.DUMMYFUNCTION("""COMPUTED_VALUE"""),0.1941621344467029)</f>
        <v>0.1941621344</v>
      </c>
    </row>
    <row r="242">
      <c r="P242" s="1">
        <f>IFERROR(__xludf.DUMMYFUNCTION("""COMPUTED_VALUE"""),0.19057298247541613)</f>
        <v>0.1905729825</v>
      </c>
    </row>
    <row r="243">
      <c r="P243" s="1">
        <f>IFERROR(__xludf.DUMMYFUNCTION("""COMPUTED_VALUE"""),0.18416378252668972)</f>
        <v>0.1841637825</v>
      </c>
    </row>
    <row r="244">
      <c r="P244" s="1">
        <f>IFERROR(__xludf.DUMMYFUNCTION("""COMPUTED_VALUE"""),0.18152685454778514)</f>
        <v>0.1815268545</v>
      </c>
    </row>
    <row r="245">
      <c r="P245" s="1">
        <f>IFERROR(__xludf.DUMMYFUNCTION("""COMPUTED_VALUE"""),0.1763079345895365)</f>
        <v>0.1763079346</v>
      </c>
    </row>
    <row r="246">
      <c r="P246" s="1">
        <f>IFERROR(__xludf.DUMMYFUNCTION("""COMPUTED_VALUE"""),0.17312164661502683)</f>
        <v>0.1731216466</v>
      </c>
    </row>
    <row r="247">
      <c r="P247" s="1">
        <f>IFERROR(__xludf.DUMMYFUNCTION("""COMPUTED_VALUE"""),0.17279203061766374)</f>
        <v>0.1727920306</v>
      </c>
    </row>
    <row r="248">
      <c r="P248" s="1">
        <f>IFERROR(__xludf.DUMMYFUNCTION("""COMPUTED_VALUE"""),0.1725173506198612)</f>
        <v>0.1725173506</v>
      </c>
    </row>
    <row r="249">
      <c r="P249" s="1">
        <f>IFERROR(__xludf.DUMMYFUNCTION("""COMPUTED_VALUE"""),0.24970243000238057)</f>
        <v>0.24970243</v>
      </c>
    </row>
    <row r="250">
      <c r="P250" s="1">
        <f>IFERROR(__xludf.DUMMYFUNCTION("""COMPUTED_VALUE"""),0.34388104524895163)</f>
        <v>0.3438810452</v>
      </c>
    </row>
    <row r="251">
      <c r="P251" s="1">
        <f>IFERROR(__xludf.DUMMYFUNCTION("""COMPUTED_VALUE"""),0.3359885733120914)</f>
        <v>0.3359885733</v>
      </c>
    </row>
    <row r="252">
      <c r="P252" s="1">
        <f>IFERROR(__xludf.DUMMYFUNCTION("""COMPUTED_VALUE"""),0.3218150854254793)</f>
        <v>0.3218150854</v>
      </c>
    </row>
    <row r="253">
      <c r="P253" s="1">
        <f>IFERROR(__xludf.DUMMYFUNCTION("""COMPUTED_VALUE"""),0.293175117654599)</f>
        <v>0.2931751177</v>
      </c>
    </row>
    <row r="254">
      <c r="P254" s="1">
        <f>IFERROR(__xludf.DUMMYFUNCTION("""COMPUTED_VALUE"""),0.27092603783259167)</f>
        <v>0.2709260378</v>
      </c>
    </row>
    <row r="255">
      <c r="P255" s="1">
        <f>IFERROR(__xludf.DUMMYFUNCTION("""COMPUTED_VALUE"""),0.27777472577780216)</f>
        <v>0.2777747258</v>
      </c>
    </row>
    <row r="256">
      <c r="P256" s="1">
        <f>IFERROR(__xludf.DUMMYFUNCTION("""COMPUTED_VALUE"""),0.26695233386438133)</f>
        <v>0.2669523339</v>
      </c>
    </row>
    <row r="257">
      <c r="P257" s="1">
        <f>IFERROR(__xludf.DUMMYFUNCTION("""COMPUTED_VALUE"""),0.34065813327473493)</f>
        <v>0.3406581333</v>
      </c>
    </row>
    <row r="258">
      <c r="P258" s="1">
        <f>IFERROR(__xludf.DUMMYFUNCTION("""COMPUTED_VALUE"""),0.33994396528044823)</f>
        <v>0.3399439653</v>
      </c>
    </row>
    <row r="259">
      <c r="P259" s="1">
        <f>IFERROR(__xludf.DUMMYFUNCTION("""COMPUTED_VALUE"""),0.302147997582816)</f>
        <v>0.3021479976</v>
      </c>
    </row>
    <row r="260">
      <c r="P260" s="1">
        <f>IFERROR(__xludf.DUMMYFUNCTION("""COMPUTED_VALUE"""),0.29562892563496856)</f>
        <v>0.2956289256</v>
      </c>
    </row>
    <row r="261">
      <c r="P261" s="1">
        <f>IFERROR(__xludf.DUMMYFUNCTION("""COMPUTED_VALUE"""),0.28482484572140127)</f>
        <v>0.2848248457</v>
      </c>
    </row>
    <row r="262">
      <c r="P262" s="1">
        <f>IFERROR(__xludf.DUMMYFUNCTION("""COMPUTED_VALUE"""),0.31460015748319875)</f>
        <v>0.3146001575</v>
      </c>
    </row>
    <row r="263">
      <c r="P263" s="1">
        <f>IFERROR(__xludf.DUMMYFUNCTION("""COMPUTED_VALUE"""),0.29310186965518503)</f>
        <v>0.2931018697</v>
      </c>
    </row>
    <row r="264">
      <c r="P264" s="1">
        <f>IFERROR(__xludf.DUMMYFUNCTION("""COMPUTED_VALUE"""),0.2696258858429929)</f>
        <v>0.2696258858</v>
      </c>
    </row>
    <row r="265">
      <c r="P265" s="1">
        <f>IFERROR(__xludf.DUMMYFUNCTION("""COMPUTED_VALUE"""),0.2280393341756853)</f>
        <v>0.2280393342</v>
      </c>
    </row>
    <row r="266">
      <c r="P266" s="1">
        <f>IFERROR(__xludf.DUMMYFUNCTION("""COMPUTED_VALUE"""),0.201431998388544)</f>
        <v>0.2014319984</v>
      </c>
    </row>
    <row r="267">
      <c r="P267" s="1">
        <f>IFERROR(__xludf.DUMMYFUNCTION("""COMPUTED_VALUE"""),0.1960116464319068)</f>
        <v>0.1960116464</v>
      </c>
    </row>
    <row r="268">
      <c r="P268" s="1">
        <f>IFERROR(__xludf.DUMMYFUNCTION("""COMPUTED_VALUE"""),0.1601750627185995)</f>
        <v>0.1601750627</v>
      </c>
    </row>
    <row r="269">
      <c r="P269" s="1">
        <f>IFERROR(__xludf.DUMMYFUNCTION("""COMPUTED_VALUE"""),0.1456719588346243)</f>
        <v>0.1456719588</v>
      </c>
    </row>
    <row r="270">
      <c r="P270" s="1">
        <f>IFERROR(__xludf.DUMMYFUNCTION("""COMPUTED_VALUE"""),0.15601823875185408)</f>
        <v>0.1560182388</v>
      </c>
    </row>
    <row r="271">
      <c r="P271" s="1">
        <f>IFERROR(__xludf.DUMMYFUNCTION("""COMPUTED_VALUE"""),0.18465820652273435)</f>
        <v>0.1846582065</v>
      </c>
    </row>
    <row r="272">
      <c r="P272" s="1">
        <f>IFERROR(__xludf.DUMMYFUNCTION("""COMPUTED_VALUE"""),0.19712867842297058)</f>
        <v>0.1971286784</v>
      </c>
    </row>
    <row r="273">
      <c r="P273" s="1">
        <f>IFERROR(__xludf.DUMMYFUNCTION("""COMPUTED_VALUE"""),0.5031038839751689)</f>
        <v>0.503103884</v>
      </c>
    </row>
    <row r="274">
      <c r="P274" s="1">
        <f>IFERROR(__xludf.DUMMYFUNCTION("""COMPUTED_VALUE"""),0.6440513468475891)</f>
        <v>0.6440513468</v>
      </c>
    </row>
    <row r="275">
      <c r="P275" s="1">
        <f>IFERROR(__xludf.DUMMYFUNCTION("""COMPUTED_VALUE"""),0.2389532860883737)</f>
        <v>0.2389532861</v>
      </c>
    </row>
    <row r="276">
      <c r="P276" s="1">
        <f>IFERROR(__xludf.DUMMYFUNCTION("""COMPUTED_VALUE"""),0.2285154461718764)</f>
        <v>0.2285154462</v>
      </c>
    </row>
    <row r="277">
      <c r="P277" s="1">
        <f>IFERROR(__xludf.DUMMYFUNCTION("""COMPUTED_VALUE"""),0.22009192623926457)</f>
        <v>0.2200919262</v>
      </c>
    </row>
    <row r="278">
      <c r="P278" s="1">
        <f>IFERROR(__xludf.DUMMYFUNCTION("""COMPUTED_VALUE"""),0.1803548865571609)</f>
        <v>0.1803548866</v>
      </c>
    </row>
    <row r="279">
      <c r="P279" s="1">
        <f>IFERROR(__xludf.DUMMYFUNCTION("""COMPUTED_VALUE"""),0.1776080865791353)</f>
        <v>0.1776080866</v>
      </c>
    </row>
    <row r="280">
      <c r="P280" s="1">
        <f>IFERROR(__xludf.DUMMYFUNCTION("""COMPUTED_VALUE"""),0.18420040652639674)</f>
        <v>0.1842004065</v>
      </c>
    </row>
    <row r="281">
      <c r="P281" s="1">
        <f>IFERROR(__xludf.DUMMYFUNCTION("""COMPUTED_VALUE"""),0.17577688659378488)</f>
        <v>0.1757768866</v>
      </c>
    </row>
    <row r="282">
      <c r="P282" s="1">
        <f>IFERROR(__xludf.DUMMYFUNCTION("""COMPUTED_VALUE"""),0.17193136662454905)</f>
        <v>0.1719313666</v>
      </c>
    </row>
    <row r="283">
      <c r="P283" s="1">
        <f>IFERROR(__xludf.DUMMYFUNCTION("""COMPUTED_VALUE"""),0.20855536633155705)</f>
        <v>0.2085553663</v>
      </c>
    </row>
    <row r="284">
      <c r="P284" s="1">
        <f>IFERROR(__xludf.DUMMYFUNCTION("""COMPUTED_VALUE"""),0.190060246479518)</f>
        <v>0.1900602465</v>
      </c>
    </row>
    <row r="285">
      <c r="P285" s="1">
        <f>IFERROR(__xludf.DUMMYFUNCTION("""COMPUTED_VALUE"""),0.190060246479518)</f>
        <v>0.1900602465</v>
      </c>
    </row>
    <row r="286">
      <c r="P286" s="1">
        <f>IFERROR(__xludf.DUMMYFUNCTION("""COMPUTED_VALUE"""),0.18328480653372153)</f>
        <v>0.1832848065</v>
      </c>
    </row>
    <row r="287">
      <c r="P287" s="1">
        <f>IFERROR(__xludf.DUMMYFUNCTION("""COMPUTED_VALUE"""),0.20818912633448697)</f>
        <v>0.2081891263</v>
      </c>
    </row>
    <row r="288">
      <c r="P288" s="1">
        <f>IFERROR(__xludf.DUMMYFUNCTION("""COMPUTED_VALUE"""),0.29965756560273943)</f>
        <v>0.2996575656</v>
      </c>
    </row>
    <row r="289">
      <c r="P289" s="1">
        <f>IFERROR(__xludf.DUMMYFUNCTION("""COMPUTED_VALUE"""),0.3053892215568862)</f>
        <v>0.3053892216</v>
      </c>
    </row>
    <row r="290">
      <c r="P290" s="1">
        <f>IFERROR(__xludf.DUMMYFUNCTION("""COMPUTED_VALUE"""),0.16696881466424948)</f>
        <v>0.1669688147</v>
      </c>
    </row>
    <row r="291">
      <c r="P291" s="1">
        <f>IFERROR(__xludf.DUMMYFUNCTION("""COMPUTED_VALUE"""),0.10073431119412551)</f>
        <v>0.1007343112</v>
      </c>
    </row>
    <row r="292">
      <c r="P292" s="1">
        <f>IFERROR(__xludf.DUMMYFUNCTION("""COMPUTED_VALUE"""),0.08771447929828416)</f>
        <v>0.0877144793</v>
      </c>
    </row>
    <row r="293">
      <c r="P293" s="1">
        <f>IFERROR(__xludf.DUMMYFUNCTION("""COMPUTED_VALUE"""),0.09157831126737351)</f>
        <v>0.09157831127</v>
      </c>
    </row>
    <row r="294">
      <c r="P294" s="1">
        <f>IFERROR(__xludf.DUMMYFUNCTION("""COMPUTED_VALUE"""),0.0)</f>
        <v>0</v>
      </c>
    </row>
    <row r="295">
      <c r="P295" s="1">
        <f>IFERROR(__xludf.DUMMYFUNCTION("""COMPUTED_VALUE"""),0.20388580636891354)</f>
        <v>0.2038858064</v>
      </c>
    </row>
    <row r="296">
      <c r="P296" s="1">
        <f>IFERROR(__xludf.DUMMYFUNCTION("""COMPUTED_VALUE"""),0.19560878243512972)</f>
        <v>0.1956087824</v>
      </c>
    </row>
    <row r="297">
      <c r="P297" s="1">
        <f>IFERROR(__xludf.DUMMYFUNCTION("""COMPUTED_VALUE"""),0.21815085425479314)</f>
        <v>0.2181508543</v>
      </c>
    </row>
    <row r="298">
      <c r="P298" s="1">
        <f>IFERROR(__xludf.DUMMYFUNCTION("""COMPUTED_VALUE"""),0.23497958212016332)</f>
        <v>0.2349795821</v>
      </c>
    </row>
    <row r="299">
      <c r="P299" s="1">
        <f>IFERROR(__xludf.DUMMYFUNCTION("""COMPUTED_VALUE"""),0.23510776611913783)</f>
        <v>0.2351077661</v>
      </c>
    </row>
    <row r="300">
      <c r="P300" s="1">
        <f>IFERROR(__xludf.DUMMYFUNCTION("""COMPUTED_VALUE"""),0.21210789430313684)</f>
        <v>0.2121078943</v>
      </c>
    </row>
    <row r="301">
      <c r="P301" s="1">
        <f>IFERROR(__xludf.DUMMYFUNCTION("""COMPUTED_VALUE"""),0.16046805471625555)</f>
        <v>0.1604680547</v>
      </c>
    </row>
    <row r="302">
      <c r="P302" s="1">
        <f>IFERROR(__xludf.DUMMYFUNCTION("""COMPUTED_VALUE"""),0.148821622809427)</f>
        <v>0.1488216228</v>
      </c>
    </row>
    <row r="303">
      <c r="P303" s="1">
        <f>IFERROR(__xludf.DUMMYFUNCTION("""COMPUTED_VALUE"""),0.16858027065135783)</f>
        <v>0.1685802707</v>
      </c>
    </row>
    <row r="304">
      <c r="P304" s="1">
        <f>IFERROR(__xludf.DUMMYFUNCTION("""COMPUTED_VALUE"""),0.7635737698914097)</f>
        <v>0.7635737699</v>
      </c>
    </row>
    <row r="305">
      <c r="P305" s="1">
        <f>IFERROR(__xludf.DUMMYFUNCTION("""COMPUTED_VALUE"""),0.272244501822044)</f>
        <v>0.2722445018</v>
      </c>
    </row>
    <row r="306">
      <c r="P306" s="1">
        <f>IFERROR(__xludf.DUMMYFUNCTION("""COMPUTED_VALUE"""),0.1771685985826512)</f>
        <v>0.1771685986</v>
      </c>
    </row>
    <row r="307">
      <c r="P307" s="1">
        <f>IFERROR(__xludf.DUMMYFUNCTION("""COMPUTED_VALUE"""),0.31612005347103955)</f>
        <v>0.3161200535</v>
      </c>
    </row>
    <row r="308">
      <c r="P308" s="1">
        <f>IFERROR(__xludf.DUMMYFUNCTION("""COMPUTED_VALUE"""),0.3900272848797817)</f>
        <v>0.3900272849</v>
      </c>
    </row>
    <row r="309">
      <c r="P309" s="1">
        <f>IFERROR(__xludf.DUMMYFUNCTION("""COMPUTED_VALUE"""),0.0769103993847168)</f>
        <v>0.07691039938</v>
      </c>
    </row>
    <row r="310">
      <c r="P310" s="1">
        <f>IFERROR(__xludf.DUMMYFUNCTION("""COMPUTED_VALUE"""),0.1427786628577707)</f>
        <v>0.1427786629</v>
      </c>
    </row>
    <row r="311">
      <c r="P311" s="1">
        <f>IFERROR(__xludf.DUMMYFUNCTION("""COMPUTED_VALUE"""),0.07810067937519456)</f>
        <v>0.07810067938</v>
      </c>
    </row>
    <row r="312">
      <c r="P312" s="1">
        <f>IFERROR(__xludf.DUMMYFUNCTION("""COMPUTED_VALUE"""),0.21989049424087603)</f>
        <v>0.2198904942</v>
      </c>
    </row>
    <row r="313">
      <c r="P313" s="1">
        <f>IFERROR(__xludf.DUMMYFUNCTION("""COMPUTED_VALUE"""),0.018952919848376628)</f>
        <v>0.01895291985</v>
      </c>
    </row>
    <row r="314">
      <c r="P314" s="1">
        <f>IFERROR(__xludf.DUMMYFUNCTION("""COMPUTED_VALUE"""),0.4011792927905656)</f>
        <v>0.4011792928</v>
      </c>
    </row>
    <row r="315">
      <c r="P315" s="1">
        <f>IFERROR(__xludf.DUMMYFUNCTION("""COMPUTED_VALUE"""),0.38596202091230375)</f>
        <v>0.3859620209</v>
      </c>
    </row>
    <row r="316">
      <c r="P316" s="1">
        <f>IFERROR(__xludf.DUMMYFUNCTION("""COMPUTED_VALUE"""),0.366386493068908)</f>
        <v>0.3663864931</v>
      </c>
    </row>
    <row r="317">
      <c r="P317" s="1">
        <f>IFERROR(__xludf.DUMMYFUNCTION("""COMPUTED_VALUE"""),0.34519950923840387)</f>
        <v>0.3451995092</v>
      </c>
    </row>
    <row r="318">
      <c r="P318" s="1">
        <f>IFERROR(__xludf.DUMMYFUNCTION("""COMPUTED_VALUE"""),0.3142339174861286)</f>
        <v>0.3142339175</v>
      </c>
    </row>
    <row r="319">
      <c r="P319" s="1">
        <f>IFERROR(__xludf.DUMMYFUNCTION("""COMPUTED_VALUE"""),0.3132816934937464)</f>
        <v>0.3132816935</v>
      </c>
    </row>
    <row r="320">
      <c r="P320" s="1">
        <f>IFERROR(__xludf.DUMMYFUNCTION("""COMPUTED_VALUE"""),0.30753172553974617)</f>
        <v>0.3075317255</v>
      </c>
    </row>
    <row r="321">
      <c r="P321" s="1">
        <f>IFERROR(__xludf.DUMMYFUNCTION("""COMPUTED_VALUE"""),0.4011792927905656)</f>
        <v>0.4011792928</v>
      </c>
    </row>
    <row r="322">
      <c r="P322" s="1">
        <f>IFERROR(__xludf.DUMMYFUNCTION("""COMPUTED_VALUE"""),0.39975095680199235)</f>
        <v>0.3997509568</v>
      </c>
    </row>
    <row r="323">
      <c r="P323" s="1">
        <f>IFERROR(__xludf.DUMMYFUNCTION("""COMPUTED_VALUE"""),0.38101778095185773)</f>
        <v>0.381017781</v>
      </c>
    </row>
    <row r="324">
      <c r="P324" s="1">
        <f>IFERROR(__xludf.DUMMYFUNCTION("""COMPUTED_VALUE"""),0.34104268527165854)</f>
        <v>0.3410426853</v>
      </c>
    </row>
    <row r="325">
      <c r="P325" s="1">
        <f>IFERROR(__xludf.DUMMYFUNCTION("""COMPUTED_VALUE"""),0.33430386932556905)</f>
        <v>0.3343038693</v>
      </c>
    </row>
    <row r="326">
      <c r="P326" s="1">
        <f>IFERROR(__xludf.DUMMYFUNCTION("""COMPUTED_VALUE"""),0.28544745371642033)</f>
        <v>0.2854474537</v>
      </c>
    </row>
    <row r="327">
      <c r="P327" s="1">
        <f>IFERROR(__xludf.DUMMYFUNCTION("""COMPUTED_VALUE"""),0.24318335805453314)</f>
        <v>0.2431833581</v>
      </c>
    </row>
    <row r="328">
      <c r="P328" s="1">
        <f>IFERROR(__xludf.DUMMYFUNCTION("""COMPUTED_VALUE"""),0.20412386236700908)</f>
        <v>0.2041238624</v>
      </c>
    </row>
    <row r="329">
      <c r="P329" s="1">
        <f>IFERROR(__xludf.DUMMYFUNCTION("""COMPUTED_VALUE"""),0.25572707795418337)</f>
        <v>0.255727078</v>
      </c>
    </row>
    <row r="330">
      <c r="P330" s="1">
        <f>IFERROR(__xludf.DUMMYFUNCTION("""COMPUTED_VALUE"""),0.27046823783625407)</f>
        <v>0.2704682378</v>
      </c>
    </row>
    <row r="331">
      <c r="P331" s="1">
        <f>IFERROR(__xludf.DUMMYFUNCTION("""COMPUTED_VALUE"""),0.247358494021132)</f>
        <v>0.247358494</v>
      </c>
    </row>
    <row r="332">
      <c r="P332" s="1">
        <f>IFERROR(__xludf.DUMMYFUNCTION("""COMPUTED_VALUE"""),0.23941108608471132)</f>
        <v>0.2394110861</v>
      </c>
    </row>
    <row r="333">
      <c r="P333" s="1">
        <f>IFERROR(__xludf.DUMMYFUNCTION("""COMPUTED_VALUE"""),0.24283543005731656)</f>
        <v>0.2428354301</v>
      </c>
    </row>
    <row r="334">
      <c r="P334" s="1">
        <f>IFERROR(__xludf.DUMMYFUNCTION("""COMPUTED_VALUE"""),0.2335695581314435)</f>
        <v>0.2335695581</v>
      </c>
    </row>
    <row r="335">
      <c r="P335" s="1">
        <f>IFERROR(__xludf.DUMMYFUNCTION("""COMPUTED_VALUE"""),0.2133897342928821)</f>
        <v>0.2133897343</v>
      </c>
    </row>
    <row r="336">
      <c r="P336" s="1">
        <f>IFERROR(__xludf.DUMMYFUNCTION("""COMPUTED_VALUE"""),0.21718031826255743)</f>
        <v>0.2171803183</v>
      </c>
    </row>
    <row r="337">
      <c r="P337" s="1">
        <f>IFERROR(__xludf.DUMMYFUNCTION("""COMPUTED_VALUE"""),0.20441685436466514)</f>
        <v>0.2044168544</v>
      </c>
    </row>
    <row r="338">
      <c r="P338" s="1">
        <f>IFERROR(__xludf.DUMMYFUNCTION("""COMPUTED_VALUE"""),0.3876101008991192)</f>
        <v>0.3876101009</v>
      </c>
    </row>
    <row r="339">
      <c r="P339" s="1">
        <f>IFERROR(__xludf.DUMMYFUNCTION("""COMPUTED_VALUE"""),0.3324909813400721)</f>
        <v>0.3324909813</v>
      </c>
    </row>
    <row r="340">
      <c r="P340" s="1">
        <f>IFERROR(__xludf.DUMMYFUNCTION("""COMPUTED_VALUE"""),0.224321998205424)</f>
        <v>0.2243219982</v>
      </c>
    </row>
    <row r="341">
      <c r="P341" s="1">
        <f>IFERROR(__xludf.DUMMYFUNCTION("""COMPUTED_VALUE"""),0.22756322217949423)</f>
        <v>0.2275632222</v>
      </c>
    </row>
    <row r="342">
      <c r="P342" s="1">
        <f>IFERROR(__xludf.DUMMYFUNCTION("""COMPUTED_VALUE"""),0.2224907982200736)</f>
        <v>0.2224907982</v>
      </c>
    </row>
    <row r="343">
      <c r="P343" s="1">
        <f>IFERROR(__xludf.DUMMYFUNCTION("""COMPUTED_VALUE"""),0.20029665439762676)</f>
        <v>0.2002966544</v>
      </c>
    </row>
    <row r="344">
      <c r="P344" s="1">
        <f>IFERROR(__xludf.DUMMYFUNCTION("""COMPUTED_VALUE"""),0.17552051859583584)</f>
        <v>0.1755205186</v>
      </c>
    </row>
    <row r="345">
      <c r="P345" s="1">
        <f>IFERROR(__xludf.DUMMYFUNCTION("""COMPUTED_VALUE"""),0.18641615850867072)</f>
        <v>0.1864161585</v>
      </c>
    </row>
    <row r="346">
      <c r="P346" s="1">
        <f>IFERROR(__xludf.DUMMYFUNCTION("""COMPUTED_VALUE"""),0.1844201505246388)</f>
        <v>0.1844201505</v>
      </c>
    </row>
    <row r="347">
      <c r="P347" s="1">
        <f>IFERROR(__xludf.DUMMYFUNCTION("""COMPUTED_VALUE"""),0.17879836656961307)</f>
        <v>0.1787983666</v>
      </c>
    </row>
    <row r="348">
      <c r="P348" s="1">
        <f>IFERROR(__xludf.DUMMYFUNCTION("""COMPUTED_VALUE"""),0.17041147063670822)</f>
        <v>0.1704114706</v>
      </c>
    </row>
    <row r="349">
      <c r="P349" s="1">
        <f>IFERROR(__xludf.DUMMYFUNCTION("""COMPUTED_VALUE"""),0.1693676866450585)</f>
        <v>0.1693676866</v>
      </c>
    </row>
    <row r="350">
      <c r="P350" s="1">
        <f>IFERROR(__xludf.DUMMYFUNCTION("""COMPUTED_VALUE"""),0.17227929462176564)</f>
        <v>0.1722792946</v>
      </c>
    </row>
    <row r="351">
      <c r="P351" s="1">
        <f>IFERROR(__xludf.DUMMYFUNCTION("""COMPUTED_VALUE"""),0.17061290263509676)</f>
        <v>0.1706129026</v>
      </c>
    </row>
    <row r="352">
      <c r="P352" s="1">
        <f>IFERROR(__xludf.DUMMYFUNCTION("""COMPUTED_VALUE"""),0.17041147063670822)</f>
        <v>0.1704114706</v>
      </c>
    </row>
    <row r="353">
      <c r="P353" s="1">
        <f>IFERROR(__xludf.DUMMYFUNCTION("""COMPUTED_VALUE"""),0.23512607811899136)</f>
        <v>0.2351260781</v>
      </c>
    </row>
    <row r="354">
      <c r="P354" s="1">
        <f>IFERROR(__xludf.DUMMYFUNCTION("""COMPUTED_VALUE"""),0.2320313501437492)</f>
        <v>0.2320313501</v>
      </c>
    </row>
    <row r="355">
      <c r="P355" s="1">
        <f>IFERROR(__xludf.DUMMYFUNCTION("""COMPUTED_VALUE"""),0.17835887857312896)</f>
        <v>0.1783588786</v>
      </c>
    </row>
    <row r="356">
      <c r="P356" s="1">
        <f>IFERROR(__xludf.DUMMYFUNCTION("""COMPUTED_VALUE"""),0.16090754271273966)</f>
        <v>0.1609075427</v>
      </c>
    </row>
    <row r="357">
      <c r="P357" s="1">
        <f>IFERROR(__xludf.DUMMYFUNCTION("""COMPUTED_VALUE"""),0.1479243348166053)</f>
        <v>0.1479243348</v>
      </c>
    </row>
    <row r="358">
      <c r="P358" s="1">
        <f>IFERROR(__xludf.DUMMYFUNCTION("""COMPUTED_VALUE"""),0.16191470270468236)</f>
        <v>0.1619147027</v>
      </c>
    </row>
    <row r="359">
      <c r="P359" s="1">
        <f>IFERROR(__xludf.DUMMYFUNCTION("""COMPUTED_VALUE"""),0.16079767071361864)</f>
        <v>0.1607976707</v>
      </c>
    </row>
    <row r="360">
      <c r="P360" s="1">
        <f>IFERROR(__xludf.DUMMYFUNCTION("""COMPUTED_VALUE"""),0.16024831071801351)</f>
        <v>0.1602483107</v>
      </c>
    </row>
    <row r="361">
      <c r="P361" s="1">
        <f>IFERROR(__xludf.DUMMYFUNCTION("""COMPUTED_VALUE"""),0.16012012671903897)</f>
        <v>0.1601201267</v>
      </c>
    </row>
    <row r="362">
      <c r="P362" s="1">
        <f>IFERROR(__xludf.DUMMYFUNCTION("""COMPUTED_VALUE"""),0.15847204673222362)</f>
        <v>0.1584720467</v>
      </c>
    </row>
    <row r="363">
      <c r="P363" s="1">
        <f>IFERROR(__xludf.DUMMYFUNCTION("""COMPUTED_VALUE"""),0.22672087018623302)</f>
        <v>0.2267208702</v>
      </c>
    </row>
    <row r="364">
      <c r="P364" s="1">
        <f>IFERROR(__xludf.DUMMYFUNCTION("""COMPUTED_VALUE"""),0.14523247083814023)</f>
        <v>0.1452324708</v>
      </c>
    </row>
    <row r="365">
      <c r="P365" s="1">
        <f>IFERROR(__xludf.DUMMYFUNCTION("""COMPUTED_VALUE"""),0.13988536688091704)</f>
        <v>0.1398853669</v>
      </c>
    </row>
    <row r="366">
      <c r="P366" s="1">
        <f>IFERROR(__xludf.DUMMYFUNCTION("""COMPUTED_VALUE"""),0.5310846197513229)</f>
        <v>0.5310846198</v>
      </c>
    </row>
    <row r="367">
      <c r="P367" s="1">
        <f>IFERROR(__xludf.DUMMYFUNCTION("""COMPUTED_VALUE"""),0.6001941071984471)</f>
        <v>0.6001941072</v>
      </c>
    </row>
    <row r="368">
      <c r="P368" s="1">
        <f>IFERROR(__xludf.DUMMYFUNCTION("""COMPUTED_VALUE"""),0.4768994121848047)</f>
        <v>0.4768994122</v>
      </c>
    </row>
    <row r="369">
      <c r="P369" s="1">
        <f>IFERROR(__xludf.DUMMYFUNCTION("""COMPUTED_VALUE"""),0.6215458990276328)</f>
        <v>0.621545899</v>
      </c>
    </row>
    <row r="370">
      <c r="P370" s="1">
        <f>IFERROR(__xludf.DUMMYFUNCTION("""COMPUTED_VALUE"""),0.5021516599827868)</f>
        <v>0.50215166</v>
      </c>
    </row>
    <row r="371">
      <c r="P371" s="1">
        <f>IFERROR(__xludf.DUMMYFUNCTION("""COMPUTED_VALUE"""),0.5207566518339467)</f>
        <v>0.5207566518</v>
      </c>
    </row>
    <row r="372">
      <c r="P372" s="1">
        <f>IFERROR(__xludf.DUMMYFUNCTION("""COMPUTED_VALUE"""),0.309271365525829)</f>
        <v>0.3092713655</v>
      </c>
    </row>
    <row r="373">
      <c r="P373" s="1">
        <f>IFERROR(__xludf.DUMMYFUNCTION("""COMPUTED_VALUE"""),0.3036312695709498)</f>
        <v>0.3036312696</v>
      </c>
    </row>
    <row r="374">
      <c r="P374" s="1">
        <f>IFERROR(__xludf.DUMMYFUNCTION("""COMPUTED_VALUE"""),0.33651962130784296)</f>
        <v>0.3365196213</v>
      </c>
    </row>
    <row r="375">
      <c r="P375" s="1">
        <f>IFERROR(__xludf.DUMMYFUNCTION("""COMPUTED_VALUE"""),0.320716365434269)</f>
        <v>0.3207163654</v>
      </c>
    </row>
    <row r="376">
      <c r="P376" s="1">
        <f>IFERROR(__xludf.DUMMYFUNCTION("""COMPUTED_VALUE"""),0.29542749363658)</f>
        <v>0.2954274936</v>
      </c>
    </row>
    <row r="377">
      <c r="P377" s="1">
        <f>IFERROR(__xludf.DUMMYFUNCTION("""COMPUTED_VALUE"""),0.3027156695782746)</f>
        <v>0.3027156696</v>
      </c>
    </row>
    <row r="378">
      <c r="P378" s="1">
        <f>IFERROR(__xludf.DUMMYFUNCTION("""COMPUTED_VALUE"""),0.334340493325276)</f>
        <v>0.3343404933</v>
      </c>
    </row>
  </sheetData>
  <drawing r:id="rId1"/>
</worksheet>
</file>