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ormalised" sheetId="2" r:id="rId6"/>
  </sheets>
  <definedNames/>
  <calcPr/>
</workbook>
</file>

<file path=xl/sharedStrings.xml><?xml version="1.0" encoding="utf-8"?>
<sst xmlns="http://schemas.openxmlformats.org/spreadsheetml/2006/main" count="89" uniqueCount="45">
  <si>
    <t>(P/E)2025</t>
  </si>
  <si>
    <t>(P/E)2024</t>
  </si>
  <si>
    <t>(P/E)2023</t>
  </si>
  <si>
    <t>(P/E)2022</t>
  </si>
  <si>
    <t>(P/E)2021</t>
  </si>
  <si>
    <t>(P/E)2020</t>
  </si>
  <si>
    <t>(P/E)2019</t>
  </si>
  <si>
    <t>(P/E)2018</t>
  </si>
  <si>
    <t>(P/E)2017</t>
  </si>
  <si>
    <t>(P/E)2016</t>
  </si>
  <si>
    <t>(P/E)2015</t>
  </si>
  <si>
    <t>(P/E)2014</t>
  </si>
  <si>
    <t>(P/E)2013</t>
  </si>
  <si>
    <t>flattened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</si>
  <si>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</si>
  <si>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</si>
  <si>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</si>
  <si>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</si>
  <si>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</si>
  <si>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</si>
  <si>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</si>
  <si>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</si>
  <si>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</si>
  <si>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</si>
  <si>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</si>
  <si>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</si>
  <si>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</si>
  <si>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</si>
  <si>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</si>
  <si>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</si>
  <si>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</si>
  <si>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</si>
  <si>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</si>
  <si>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</si>
  <si>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</si>
  <si>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</si>
  <si>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</si>
  <si>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</si>
  <si>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</si>
  <si>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</si>
  <si>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</si>
  <si>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</si>
  <si>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</si>
  <si>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Global min</t>
  </si>
  <si>
    <t>Global 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</si>
</sst>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  <font>
      <color rgb="FF181A1B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top style="thin">
        <color rgb="FF000000"/>
      </top>
      <bottom style="thin">
        <color rgb="FF363A3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right" vertical="bottom"/>
    </xf>
    <xf borderId="1" fillId="0" fontId="4" numFmtId="0" xfId="0" applyAlignment="1" applyBorder="1" applyFont="1">
      <alignment horizontal="right" vertical="top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36</xdr:row>
      <xdr:rowOff>47625</xdr:rowOff>
    </xdr:from>
    <xdr:ext cx="11220450" cy="6934200"/>
    <xdr:pic>
      <xdr:nvPicPr>
        <xdr:cNvPr id="24225187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32</xdr:row>
      <xdr:rowOff>47625</xdr:rowOff>
    </xdr:from>
    <xdr:ext cx="13506450" cy="8343900"/>
    <xdr:pic>
      <xdr:nvPicPr>
        <xdr:cNvPr id="208112876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P1" s="3" t="s">
        <v>13</v>
      </c>
    </row>
    <row r="2">
      <c r="A2" s="1" t="s">
        <v>14</v>
      </c>
      <c r="B2" s="4">
        <v>23.0195</v>
      </c>
      <c r="C2" s="4">
        <v>35.731</v>
      </c>
      <c r="D2" s="4">
        <v>25.7038</v>
      </c>
      <c r="E2" s="4">
        <v>34.5735</v>
      </c>
      <c r="F2" s="4">
        <v>28.5903</v>
      </c>
      <c r="G2" s="4">
        <v>13.6948</v>
      </c>
      <c r="H2" s="4">
        <v>19.616</v>
      </c>
      <c r="I2" s="4">
        <v>19.9915</v>
      </c>
      <c r="J2" s="4">
        <v>17.9884</v>
      </c>
      <c r="K2" s="4">
        <v>17.7055</v>
      </c>
      <c r="L2" s="4">
        <v>27.5537</v>
      </c>
      <c r="M2" s="4">
        <v>22.1893</v>
      </c>
      <c r="N2" s="4">
        <v>18.0664</v>
      </c>
      <c r="P2" s="5">
        <f>IFERROR(__xludf.DUMMYFUNCTION("FLATTEN(B2:M30)"),23.0195)</f>
        <v>23.0195</v>
      </c>
    </row>
    <row r="3">
      <c r="A3" s="1" t="s">
        <v>15</v>
      </c>
      <c r="B3" s="4">
        <v>34.9725</v>
      </c>
      <c r="C3" s="4">
        <v>49.9737</v>
      </c>
      <c r="D3" s="4">
        <v>64.4793</v>
      </c>
      <c r="E3" s="4">
        <v>97.5546</v>
      </c>
      <c r="F3" s="4">
        <v>77.5053</v>
      </c>
      <c r="G3" s="4">
        <v>59.1028</v>
      </c>
      <c r="H3" s="4">
        <v>66.3657</v>
      </c>
      <c r="I3" s="4">
        <v>52.714</v>
      </c>
      <c r="J3" s="4">
        <v>52.9773</v>
      </c>
      <c r="K3" s="4">
        <v>47.757</v>
      </c>
      <c r="L3" s="4">
        <v>55.6224</v>
      </c>
      <c r="M3" s="4">
        <v>42.9976</v>
      </c>
      <c r="N3" s="4">
        <v>42.3181</v>
      </c>
      <c r="P3" s="6">
        <f>IFERROR(__xludf.DUMMYFUNCTION("""COMPUTED_VALUE"""),35.731)</f>
        <v>35.731</v>
      </c>
    </row>
    <row r="4">
      <c r="A4" s="1" t="s">
        <v>16</v>
      </c>
      <c r="B4" s="4">
        <v>12.1462</v>
      </c>
      <c r="C4" s="4">
        <v>12.2436</v>
      </c>
      <c r="D4" s="4">
        <v>24.3878</v>
      </c>
      <c r="E4" s="4">
        <v>16.5215</v>
      </c>
      <c r="F4" s="4">
        <v>28.8342</v>
      </c>
      <c r="G4" s="4">
        <v>55.5344</v>
      </c>
      <c r="H4" s="4">
        <v>39.5767</v>
      </c>
      <c r="I4" s="4">
        <v>273.871</v>
      </c>
      <c r="J4" s="4">
        <v>29.6735</v>
      </c>
      <c r="K4" s="4">
        <v>12.658</v>
      </c>
      <c r="L4" s="4">
        <v>17.7567</v>
      </c>
      <c r="M4" s="4">
        <v>10.8559</v>
      </c>
      <c r="N4" s="4">
        <v>10.7586</v>
      </c>
      <c r="P4" s="6">
        <f>IFERROR(__xludf.DUMMYFUNCTION("""COMPUTED_VALUE"""),25.7038)</f>
        <v>25.7038</v>
      </c>
    </row>
    <row r="5">
      <c r="A5" s="1" t="s">
        <v>17</v>
      </c>
      <c r="B5" s="4">
        <v>160.9487</v>
      </c>
      <c r="C5" s="4">
        <v>141.4131</v>
      </c>
      <c r="D5" s="4">
        <v>139.34</v>
      </c>
      <c r="E5" s="4">
        <v>25.3549</v>
      </c>
      <c r="F5" s="4">
        <v>18.33</v>
      </c>
      <c r="G5" s="4">
        <v>10.4679</v>
      </c>
      <c r="H5" s="4">
        <v>14.9523</v>
      </c>
      <c r="I5" s="4">
        <v>10.6291</v>
      </c>
      <c r="J5" s="4">
        <v>8.2625</v>
      </c>
      <c r="K5" s="4">
        <v>59.1734</v>
      </c>
      <c r="L5" s="4">
        <v>38.5711</v>
      </c>
      <c r="M5" s="4">
        <v>18.4541</v>
      </c>
      <c r="N5" s="4">
        <v>11.2073</v>
      </c>
      <c r="P5" s="6">
        <f>IFERROR(__xludf.DUMMYFUNCTION("""COMPUTED_VALUE"""),34.5735)</f>
        <v>34.5735</v>
      </c>
    </row>
    <row r="6">
      <c r="A6" s="1" t="s">
        <v>18</v>
      </c>
      <c r="B6" s="4">
        <v>7.4587</v>
      </c>
      <c r="C6" s="4">
        <v>6.9385</v>
      </c>
      <c r="D6" s="4">
        <v>6.6465</v>
      </c>
      <c r="E6" s="4">
        <v>146.1947</v>
      </c>
      <c r="F6" s="4">
        <v>131.3917</v>
      </c>
      <c r="G6" s="4">
        <v>51.1279</v>
      </c>
      <c r="H6" s="4">
        <v>101.4777</v>
      </c>
      <c r="I6" s="4">
        <v>108.9304</v>
      </c>
      <c r="J6" s="4">
        <v>120.1941</v>
      </c>
      <c r="K6" s="4">
        <v>7.031</v>
      </c>
      <c r="L6" s="4">
        <v>7.7217</v>
      </c>
      <c r="M6" s="4">
        <v>5.4576</v>
      </c>
      <c r="N6" s="4">
        <v>5.6609</v>
      </c>
      <c r="P6" s="6">
        <f>IFERROR(__xludf.DUMMYFUNCTION("""COMPUTED_VALUE"""),28.5903)</f>
        <v>28.5903</v>
      </c>
    </row>
    <row r="7">
      <c r="A7" s="1" t="s">
        <v>19</v>
      </c>
      <c r="B7" s="4">
        <v>41.3736</v>
      </c>
      <c r="C7" s="4">
        <v>36.9633</v>
      </c>
      <c r="D7" s="4">
        <v>23.8509</v>
      </c>
      <c r="E7" s="4">
        <v>21.4061</v>
      </c>
      <c r="F7" s="4">
        <v>14.5128</v>
      </c>
      <c r="G7" s="4">
        <v>9.9266</v>
      </c>
      <c r="H7" s="4">
        <v>12.0543</v>
      </c>
      <c r="I7" s="4">
        <v>24.3654</v>
      </c>
      <c r="J7" s="4">
        <v>26.3215</v>
      </c>
      <c r="K7" s="4">
        <v>218.9408</v>
      </c>
      <c r="L7" s="4">
        <v>22.3672</v>
      </c>
      <c r="M7" s="4">
        <v>9.6262</v>
      </c>
      <c r="N7" s="4">
        <v>10.0935</v>
      </c>
      <c r="P7" s="6">
        <f>IFERROR(__xludf.DUMMYFUNCTION("""COMPUTED_VALUE"""),13.6948)</f>
        <v>13.6948</v>
      </c>
    </row>
    <row r="8">
      <c r="A8" s="1" t="s">
        <v>20</v>
      </c>
      <c r="B8" s="4">
        <v>29.844</v>
      </c>
      <c r="C8" s="4">
        <v>93.8923</v>
      </c>
      <c r="D8" s="4">
        <v>50.6081</v>
      </c>
      <c r="E8" s="4">
        <v>98.4876</v>
      </c>
      <c r="F8" s="4">
        <v>-18.7089</v>
      </c>
      <c r="G8" s="4">
        <v>-6.9484</v>
      </c>
      <c r="H8" s="4">
        <v>346.7708</v>
      </c>
      <c r="I8" s="4">
        <v>145.0545</v>
      </c>
      <c r="J8" s="4">
        <v>36.7981</v>
      </c>
      <c r="K8" s="4">
        <v>23.0703</v>
      </c>
      <c r="L8" s="4">
        <v>34.0744</v>
      </c>
      <c r="M8" s="4">
        <v>45.4274</v>
      </c>
      <c r="N8" s="4">
        <v>48.6333</v>
      </c>
      <c r="P8" s="6">
        <f>IFERROR(__xludf.DUMMYFUNCTION("""COMPUTED_VALUE"""),19.616)</f>
        <v>19.616</v>
      </c>
    </row>
    <row r="9">
      <c r="A9" s="1" t="s">
        <v>21</v>
      </c>
      <c r="B9" s="4">
        <v>24.7966</v>
      </c>
      <c r="C9" s="4">
        <v>26.6132</v>
      </c>
      <c r="D9" s="4">
        <v>19.8031</v>
      </c>
      <c r="E9" s="4">
        <v>23.3745</v>
      </c>
      <c r="F9" s="4">
        <v>23.9457</v>
      </c>
      <c r="G9" s="4">
        <v>10.7178</v>
      </c>
      <c r="H9" s="4">
        <v>14.7866</v>
      </c>
      <c r="I9" s="4">
        <v>15.5793</v>
      </c>
      <c r="J9" s="4">
        <v>14.4712</v>
      </c>
      <c r="K9" s="4">
        <v>20.4612</v>
      </c>
      <c r="L9" s="4">
        <v>18.8069</v>
      </c>
      <c r="M9" s="4">
        <v>14.9227</v>
      </c>
      <c r="N9" s="4">
        <v>13.6879</v>
      </c>
      <c r="P9" s="6">
        <f>IFERROR(__xludf.DUMMYFUNCTION("""COMPUTED_VALUE"""),19.9915)</f>
        <v>19.9915</v>
      </c>
    </row>
    <row r="10">
      <c r="A10" s="1" t="s">
        <v>22</v>
      </c>
      <c r="B10" s="4">
        <v>20.7102</v>
      </c>
      <c r="C10" s="4">
        <v>16.8729</v>
      </c>
      <c r="D10" s="4">
        <v>20.3123</v>
      </c>
      <c r="E10" s="4">
        <v>22.0052</v>
      </c>
      <c r="F10" s="4">
        <v>26.3971</v>
      </c>
      <c r="G10" s="4">
        <v>17.9546</v>
      </c>
      <c r="H10" s="4">
        <v>29.4533</v>
      </c>
      <c r="I10" s="4">
        <v>27.914</v>
      </c>
      <c r="J10" s="4">
        <v>25.2239</v>
      </c>
      <c r="K10" s="4">
        <v>21.9328</v>
      </c>
      <c r="L10" s="4">
        <v>24.2669</v>
      </c>
      <c r="M10" s="4">
        <v>21.1122</v>
      </c>
      <c r="N10" s="4">
        <v>21.9059</v>
      </c>
      <c r="P10" s="6">
        <f>IFERROR(__xludf.DUMMYFUNCTION("""COMPUTED_VALUE"""),17.9884)</f>
        <v>17.9884</v>
      </c>
    </row>
    <row r="11">
      <c r="A11" s="1" t="s">
        <v>23</v>
      </c>
      <c r="B11" s="4">
        <v>49.8533</v>
      </c>
      <c r="C11" s="4">
        <v>51.8576</v>
      </c>
      <c r="D11" s="4">
        <v>59.4091</v>
      </c>
      <c r="E11" s="4">
        <v>54.2167</v>
      </c>
      <c r="F11" s="4">
        <v>71.4311</v>
      </c>
      <c r="G11" s="4">
        <v>73.7295</v>
      </c>
      <c r="H11" s="4">
        <v>61.0583</v>
      </c>
      <c r="I11" s="4">
        <v>55.4545</v>
      </c>
      <c r="J11" s="4">
        <v>43.9918</v>
      </c>
      <c r="K11" s="4">
        <v>45.5236</v>
      </c>
      <c r="L11" s="4">
        <v>43.2771</v>
      </c>
      <c r="M11" s="4">
        <v>33.0948</v>
      </c>
      <c r="N11" s="4">
        <v>26.3185</v>
      </c>
      <c r="P11" s="6">
        <f>IFERROR(__xludf.DUMMYFUNCTION("""COMPUTED_VALUE"""),17.7055)</f>
        <v>17.7055</v>
      </c>
    </row>
    <row r="12">
      <c r="A12" s="1" t="s">
        <v>24</v>
      </c>
      <c r="B12" s="4">
        <v>18.6217</v>
      </c>
      <c r="C12" s="4">
        <v>17.3421</v>
      </c>
      <c r="D12" s="4">
        <v>17.9533</v>
      </c>
      <c r="E12" s="4">
        <v>20.1671</v>
      </c>
      <c r="F12" s="4">
        <v>21.3225</v>
      </c>
      <c r="G12" s="4">
        <v>21.9109</v>
      </c>
      <c r="H12" s="4">
        <v>60.3404</v>
      </c>
      <c r="I12" s="4">
        <v>23.1614</v>
      </c>
      <c r="J12" s="4">
        <v>17.4167</v>
      </c>
      <c r="K12" s="4">
        <v>13.494</v>
      </c>
      <c r="L12" s="4">
        <v>14.8937</v>
      </c>
      <c r="M12" s="4">
        <v>13.0209</v>
      </c>
      <c r="N12" s="4">
        <v>12.5507</v>
      </c>
      <c r="P12" s="6">
        <f>IFERROR(__xludf.DUMMYFUNCTION("""COMPUTED_VALUE"""),27.5537)</f>
        <v>27.5537</v>
      </c>
    </row>
    <row r="13">
      <c r="A13" s="1" t="s">
        <v>25</v>
      </c>
      <c r="B13" s="4">
        <v>24.3473</v>
      </c>
      <c r="C13" s="4">
        <v>23.6441</v>
      </c>
      <c r="D13" s="4">
        <v>23.9007</v>
      </c>
      <c r="E13" s="4">
        <v>36.3138</v>
      </c>
      <c r="F13" s="4">
        <v>29.9879</v>
      </c>
      <c r="G13" s="4">
        <v>16.4306</v>
      </c>
      <c r="H13" s="4">
        <v>20.9453</v>
      </c>
      <c r="I13" s="4">
        <v>15.9617</v>
      </c>
      <c r="J13" s="4">
        <v>16.2548</v>
      </c>
      <c r="K13" s="4">
        <v>20.6362</v>
      </c>
      <c r="L13" s="4">
        <v>20.4748</v>
      </c>
      <c r="M13" s="4">
        <v>17.5819</v>
      </c>
      <c r="N13" s="4">
        <v>17.5135</v>
      </c>
      <c r="P13" s="6">
        <f>IFERROR(__xludf.DUMMYFUNCTION("""COMPUTED_VALUE"""),22.1893)</f>
        <v>22.1893</v>
      </c>
    </row>
    <row r="14">
      <c r="A14" s="1" t="s">
        <v>26</v>
      </c>
      <c r="B14" s="4">
        <v>14.7463</v>
      </c>
      <c r="C14" s="4">
        <v>26.0993</v>
      </c>
      <c r="D14" s="4">
        <v>24.7387</v>
      </c>
      <c r="E14" s="4">
        <v>20.2749</v>
      </c>
      <c r="F14" s="4">
        <v>20.4206</v>
      </c>
      <c r="G14" s="4">
        <v>13.7931</v>
      </c>
      <c r="H14" s="4">
        <v>28.8058</v>
      </c>
      <c r="I14" s="4">
        <v>27.635</v>
      </c>
      <c r="J14" s="4">
        <v>32.9941</v>
      </c>
      <c r="K14" s="4">
        <v>42.329</v>
      </c>
      <c r="L14" s="4">
        <v>26.8745</v>
      </c>
      <c r="M14" s="4">
        <v>31.4572</v>
      </c>
      <c r="N14" s="4">
        <v>31.8989</v>
      </c>
      <c r="P14" s="6">
        <f>IFERROR(__xludf.DUMMYFUNCTION("""COMPUTED_VALUE"""),34.9725)</f>
        <v>34.9725</v>
      </c>
    </row>
    <row r="15">
      <c r="A15" s="1" t="s">
        <v>27</v>
      </c>
      <c r="B15" s="4">
        <v>19.5103</v>
      </c>
      <c r="C15" s="4">
        <v>19.5276</v>
      </c>
      <c r="D15" s="4">
        <v>23.1257</v>
      </c>
      <c r="E15" s="4">
        <v>28.8792</v>
      </c>
      <c r="F15" s="4">
        <v>34.7121</v>
      </c>
      <c r="G15" s="4">
        <v>28.9817</v>
      </c>
      <c r="H15" s="4">
        <v>35.356</v>
      </c>
      <c r="I15" s="4">
        <v>32.0673</v>
      </c>
      <c r="J15" s="4">
        <v>32.4321</v>
      </c>
      <c r="K15" s="4">
        <v>36.0127</v>
      </c>
      <c r="L15" s="4">
        <v>33.2527</v>
      </c>
      <c r="M15" s="4">
        <v>24.169</v>
      </c>
      <c r="N15" s="4">
        <v>22.1264</v>
      </c>
      <c r="P15" s="6">
        <f>IFERROR(__xludf.DUMMYFUNCTION("""COMPUTED_VALUE"""),49.9737)</f>
        <v>49.9737</v>
      </c>
    </row>
    <row r="16">
      <c r="A16" s="1" t="s">
        <v>28</v>
      </c>
      <c r="B16" s="4">
        <v>31.9221</v>
      </c>
      <c r="C16" s="4">
        <v>40.1671</v>
      </c>
      <c r="D16" s="4">
        <v>29.0531</v>
      </c>
      <c r="E16" s="4">
        <v>28.6412</v>
      </c>
      <c r="F16" s="4">
        <v>17.1942</v>
      </c>
      <c r="G16" s="4">
        <v>11.8585</v>
      </c>
      <c r="H16" s="4">
        <v>21.7926</v>
      </c>
      <c r="I16" s="4">
        <v>24.9316</v>
      </c>
      <c r="J16" s="4">
        <v>36.5185</v>
      </c>
      <c r="K16" s="4">
        <v>26.7414</v>
      </c>
      <c r="L16" s="4">
        <v>33.4892</v>
      </c>
      <c r="M16" s="4">
        <v>24.0259</v>
      </c>
      <c r="N16" s="4">
        <v>16.0974</v>
      </c>
      <c r="P16" s="6">
        <f>IFERROR(__xludf.DUMMYFUNCTION("""COMPUTED_VALUE"""),64.4793)</f>
        <v>64.4793</v>
      </c>
    </row>
    <row r="17">
      <c r="A17" s="1" t="s">
        <v>29</v>
      </c>
      <c r="B17" s="4">
        <v>23.0036</v>
      </c>
      <c r="C17" s="4">
        <v>18.9969</v>
      </c>
      <c r="D17" s="4">
        <v>12.5371</v>
      </c>
      <c r="E17" s="4">
        <v>13.6115</v>
      </c>
      <c r="F17" s="4">
        <v>48.6895</v>
      </c>
      <c r="G17" s="4">
        <v>-247.8261</v>
      </c>
      <c r="H17" s="4">
        <v>13.7354</v>
      </c>
      <c r="I17" s="4">
        <v>10.6965</v>
      </c>
      <c r="J17" s="4">
        <v>37.6083</v>
      </c>
      <c r="K17" s="4">
        <v>21.3079</v>
      </c>
      <c r="L17" s="4">
        <v>22.3485</v>
      </c>
      <c r="M17" s="4">
        <v>12.4039</v>
      </c>
      <c r="N17" s="4">
        <v>12.3889</v>
      </c>
      <c r="P17" s="6">
        <f>IFERROR(__xludf.DUMMYFUNCTION("""COMPUTED_VALUE"""),97.5546)</f>
        <v>97.5546</v>
      </c>
    </row>
    <row r="18">
      <c r="A18" s="1" t="s">
        <v>30</v>
      </c>
      <c r="B18" s="4">
        <v>24.9815</v>
      </c>
      <c r="C18" s="4">
        <v>29.4005</v>
      </c>
      <c r="D18" s="4">
        <v>30.5079</v>
      </c>
      <c r="E18" s="4">
        <v>58.864</v>
      </c>
      <c r="F18" s="4">
        <v>47.2109</v>
      </c>
      <c r="G18" s="4">
        <v>22.8132</v>
      </c>
      <c r="H18" s="4">
        <v>26.3433</v>
      </c>
      <c r="I18" s="4">
        <v>33.974</v>
      </c>
      <c r="J18" s="4">
        <v>24.229</v>
      </c>
      <c r="K18" s="4">
        <v>20.4369</v>
      </c>
      <c r="L18" s="4">
        <v>29.3498</v>
      </c>
      <c r="M18" s="4">
        <v>20.8746</v>
      </c>
      <c r="N18" s="4">
        <v>15.6557</v>
      </c>
      <c r="P18" s="6">
        <f>IFERROR(__xludf.DUMMYFUNCTION("""COMPUTED_VALUE"""),77.5053)</f>
        <v>77.5053</v>
      </c>
    </row>
    <row r="19">
      <c r="A19" s="1" t="s">
        <v>31</v>
      </c>
      <c r="B19" s="4">
        <v>17.5836</v>
      </c>
      <c r="C19" s="4">
        <v>15.6547</v>
      </c>
      <c r="D19" s="4">
        <v>10.0487</v>
      </c>
      <c r="E19" s="4">
        <v>7.8459</v>
      </c>
      <c r="F19" s="4">
        <v>7.1587</v>
      </c>
      <c r="G19" s="4">
        <v>7.1843</v>
      </c>
      <c r="H19" s="4">
        <v>9.7514</v>
      </c>
      <c r="I19" s="4">
        <v>15.9193</v>
      </c>
      <c r="J19" s="4">
        <v>12.7654</v>
      </c>
      <c r="K19" s="4">
        <v>9.8321</v>
      </c>
      <c r="L19" s="4">
        <v>12.1676</v>
      </c>
      <c r="M19" s="4">
        <v>8.6732</v>
      </c>
      <c r="N19" s="4">
        <v>9.2993</v>
      </c>
      <c r="P19" s="6">
        <f>IFERROR(__xludf.DUMMYFUNCTION("""COMPUTED_VALUE"""),59.1028)</f>
        <v>59.1028</v>
      </c>
    </row>
    <row r="20">
      <c r="A20" s="1" t="s">
        <v>32</v>
      </c>
      <c r="B20" s="4">
        <v>17.4026</v>
      </c>
      <c r="C20" s="4">
        <v>15.9591</v>
      </c>
      <c r="D20" s="4">
        <v>10.2127</v>
      </c>
      <c r="E20" s="4">
        <v>8.9905</v>
      </c>
      <c r="F20" s="4">
        <v>9.372</v>
      </c>
      <c r="G20" s="4">
        <v>7.5213</v>
      </c>
      <c r="H20" s="4">
        <v>10.3285</v>
      </c>
      <c r="I20" s="4">
        <v>12.3629</v>
      </c>
      <c r="J20" s="4">
        <v>13.8483</v>
      </c>
      <c r="K20" s="4">
        <v>12.2125</v>
      </c>
      <c r="L20" s="4">
        <v>15.0622</v>
      </c>
      <c r="M20" s="4">
        <v>11.0929</v>
      </c>
      <c r="N20" s="4">
        <v>11.368</v>
      </c>
      <c r="P20" s="6">
        <f>IFERROR(__xludf.DUMMYFUNCTION("""COMPUTED_VALUE"""),66.3657)</f>
        <v>66.3657</v>
      </c>
    </row>
    <row r="21">
      <c r="A21" s="1" t="s">
        <v>33</v>
      </c>
      <c r="B21" s="4">
        <v>24.7717</v>
      </c>
      <c r="C21" s="4">
        <v>28.9291</v>
      </c>
      <c r="D21" s="4">
        <v>23.6439</v>
      </c>
      <c r="E21" s="4">
        <v>28.6299</v>
      </c>
      <c r="F21" s="4">
        <v>26.2302</v>
      </c>
      <c r="G21" s="4">
        <v>17.6383</v>
      </c>
      <c r="H21" s="4">
        <v>20.3988</v>
      </c>
      <c r="I21" s="4">
        <v>14.4864</v>
      </c>
      <c r="J21" s="4">
        <v>13.0188</v>
      </c>
      <c r="K21" s="4">
        <v>10.3521</v>
      </c>
      <c r="L21" s="4">
        <v>10.2946</v>
      </c>
      <c r="M21" s="4">
        <v>12.1424</v>
      </c>
      <c r="N21" s="4">
        <v>10.9512</v>
      </c>
      <c r="P21" s="6">
        <f>IFERROR(__xludf.DUMMYFUNCTION("""COMPUTED_VALUE"""),52.714)</f>
        <v>52.714</v>
      </c>
    </row>
    <row r="22">
      <c r="A22" s="1" t="s">
        <v>34</v>
      </c>
      <c r="B22" s="4">
        <v>8.8781</v>
      </c>
      <c r="C22" s="4">
        <v>10.012</v>
      </c>
      <c r="D22" s="4">
        <v>8.3994</v>
      </c>
      <c r="E22" s="4">
        <v>12.447</v>
      </c>
      <c r="F22" s="4">
        <v>14.5102</v>
      </c>
      <c r="G22" s="4">
        <v>8.8916</v>
      </c>
      <c r="H22" s="4">
        <v>124.3411</v>
      </c>
      <c r="I22" s="4">
        <v>-46.8352</v>
      </c>
      <c r="J22" s="4">
        <v>943.871</v>
      </c>
      <c r="K22" s="4">
        <v>12.1818</v>
      </c>
      <c r="L22" s="4">
        <v>11.7311</v>
      </c>
      <c r="M22" s="4">
        <v>10.1043</v>
      </c>
      <c r="N22" s="4">
        <v>0.9373</v>
      </c>
      <c r="P22" s="6">
        <f>IFERROR(__xludf.DUMMYFUNCTION("""COMPUTED_VALUE"""),52.9773)</f>
        <v>52.9773</v>
      </c>
    </row>
    <row r="23">
      <c r="A23" s="1" t="s">
        <v>35</v>
      </c>
      <c r="B23" s="4">
        <v>38.0581</v>
      </c>
      <c r="C23" s="4">
        <v>40.614</v>
      </c>
      <c r="D23" s="4">
        <v>27.8499</v>
      </c>
      <c r="E23" s="4">
        <v>67.2647</v>
      </c>
      <c r="F23" s="4">
        <v>49.3884</v>
      </c>
      <c r="G23" s="4">
        <v>22.4331</v>
      </c>
      <c r="H23" s="4">
        <v>43.1757</v>
      </c>
      <c r="I23" s="4">
        <v>55.0444</v>
      </c>
      <c r="J23" s="4">
        <v>23.7138</v>
      </c>
      <c r="K23" s="4">
        <v>43.3571</v>
      </c>
      <c r="L23" s="4">
        <v>30.336</v>
      </c>
      <c r="M23" s="4">
        <v>37.7204</v>
      </c>
      <c r="N23" s="4">
        <v>28.4149</v>
      </c>
      <c r="P23" s="6">
        <f>IFERROR(__xludf.DUMMYFUNCTION("""COMPUTED_VALUE"""),47.757)</f>
        <v>47.757</v>
      </c>
    </row>
    <row r="24">
      <c r="A24" s="1" t="s">
        <v>36</v>
      </c>
      <c r="B24" s="4">
        <v>8.5539</v>
      </c>
      <c r="C24" s="4">
        <v>12.1171</v>
      </c>
      <c r="D24" s="4">
        <v>66.868</v>
      </c>
      <c r="E24" s="4">
        <v>-14.508</v>
      </c>
      <c r="F24" s="4">
        <v>-8.1603</v>
      </c>
      <c r="G24" s="4">
        <v>-2.037</v>
      </c>
      <c r="H24" s="4">
        <v>-2.0532</v>
      </c>
      <c r="I24" s="4">
        <v>12.3753</v>
      </c>
      <c r="J24" s="4">
        <v>21.2375</v>
      </c>
      <c r="K24" s="4">
        <v>11.2788</v>
      </c>
      <c r="L24" s="4">
        <v>12.66</v>
      </c>
      <c r="M24" s="4">
        <v>9.1554</v>
      </c>
      <c r="N24" s="4">
        <v>8.6815</v>
      </c>
      <c r="P24" s="6">
        <f>IFERROR(__xludf.DUMMYFUNCTION("""COMPUTED_VALUE"""),55.6224)</f>
        <v>55.6224</v>
      </c>
    </row>
    <row r="25">
      <c r="A25" s="1" t="s">
        <v>37</v>
      </c>
      <c r="B25" s="4">
        <v>56.2956</v>
      </c>
      <c r="C25" s="4">
        <v>-43.0663</v>
      </c>
      <c r="D25" s="4">
        <v>14.5746</v>
      </c>
      <c r="E25" s="4">
        <v>3.9328</v>
      </c>
      <c r="F25" s="4">
        <v>12.7305</v>
      </c>
      <c r="G25" s="4">
        <v>22.7445</v>
      </c>
      <c r="H25" s="4">
        <v>5.9356</v>
      </c>
      <c r="I25" s="4">
        <v>4.456</v>
      </c>
      <c r="J25" s="4">
        <v>-11.2532</v>
      </c>
      <c r="K25" s="4">
        <v>-46.1705</v>
      </c>
      <c r="L25" s="4">
        <v>-7.5012</v>
      </c>
      <c r="M25" s="4">
        <v>11.1921</v>
      </c>
      <c r="N25" s="4">
        <v>-4.1897</v>
      </c>
      <c r="P25" s="6">
        <f>IFERROR(__xludf.DUMMYFUNCTION("""COMPUTED_VALUE"""),42.9976)</f>
        <v>42.9976</v>
      </c>
    </row>
    <row r="26">
      <c r="A26" s="1" t="s">
        <v>38</v>
      </c>
      <c r="B26" s="4">
        <v>26.8608</v>
      </c>
      <c r="C26" s="4">
        <v>30.8512</v>
      </c>
      <c r="D26" s="4">
        <v>27.8305</v>
      </c>
      <c r="E26" s="4">
        <v>36.0818</v>
      </c>
      <c r="F26" s="4">
        <v>36.6463</v>
      </c>
      <c r="G26" s="4">
        <v>21.1515</v>
      </c>
      <c r="H26" s="4">
        <v>24.0867</v>
      </c>
      <c r="I26" s="4">
        <v>21.2333</v>
      </c>
      <c r="J26" s="4">
        <v>18.2228</v>
      </c>
      <c r="K26" s="4">
        <v>20.4258</v>
      </c>
      <c r="L26" s="4">
        <v>25.1312</v>
      </c>
      <c r="M26" s="4">
        <v>21.7902</v>
      </c>
      <c r="N26" s="4">
        <v>22.1411</v>
      </c>
      <c r="P26" s="6">
        <f>IFERROR(__xludf.DUMMYFUNCTION("""COMPUTED_VALUE"""),12.1462)</f>
        <v>12.1462</v>
      </c>
    </row>
    <row r="27">
      <c r="A27" s="1" t="s">
        <v>39</v>
      </c>
      <c r="B27" s="4">
        <v>29.5417</v>
      </c>
      <c r="C27" s="4">
        <v>46.9017</v>
      </c>
      <c r="D27" s="4">
        <v>20.1214</v>
      </c>
      <c r="E27" s="4">
        <v>23.6781</v>
      </c>
      <c r="F27" s="4">
        <v>19.5744</v>
      </c>
      <c r="G27" s="4">
        <v>12.2257</v>
      </c>
      <c r="H27" s="4">
        <v>16.014</v>
      </c>
      <c r="I27" s="4">
        <v>14.8373</v>
      </c>
      <c r="J27" s="4">
        <v>14.2999</v>
      </c>
      <c r="K27" s="4">
        <v>13.7772</v>
      </c>
      <c r="L27" s="4">
        <v>22.9224</v>
      </c>
      <c r="M27" s="4">
        <v>13.7777</v>
      </c>
      <c r="N27" s="4">
        <v>10.5022</v>
      </c>
      <c r="P27" s="6">
        <f>IFERROR(__xludf.DUMMYFUNCTION("""COMPUTED_VALUE"""),12.2436)</f>
        <v>12.2436</v>
      </c>
    </row>
    <row r="28">
      <c r="A28" s="1" t="s">
        <v>40</v>
      </c>
      <c r="B28" s="4">
        <v>81.4407</v>
      </c>
      <c r="C28" s="4">
        <v>96.5673</v>
      </c>
      <c r="D28" s="4">
        <v>68.6998</v>
      </c>
      <c r="E28" s="4">
        <v>103.559</v>
      </c>
      <c r="F28" s="4">
        <v>142.099</v>
      </c>
      <c r="G28" s="4">
        <v>55.204</v>
      </c>
      <c r="H28" s="4">
        <v>71.9027</v>
      </c>
      <c r="I28" s="4">
        <v>73.8196</v>
      </c>
      <c r="J28" s="4">
        <v>56.4627</v>
      </c>
      <c r="K28" s="4">
        <v>44.5789</v>
      </c>
      <c r="L28" s="4">
        <v>42.6551</v>
      </c>
      <c r="M28" s="4">
        <v>31.6969</v>
      </c>
      <c r="N28" s="4">
        <v>31.3953</v>
      </c>
      <c r="P28" s="6">
        <f>IFERROR(__xludf.DUMMYFUNCTION("""COMPUTED_VALUE"""),24.3878)</f>
        <v>24.3878</v>
      </c>
    </row>
    <row r="29">
      <c r="A29" s="1" t="s">
        <v>41</v>
      </c>
      <c r="B29" s="4">
        <v>122.065</v>
      </c>
      <c r="C29" s="4">
        <v>94.4154</v>
      </c>
      <c r="D29" s="4">
        <v>109.92</v>
      </c>
      <c r="E29" s="4">
        <v>428.322</v>
      </c>
      <c r="F29" s="4">
        <v>-182.847</v>
      </c>
      <c r="G29" s="4">
        <v>135.751</v>
      </c>
      <c r="H29" s="4">
        <v>123.236</v>
      </c>
      <c r="I29" s="4">
        <v>132.118</v>
      </c>
      <c r="J29" s="4">
        <v>104.177</v>
      </c>
      <c r="K29" s="4">
        <v>961.242</v>
      </c>
      <c r="L29" s="4">
        <v>37.7274</v>
      </c>
      <c r="M29" s="4">
        <v>-183.566</v>
      </c>
      <c r="N29" s="4">
        <v>-113.533</v>
      </c>
      <c r="P29" s="6">
        <f>IFERROR(__xludf.DUMMYFUNCTION("""COMPUTED_VALUE"""),16.5215)</f>
        <v>16.5215</v>
      </c>
    </row>
    <row r="30">
      <c r="A30" s="1" t="s">
        <v>42</v>
      </c>
      <c r="B30" s="4">
        <v>56.0375</v>
      </c>
      <c r="C30" s="4">
        <v>40.0948</v>
      </c>
      <c r="D30" s="4">
        <v>43.3867</v>
      </c>
      <c r="E30" s="4">
        <v>25.9274</v>
      </c>
      <c r="F30" s="4">
        <v>35.5718</v>
      </c>
      <c r="G30" s="4">
        <v>16.3079</v>
      </c>
      <c r="H30" s="4">
        <v>47.5964</v>
      </c>
      <c r="I30" s="4">
        <v>48.775</v>
      </c>
      <c r="J30" s="4">
        <v>40.3351</v>
      </c>
      <c r="K30" s="4">
        <v>35.7364</v>
      </c>
      <c r="L30" s="4">
        <v>37.5915</v>
      </c>
      <c r="M30" s="4">
        <v>27.2082</v>
      </c>
      <c r="N30" s="4">
        <v>19.1217</v>
      </c>
      <c r="P30" s="6">
        <f>IFERROR(__xludf.DUMMYFUNCTION("""COMPUTED_VALUE"""),28.8342)</f>
        <v>28.8342</v>
      </c>
    </row>
    <row r="31">
      <c r="P31" s="6">
        <f>IFERROR(__xludf.DUMMYFUNCTION("""COMPUTED_VALUE"""),55.5344)</f>
        <v>55.5344</v>
      </c>
    </row>
    <row r="32">
      <c r="P32" s="6">
        <f>IFERROR(__xludf.DUMMYFUNCTION("""COMPUTED_VALUE"""),39.5767)</f>
        <v>39.5767</v>
      </c>
    </row>
    <row r="33">
      <c r="P33" s="6">
        <f>IFERROR(__xludf.DUMMYFUNCTION("""COMPUTED_VALUE"""),273.871)</f>
        <v>273.871</v>
      </c>
    </row>
    <row r="34">
      <c r="A34" s="7" t="s">
        <v>43</v>
      </c>
      <c r="B34" s="8">
        <f>MIN(B2:N30)</f>
        <v>-247.8261</v>
      </c>
      <c r="P34" s="6">
        <f>IFERROR(__xludf.DUMMYFUNCTION("""COMPUTED_VALUE"""),29.6735)</f>
        <v>29.6735</v>
      </c>
    </row>
    <row r="35">
      <c r="A35" s="7" t="s">
        <v>44</v>
      </c>
      <c r="B35" s="8">
        <f>MAX(B2:N30)</f>
        <v>961.242</v>
      </c>
      <c r="P35" s="6">
        <f>IFERROR(__xludf.DUMMYFUNCTION("""COMPUTED_VALUE"""),12.658)</f>
        <v>12.658</v>
      </c>
    </row>
    <row r="36">
      <c r="P36" s="6">
        <f>IFERROR(__xludf.DUMMYFUNCTION("""COMPUTED_VALUE"""),17.7567)</f>
        <v>17.7567</v>
      </c>
    </row>
    <row r="37">
      <c r="P37" s="6">
        <f>IFERROR(__xludf.DUMMYFUNCTION("""COMPUTED_VALUE"""),10.8559)</f>
        <v>10.8559</v>
      </c>
    </row>
    <row r="38">
      <c r="P38" s="6">
        <f>IFERROR(__xludf.DUMMYFUNCTION("""COMPUTED_VALUE"""),160.9487)</f>
        <v>160.9487</v>
      </c>
    </row>
    <row r="39">
      <c r="P39" s="6">
        <f>IFERROR(__xludf.DUMMYFUNCTION("""COMPUTED_VALUE"""),141.4131)</f>
        <v>141.4131</v>
      </c>
    </row>
    <row r="40">
      <c r="P40" s="6">
        <f>IFERROR(__xludf.DUMMYFUNCTION("""COMPUTED_VALUE"""),139.34)</f>
        <v>139.34</v>
      </c>
    </row>
    <row r="41">
      <c r="P41" s="6">
        <f>IFERROR(__xludf.DUMMYFUNCTION("""COMPUTED_VALUE"""),25.3549)</f>
        <v>25.3549</v>
      </c>
    </row>
    <row r="42">
      <c r="P42" s="6">
        <f>IFERROR(__xludf.DUMMYFUNCTION("""COMPUTED_VALUE"""),18.33)</f>
        <v>18.33</v>
      </c>
    </row>
    <row r="43">
      <c r="P43" s="6">
        <f>IFERROR(__xludf.DUMMYFUNCTION("""COMPUTED_VALUE"""),10.4679)</f>
        <v>10.4679</v>
      </c>
    </row>
    <row r="44">
      <c r="P44" s="6">
        <f>IFERROR(__xludf.DUMMYFUNCTION("""COMPUTED_VALUE"""),14.9523)</f>
        <v>14.9523</v>
      </c>
    </row>
    <row r="45">
      <c r="P45" s="6">
        <f>IFERROR(__xludf.DUMMYFUNCTION("""COMPUTED_VALUE"""),10.6291)</f>
        <v>10.6291</v>
      </c>
    </row>
    <row r="46">
      <c r="P46" s="6">
        <f>IFERROR(__xludf.DUMMYFUNCTION("""COMPUTED_VALUE"""),8.2625)</f>
        <v>8.2625</v>
      </c>
    </row>
    <row r="47">
      <c r="P47" s="6">
        <f>IFERROR(__xludf.DUMMYFUNCTION("""COMPUTED_VALUE"""),59.1734)</f>
        <v>59.1734</v>
      </c>
    </row>
    <row r="48">
      <c r="P48" s="6">
        <f>IFERROR(__xludf.DUMMYFUNCTION("""COMPUTED_VALUE"""),38.5711)</f>
        <v>38.5711</v>
      </c>
    </row>
    <row r="49">
      <c r="P49" s="6">
        <f>IFERROR(__xludf.DUMMYFUNCTION("""COMPUTED_VALUE"""),18.4541)</f>
        <v>18.4541</v>
      </c>
    </row>
    <row r="50">
      <c r="P50" s="6">
        <f>IFERROR(__xludf.DUMMYFUNCTION("""COMPUTED_VALUE"""),7.4587)</f>
        <v>7.4587</v>
      </c>
    </row>
    <row r="51">
      <c r="P51" s="6">
        <f>IFERROR(__xludf.DUMMYFUNCTION("""COMPUTED_VALUE"""),6.9385)</f>
        <v>6.9385</v>
      </c>
    </row>
    <row r="52">
      <c r="P52" s="6">
        <f>IFERROR(__xludf.DUMMYFUNCTION("""COMPUTED_VALUE"""),6.6465)</f>
        <v>6.6465</v>
      </c>
    </row>
    <row r="53">
      <c r="P53" s="6">
        <f>IFERROR(__xludf.DUMMYFUNCTION("""COMPUTED_VALUE"""),146.1947)</f>
        <v>146.1947</v>
      </c>
    </row>
    <row r="54">
      <c r="P54" s="6">
        <f>IFERROR(__xludf.DUMMYFUNCTION("""COMPUTED_VALUE"""),131.3917)</f>
        <v>131.3917</v>
      </c>
    </row>
    <row r="55">
      <c r="P55" s="6">
        <f>IFERROR(__xludf.DUMMYFUNCTION("""COMPUTED_VALUE"""),51.1279)</f>
        <v>51.1279</v>
      </c>
    </row>
    <row r="56">
      <c r="P56" s="6">
        <f>IFERROR(__xludf.DUMMYFUNCTION("""COMPUTED_VALUE"""),101.4777)</f>
        <v>101.4777</v>
      </c>
    </row>
    <row r="57">
      <c r="P57" s="6">
        <f>IFERROR(__xludf.DUMMYFUNCTION("""COMPUTED_VALUE"""),108.9304)</f>
        <v>108.9304</v>
      </c>
    </row>
    <row r="58">
      <c r="P58" s="6">
        <f>IFERROR(__xludf.DUMMYFUNCTION("""COMPUTED_VALUE"""),120.1941)</f>
        <v>120.1941</v>
      </c>
    </row>
    <row r="59">
      <c r="P59" s="6">
        <f>IFERROR(__xludf.DUMMYFUNCTION("""COMPUTED_VALUE"""),7.031)</f>
        <v>7.031</v>
      </c>
    </row>
    <row r="60">
      <c r="P60" s="6">
        <f>IFERROR(__xludf.DUMMYFUNCTION("""COMPUTED_VALUE"""),7.7217)</f>
        <v>7.7217</v>
      </c>
    </row>
    <row r="61">
      <c r="P61" s="6">
        <f>IFERROR(__xludf.DUMMYFUNCTION("""COMPUTED_VALUE"""),5.4576)</f>
        <v>5.4576</v>
      </c>
    </row>
    <row r="62">
      <c r="P62" s="6">
        <f>IFERROR(__xludf.DUMMYFUNCTION("""COMPUTED_VALUE"""),41.3736)</f>
        <v>41.3736</v>
      </c>
    </row>
    <row r="63">
      <c r="P63" s="6">
        <f>IFERROR(__xludf.DUMMYFUNCTION("""COMPUTED_VALUE"""),36.9633)</f>
        <v>36.9633</v>
      </c>
    </row>
    <row r="64">
      <c r="P64" s="6">
        <f>IFERROR(__xludf.DUMMYFUNCTION("""COMPUTED_VALUE"""),23.8509)</f>
        <v>23.8509</v>
      </c>
    </row>
    <row r="65">
      <c r="P65" s="6">
        <f>IFERROR(__xludf.DUMMYFUNCTION("""COMPUTED_VALUE"""),21.4061)</f>
        <v>21.4061</v>
      </c>
    </row>
    <row r="66">
      <c r="P66" s="6">
        <f>IFERROR(__xludf.DUMMYFUNCTION("""COMPUTED_VALUE"""),14.5128)</f>
        <v>14.5128</v>
      </c>
    </row>
    <row r="67">
      <c r="P67" s="6">
        <f>IFERROR(__xludf.DUMMYFUNCTION("""COMPUTED_VALUE"""),9.9266)</f>
        <v>9.9266</v>
      </c>
    </row>
    <row r="68">
      <c r="P68" s="6">
        <f>IFERROR(__xludf.DUMMYFUNCTION("""COMPUTED_VALUE"""),12.0543)</f>
        <v>12.0543</v>
      </c>
    </row>
    <row r="69">
      <c r="P69" s="6">
        <f>IFERROR(__xludf.DUMMYFUNCTION("""COMPUTED_VALUE"""),24.3654)</f>
        <v>24.3654</v>
      </c>
    </row>
    <row r="70">
      <c r="P70" s="6">
        <f>IFERROR(__xludf.DUMMYFUNCTION("""COMPUTED_VALUE"""),26.3215)</f>
        <v>26.3215</v>
      </c>
    </row>
    <row r="71">
      <c r="P71" s="6">
        <f>IFERROR(__xludf.DUMMYFUNCTION("""COMPUTED_VALUE"""),218.9408)</f>
        <v>218.9408</v>
      </c>
    </row>
    <row r="72">
      <c r="P72" s="6">
        <f>IFERROR(__xludf.DUMMYFUNCTION("""COMPUTED_VALUE"""),22.3672)</f>
        <v>22.3672</v>
      </c>
    </row>
    <row r="73">
      <c r="P73" s="6">
        <f>IFERROR(__xludf.DUMMYFUNCTION("""COMPUTED_VALUE"""),9.6262)</f>
        <v>9.6262</v>
      </c>
    </row>
    <row r="74">
      <c r="P74" s="6">
        <f>IFERROR(__xludf.DUMMYFUNCTION("""COMPUTED_VALUE"""),29.844)</f>
        <v>29.844</v>
      </c>
    </row>
    <row r="75">
      <c r="P75" s="6">
        <f>IFERROR(__xludf.DUMMYFUNCTION("""COMPUTED_VALUE"""),93.8923)</f>
        <v>93.8923</v>
      </c>
    </row>
    <row r="76">
      <c r="P76" s="6">
        <f>IFERROR(__xludf.DUMMYFUNCTION("""COMPUTED_VALUE"""),50.6081)</f>
        <v>50.6081</v>
      </c>
    </row>
    <row r="77">
      <c r="P77" s="6">
        <f>IFERROR(__xludf.DUMMYFUNCTION("""COMPUTED_VALUE"""),98.4876)</f>
        <v>98.4876</v>
      </c>
    </row>
    <row r="78">
      <c r="P78" s="6">
        <f>IFERROR(__xludf.DUMMYFUNCTION("""COMPUTED_VALUE"""),-18.7089)</f>
        <v>-18.7089</v>
      </c>
    </row>
    <row r="79">
      <c r="P79" s="6">
        <f>IFERROR(__xludf.DUMMYFUNCTION("""COMPUTED_VALUE"""),-6.9484)</f>
        <v>-6.9484</v>
      </c>
    </row>
    <row r="80">
      <c r="P80" s="6">
        <f>IFERROR(__xludf.DUMMYFUNCTION("""COMPUTED_VALUE"""),346.7708)</f>
        <v>346.7708</v>
      </c>
    </row>
    <row r="81">
      <c r="P81" s="6">
        <f>IFERROR(__xludf.DUMMYFUNCTION("""COMPUTED_VALUE"""),145.0545)</f>
        <v>145.0545</v>
      </c>
    </row>
    <row r="82">
      <c r="P82" s="6">
        <f>IFERROR(__xludf.DUMMYFUNCTION("""COMPUTED_VALUE"""),36.7981)</f>
        <v>36.7981</v>
      </c>
    </row>
    <row r="83">
      <c r="P83" s="6">
        <f>IFERROR(__xludf.DUMMYFUNCTION("""COMPUTED_VALUE"""),23.0703)</f>
        <v>23.0703</v>
      </c>
    </row>
    <row r="84">
      <c r="P84" s="6">
        <f>IFERROR(__xludf.DUMMYFUNCTION("""COMPUTED_VALUE"""),34.0744)</f>
        <v>34.0744</v>
      </c>
    </row>
    <row r="85">
      <c r="P85" s="6">
        <f>IFERROR(__xludf.DUMMYFUNCTION("""COMPUTED_VALUE"""),45.4274)</f>
        <v>45.4274</v>
      </c>
    </row>
    <row r="86">
      <c r="P86" s="6">
        <f>IFERROR(__xludf.DUMMYFUNCTION("""COMPUTED_VALUE"""),24.7966)</f>
        <v>24.7966</v>
      </c>
    </row>
    <row r="87">
      <c r="P87" s="6">
        <f>IFERROR(__xludf.DUMMYFUNCTION("""COMPUTED_VALUE"""),26.6132)</f>
        <v>26.6132</v>
      </c>
    </row>
    <row r="88">
      <c r="P88" s="6">
        <f>IFERROR(__xludf.DUMMYFUNCTION("""COMPUTED_VALUE"""),19.8031)</f>
        <v>19.8031</v>
      </c>
    </row>
    <row r="89">
      <c r="P89" s="6">
        <f>IFERROR(__xludf.DUMMYFUNCTION("""COMPUTED_VALUE"""),23.3745)</f>
        <v>23.3745</v>
      </c>
    </row>
    <row r="90">
      <c r="P90" s="6">
        <f>IFERROR(__xludf.DUMMYFUNCTION("""COMPUTED_VALUE"""),23.9457)</f>
        <v>23.9457</v>
      </c>
    </row>
    <row r="91">
      <c r="P91" s="6">
        <f>IFERROR(__xludf.DUMMYFUNCTION("""COMPUTED_VALUE"""),10.7178)</f>
        <v>10.7178</v>
      </c>
    </row>
    <row r="92">
      <c r="P92" s="6">
        <f>IFERROR(__xludf.DUMMYFUNCTION("""COMPUTED_VALUE"""),14.7866)</f>
        <v>14.7866</v>
      </c>
    </row>
    <row r="93">
      <c r="P93" s="6">
        <f>IFERROR(__xludf.DUMMYFUNCTION("""COMPUTED_VALUE"""),15.5793)</f>
        <v>15.5793</v>
      </c>
    </row>
    <row r="94">
      <c r="P94" s="6">
        <f>IFERROR(__xludf.DUMMYFUNCTION("""COMPUTED_VALUE"""),14.4712)</f>
        <v>14.4712</v>
      </c>
    </row>
    <row r="95">
      <c r="P95" s="6">
        <f>IFERROR(__xludf.DUMMYFUNCTION("""COMPUTED_VALUE"""),20.4612)</f>
        <v>20.4612</v>
      </c>
    </row>
    <row r="96">
      <c r="P96" s="6">
        <f>IFERROR(__xludf.DUMMYFUNCTION("""COMPUTED_VALUE"""),18.8069)</f>
        <v>18.8069</v>
      </c>
    </row>
    <row r="97">
      <c r="P97" s="6">
        <f>IFERROR(__xludf.DUMMYFUNCTION("""COMPUTED_VALUE"""),14.9227)</f>
        <v>14.9227</v>
      </c>
    </row>
    <row r="98">
      <c r="P98" s="6">
        <f>IFERROR(__xludf.DUMMYFUNCTION("""COMPUTED_VALUE"""),20.7102)</f>
        <v>20.7102</v>
      </c>
    </row>
    <row r="99">
      <c r="P99" s="6">
        <f>IFERROR(__xludf.DUMMYFUNCTION("""COMPUTED_VALUE"""),16.8729)</f>
        <v>16.8729</v>
      </c>
    </row>
    <row r="100">
      <c r="P100" s="6">
        <f>IFERROR(__xludf.DUMMYFUNCTION("""COMPUTED_VALUE"""),20.3123)</f>
        <v>20.3123</v>
      </c>
    </row>
    <row r="101">
      <c r="P101" s="6">
        <f>IFERROR(__xludf.DUMMYFUNCTION("""COMPUTED_VALUE"""),22.0052)</f>
        <v>22.0052</v>
      </c>
    </row>
    <row r="102">
      <c r="P102" s="6">
        <f>IFERROR(__xludf.DUMMYFUNCTION("""COMPUTED_VALUE"""),26.3971)</f>
        <v>26.3971</v>
      </c>
    </row>
    <row r="103">
      <c r="P103" s="6">
        <f>IFERROR(__xludf.DUMMYFUNCTION("""COMPUTED_VALUE"""),17.9546)</f>
        <v>17.9546</v>
      </c>
    </row>
    <row r="104">
      <c r="P104" s="6">
        <f>IFERROR(__xludf.DUMMYFUNCTION("""COMPUTED_VALUE"""),29.4533)</f>
        <v>29.4533</v>
      </c>
    </row>
    <row r="105">
      <c r="P105" s="6">
        <f>IFERROR(__xludf.DUMMYFUNCTION("""COMPUTED_VALUE"""),27.914)</f>
        <v>27.914</v>
      </c>
    </row>
    <row r="106">
      <c r="P106" s="6">
        <f>IFERROR(__xludf.DUMMYFUNCTION("""COMPUTED_VALUE"""),25.2239)</f>
        <v>25.2239</v>
      </c>
    </row>
    <row r="107">
      <c r="P107" s="6">
        <f>IFERROR(__xludf.DUMMYFUNCTION("""COMPUTED_VALUE"""),21.9328)</f>
        <v>21.9328</v>
      </c>
    </row>
    <row r="108">
      <c r="P108" s="6">
        <f>IFERROR(__xludf.DUMMYFUNCTION("""COMPUTED_VALUE"""),24.2669)</f>
        <v>24.2669</v>
      </c>
    </row>
    <row r="109">
      <c r="P109" s="6">
        <f>IFERROR(__xludf.DUMMYFUNCTION("""COMPUTED_VALUE"""),21.1122)</f>
        <v>21.1122</v>
      </c>
    </row>
    <row r="110">
      <c r="P110" s="6">
        <f>IFERROR(__xludf.DUMMYFUNCTION("""COMPUTED_VALUE"""),49.8533)</f>
        <v>49.8533</v>
      </c>
    </row>
    <row r="111">
      <c r="P111" s="6">
        <f>IFERROR(__xludf.DUMMYFUNCTION("""COMPUTED_VALUE"""),51.8576)</f>
        <v>51.8576</v>
      </c>
    </row>
    <row r="112">
      <c r="P112" s="6">
        <f>IFERROR(__xludf.DUMMYFUNCTION("""COMPUTED_VALUE"""),59.4091)</f>
        <v>59.4091</v>
      </c>
    </row>
    <row r="113">
      <c r="P113" s="6">
        <f>IFERROR(__xludf.DUMMYFUNCTION("""COMPUTED_VALUE"""),54.2167)</f>
        <v>54.2167</v>
      </c>
    </row>
    <row r="114">
      <c r="P114" s="6">
        <f>IFERROR(__xludf.DUMMYFUNCTION("""COMPUTED_VALUE"""),71.4311)</f>
        <v>71.4311</v>
      </c>
    </row>
    <row r="115">
      <c r="P115" s="6">
        <f>IFERROR(__xludf.DUMMYFUNCTION("""COMPUTED_VALUE"""),73.7295)</f>
        <v>73.7295</v>
      </c>
    </row>
    <row r="116">
      <c r="P116" s="6">
        <f>IFERROR(__xludf.DUMMYFUNCTION("""COMPUTED_VALUE"""),61.0583)</f>
        <v>61.0583</v>
      </c>
    </row>
    <row r="117">
      <c r="P117" s="6">
        <f>IFERROR(__xludf.DUMMYFUNCTION("""COMPUTED_VALUE"""),55.4545)</f>
        <v>55.4545</v>
      </c>
    </row>
    <row r="118">
      <c r="P118" s="6">
        <f>IFERROR(__xludf.DUMMYFUNCTION("""COMPUTED_VALUE"""),43.9918)</f>
        <v>43.9918</v>
      </c>
    </row>
    <row r="119">
      <c r="P119" s="6">
        <f>IFERROR(__xludf.DUMMYFUNCTION("""COMPUTED_VALUE"""),45.5236)</f>
        <v>45.5236</v>
      </c>
    </row>
    <row r="120">
      <c r="P120" s="6">
        <f>IFERROR(__xludf.DUMMYFUNCTION("""COMPUTED_VALUE"""),43.2771)</f>
        <v>43.2771</v>
      </c>
    </row>
    <row r="121">
      <c r="P121" s="6">
        <f>IFERROR(__xludf.DUMMYFUNCTION("""COMPUTED_VALUE"""),33.0948)</f>
        <v>33.0948</v>
      </c>
    </row>
    <row r="122">
      <c r="P122" s="6">
        <f>IFERROR(__xludf.DUMMYFUNCTION("""COMPUTED_VALUE"""),18.6217)</f>
        <v>18.6217</v>
      </c>
    </row>
    <row r="123">
      <c r="P123" s="6">
        <f>IFERROR(__xludf.DUMMYFUNCTION("""COMPUTED_VALUE"""),17.3421)</f>
        <v>17.3421</v>
      </c>
    </row>
    <row r="124">
      <c r="P124" s="6">
        <f>IFERROR(__xludf.DUMMYFUNCTION("""COMPUTED_VALUE"""),17.9533)</f>
        <v>17.9533</v>
      </c>
    </row>
    <row r="125">
      <c r="P125" s="6">
        <f>IFERROR(__xludf.DUMMYFUNCTION("""COMPUTED_VALUE"""),20.1671)</f>
        <v>20.1671</v>
      </c>
    </row>
    <row r="126">
      <c r="P126" s="6">
        <f>IFERROR(__xludf.DUMMYFUNCTION("""COMPUTED_VALUE"""),21.3225)</f>
        <v>21.3225</v>
      </c>
    </row>
    <row r="127">
      <c r="P127" s="6">
        <f>IFERROR(__xludf.DUMMYFUNCTION("""COMPUTED_VALUE"""),21.9109)</f>
        <v>21.9109</v>
      </c>
    </row>
    <row r="128">
      <c r="P128" s="6">
        <f>IFERROR(__xludf.DUMMYFUNCTION("""COMPUTED_VALUE"""),60.3404)</f>
        <v>60.3404</v>
      </c>
    </row>
    <row r="129">
      <c r="P129" s="6">
        <f>IFERROR(__xludf.DUMMYFUNCTION("""COMPUTED_VALUE"""),23.1614)</f>
        <v>23.1614</v>
      </c>
    </row>
    <row r="130">
      <c r="P130" s="6">
        <f>IFERROR(__xludf.DUMMYFUNCTION("""COMPUTED_VALUE"""),17.4167)</f>
        <v>17.4167</v>
      </c>
    </row>
    <row r="131">
      <c r="P131" s="6">
        <f>IFERROR(__xludf.DUMMYFUNCTION("""COMPUTED_VALUE"""),13.494)</f>
        <v>13.494</v>
      </c>
    </row>
    <row r="132">
      <c r="P132" s="6">
        <f>IFERROR(__xludf.DUMMYFUNCTION("""COMPUTED_VALUE"""),14.8937)</f>
        <v>14.8937</v>
      </c>
    </row>
    <row r="133">
      <c r="P133" s="6">
        <f>IFERROR(__xludf.DUMMYFUNCTION("""COMPUTED_VALUE"""),13.0209)</f>
        <v>13.0209</v>
      </c>
    </row>
    <row r="134">
      <c r="P134" s="6">
        <f>IFERROR(__xludf.DUMMYFUNCTION("""COMPUTED_VALUE"""),24.3473)</f>
        <v>24.3473</v>
      </c>
    </row>
    <row r="135">
      <c r="P135" s="6">
        <f>IFERROR(__xludf.DUMMYFUNCTION("""COMPUTED_VALUE"""),23.6441)</f>
        <v>23.6441</v>
      </c>
    </row>
    <row r="136">
      <c r="P136" s="6">
        <f>IFERROR(__xludf.DUMMYFUNCTION("""COMPUTED_VALUE"""),23.9007)</f>
        <v>23.9007</v>
      </c>
    </row>
    <row r="137">
      <c r="P137" s="6">
        <f>IFERROR(__xludf.DUMMYFUNCTION("""COMPUTED_VALUE"""),36.3138)</f>
        <v>36.3138</v>
      </c>
    </row>
    <row r="138">
      <c r="P138" s="6">
        <f>IFERROR(__xludf.DUMMYFUNCTION("""COMPUTED_VALUE"""),29.9879)</f>
        <v>29.9879</v>
      </c>
    </row>
    <row r="139">
      <c r="P139" s="6">
        <f>IFERROR(__xludf.DUMMYFUNCTION("""COMPUTED_VALUE"""),16.4306)</f>
        <v>16.4306</v>
      </c>
    </row>
    <row r="140">
      <c r="P140" s="6">
        <f>IFERROR(__xludf.DUMMYFUNCTION("""COMPUTED_VALUE"""),20.9453)</f>
        <v>20.9453</v>
      </c>
    </row>
    <row r="141">
      <c r="P141" s="6">
        <f>IFERROR(__xludf.DUMMYFUNCTION("""COMPUTED_VALUE"""),15.9617)</f>
        <v>15.9617</v>
      </c>
    </row>
    <row r="142">
      <c r="P142" s="6">
        <f>IFERROR(__xludf.DUMMYFUNCTION("""COMPUTED_VALUE"""),16.2548)</f>
        <v>16.2548</v>
      </c>
    </row>
    <row r="143">
      <c r="P143" s="6">
        <f>IFERROR(__xludf.DUMMYFUNCTION("""COMPUTED_VALUE"""),20.6362)</f>
        <v>20.6362</v>
      </c>
    </row>
    <row r="144">
      <c r="P144" s="6">
        <f>IFERROR(__xludf.DUMMYFUNCTION("""COMPUTED_VALUE"""),20.4748)</f>
        <v>20.4748</v>
      </c>
    </row>
    <row r="145">
      <c r="P145" s="6">
        <f>IFERROR(__xludf.DUMMYFUNCTION("""COMPUTED_VALUE"""),17.5819)</f>
        <v>17.5819</v>
      </c>
    </row>
    <row r="146">
      <c r="P146" s="6">
        <f>IFERROR(__xludf.DUMMYFUNCTION("""COMPUTED_VALUE"""),14.7463)</f>
        <v>14.7463</v>
      </c>
    </row>
    <row r="147">
      <c r="P147" s="6">
        <f>IFERROR(__xludf.DUMMYFUNCTION("""COMPUTED_VALUE"""),26.0993)</f>
        <v>26.0993</v>
      </c>
    </row>
    <row r="148">
      <c r="P148" s="6">
        <f>IFERROR(__xludf.DUMMYFUNCTION("""COMPUTED_VALUE"""),24.7387)</f>
        <v>24.7387</v>
      </c>
    </row>
    <row r="149">
      <c r="P149" s="6">
        <f>IFERROR(__xludf.DUMMYFUNCTION("""COMPUTED_VALUE"""),20.2749)</f>
        <v>20.2749</v>
      </c>
    </row>
    <row r="150">
      <c r="P150" s="6">
        <f>IFERROR(__xludf.DUMMYFUNCTION("""COMPUTED_VALUE"""),20.4206)</f>
        <v>20.4206</v>
      </c>
    </row>
    <row r="151">
      <c r="P151" s="6">
        <f>IFERROR(__xludf.DUMMYFUNCTION("""COMPUTED_VALUE"""),13.7931)</f>
        <v>13.7931</v>
      </c>
    </row>
    <row r="152">
      <c r="P152" s="6">
        <f>IFERROR(__xludf.DUMMYFUNCTION("""COMPUTED_VALUE"""),28.8058)</f>
        <v>28.8058</v>
      </c>
    </row>
    <row r="153">
      <c r="P153" s="6">
        <f>IFERROR(__xludf.DUMMYFUNCTION("""COMPUTED_VALUE"""),27.635)</f>
        <v>27.635</v>
      </c>
    </row>
    <row r="154">
      <c r="P154" s="6">
        <f>IFERROR(__xludf.DUMMYFUNCTION("""COMPUTED_VALUE"""),32.9941)</f>
        <v>32.9941</v>
      </c>
    </row>
    <row r="155">
      <c r="P155" s="6">
        <f>IFERROR(__xludf.DUMMYFUNCTION("""COMPUTED_VALUE"""),42.329)</f>
        <v>42.329</v>
      </c>
    </row>
    <row r="156">
      <c r="P156" s="6">
        <f>IFERROR(__xludf.DUMMYFUNCTION("""COMPUTED_VALUE"""),26.8745)</f>
        <v>26.8745</v>
      </c>
    </row>
    <row r="157">
      <c r="P157" s="6">
        <f>IFERROR(__xludf.DUMMYFUNCTION("""COMPUTED_VALUE"""),31.4572)</f>
        <v>31.4572</v>
      </c>
    </row>
    <row r="158">
      <c r="P158" s="6">
        <f>IFERROR(__xludf.DUMMYFUNCTION("""COMPUTED_VALUE"""),19.5103)</f>
        <v>19.5103</v>
      </c>
    </row>
    <row r="159">
      <c r="P159" s="6">
        <f>IFERROR(__xludf.DUMMYFUNCTION("""COMPUTED_VALUE"""),19.5276)</f>
        <v>19.5276</v>
      </c>
    </row>
    <row r="160">
      <c r="P160" s="6">
        <f>IFERROR(__xludf.DUMMYFUNCTION("""COMPUTED_VALUE"""),23.1257)</f>
        <v>23.1257</v>
      </c>
    </row>
    <row r="161">
      <c r="P161" s="6">
        <f>IFERROR(__xludf.DUMMYFUNCTION("""COMPUTED_VALUE"""),28.8792)</f>
        <v>28.8792</v>
      </c>
    </row>
    <row r="162">
      <c r="P162" s="6">
        <f>IFERROR(__xludf.DUMMYFUNCTION("""COMPUTED_VALUE"""),34.7121)</f>
        <v>34.7121</v>
      </c>
    </row>
    <row r="163">
      <c r="P163" s="6">
        <f>IFERROR(__xludf.DUMMYFUNCTION("""COMPUTED_VALUE"""),28.9817)</f>
        <v>28.9817</v>
      </c>
    </row>
    <row r="164">
      <c r="P164" s="6">
        <f>IFERROR(__xludf.DUMMYFUNCTION("""COMPUTED_VALUE"""),35.356)</f>
        <v>35.356</v>
      </c>
    </row>
    <row r="165">
      <c r="P165" s="6">
        <f>IFERROR(__xludf.DUMMYFUNCTION("""COMPUTED_VALUE"""),32.0673)</f>
        <v>32.0673</v>
      </c>
    </row>
    <row r="166">
      <c r="P166" s="6">
        <f>IFERROR(__xludf.DUMMYFUNCTION("""COMPUTED_VALUE"""),32.4321)</f>
        <v>32.4321</v>
      </c>
    </row>
    <row r="167">
      <c r="P167" s="6">
        <f>IFERROR(__xludf.DUMMYFUNCTION("""COMPUTED_VALUE"""),36.0127)</f>
        <v>36.0127</v>
      </c>
    </row>
    <row r="168">
      <c r="P168" s="6">
        <f>IFERROR(__xludf.DUMMYFUNCTION("""COMPUTED_VALUE"""),33.2527)</f>
        <v>33.2527</v>
      </c>
    </row>
    <row r="169">
      <c r="P169" s="6">
        <f>IFERROR(__xludf.DUMMYFUNCTION("""COMPUTED_VALUE"""),24.169)</f>
        <v>24.169</v>
      </c>
    </row>
    <row r="170">
      <c r="P170" s="6">
        <f>IFERROR(__xludf.DUMMYFUNCTION("""COMPUTED_VALUE"""),31.9221)</f>
        <v>31.9221</v>
      </c>
    </row>
    <row r="171">
      <c r="P171" s="6">
        <f>IFERROR(__xludf.DUMMYFUNCTION("""COMPUTED_VALUE"""),40.1671)</f>
        <v>40.1671</v>
      </c>
    </row>
    <row r="172">
      <c r="P172" s="6">
        <f>IFERROR(__xludf.DUMMYFUNCTION("""COMPUTED_VALUE"""),29.0531)</f>
        <v>29.0531</v>
      </c>
    </row>
    <row r="173">
      <c r="P173" s="6">
        <f>IFERROR(__xludf.DUMMYFUNCTION("""COMPUTED_VALUE"""),28.6412)</f>
        <v>28.6412</v>
      </c>
    </row>
    <row r="174">
      <c r="P174" s="6">
        <f>IFERROR(__xludf.DUMMYFUNCTION("""COMPUTED_VALUE"""),17.1942)</f>
        <v>17.1942</v>
      </c>
    </row>
    <row r="175">
      <c r="P175" s="6">
        <f>IFERROR(__xludf.DUMMYFUNCTION("""COMPUTED_VALUE"""),11.8585)</f>
        <v>11.8585</v>
      </c>
    </row>
    <row r="176">
      <c r="P176" s="6">
        <f>IFERROR(__xludf.DUMMYFUNCTION("""COMPUTED_VALUE"""),21.7926)</f>
        <v>21.7926</v>
      </c>
    </row>
    <row r="177">
      <c r="P177" s="6">
        <f>IFERROR(__xludf.DUMMYFUNCTION("""COMPUTED_VALUE"""),24.9316)</f>
        <v>24.9316</v>
      </c>
    </row>
    <row r="178">
      <c r="P178" s="6">
        <f>IFERROR(__xludf.DUMMYFUNCTION("""COMPUTED_VALUE"""),36.5185)</f>
        <v>36.5185</v>
      </c>
    </row>
    <row r="179">
      <c r="P179" s="6">
        <f>IFERROR(__xludf.DUMMYFUNCTION("""COMPUTED_VALUE"""),26.7414)</f>
        <v>26.7414</v>
      </c>
    </row>
    <row r="180">
      <c r="P180" s="6">
        <f>IFERROR(__xludf.DUMMYFUNCTION("""COMPUTED_VALUE"""),33.4892)</f>
        <v>33.4892</v>
      </c>
    </row>
    <row r="181">
      <c r="P181" s="6">
        <f>IFERROR(__xludf.DUMMYFUNCTION("""COMPUTED_VALUE"""),24.0259)</f>
        <v>24.0259</v>
      </c>
    </row>
    <row r="182">
      <c r="P182" s="6">
        <f>IFERROR(__xludf.DUMMYFUNCTION("""COMPUTED_VALUE"""),23.0036)</f>
        <v>23.0036</v>
      </c>
    </row>
    <row r="183">
      <c r="P183" s="6">
        <f>IFERROR(__xludf.DUMMYFUNCTION("""COMPUTED_VALUE"""),18.9969)</f>
        <v>18.9969</v>
      </c>
    </row>
    <row r="184">
      <c r="P184" s="6">
        <f>IFERROR(__xludf.DUMMYFUNCTION("""COMPUTED_VALUE"""),12.5371)</f>
        <v>12.5371</v>
      </c>
    </row>
    <row r="185">
      <c r="P185" s="6">
        <f>IFERROR(__xludf.DUMMYFUNCTION("""COMPUTED_VALUE"""),13.6115)</f>
        <v>13.6115</v>
      </c>
    </row>
    <row r="186">
      <c r="P186" s="6">
        <f>IFERROR(__xludf.DUMMYFUNCTION("""COMPUTED_VALUE"""),48.6895)</f>
        <v>48.6895</v>
      </c>
    </row>
    <row r="187">
      <c r="P187" s="6">
        <f>IFERROR(__xludf.DUMMYFUNCTION("""COMPUTED_VALUE"""),-247.8261)</f>
        <v>-247.8261</v>
      </c>
    </row>
    <row r="188">
      <c r="P188" s="6">
        <f>IFERROR(__xludf.DUMMYFUNCTION("""COMPUTED_VALUE"""),13.7354)</f>
        <v>13.7354</v>
      </c>
    </row>
    <row r="189">
      <c r="P189" s="6">
        <f>IFERROR(__xludf.DUMMYFUNCTION("""COMPUTED_VALUE"""),10.6965)</f>
        <v>10.6965</v>
      </c>
    </row>
    <row r="190">
      <c r="P190" s="6">
        <f>IFERROR(__xludf.DUMMYFUNCTION("""COMPUTED_VALUE"""),37.6083)</f>
        <v>37.6083</v>
      </c>
    </row>
    <row r="191">
      <c r="P191" s="6">
        <f>IFERROR(__xludf.DUMMYFUNCTION("""COMPUTED_VALUE"""),21.3079)</f>
        <v>21.3079</v>
      </c>
    </row>
    <row r="192">
      <c r="P192" s="6">
        <f>IFERROR(__xludf.DUMMYFUNCTION("""COMPUTED_VALUE"""),22.3485)</f>
        <v>22.3485</v>
      </c>
    </row>
    <row r="193">
      <c r="P193" s="6">
        <f>IFERROR(__xludf.DUMMYFUNCTION("""COMPUTED_VALUE"""),12.4039)</f>
        <v>12.4039</v>
      </c>
    </row>
    <row r="194">
      <c r="P194" s="6">
        <f>IFERROR(__xludf.DUMMYFUNCTION("""COMPUTED_VALUE"""),24.9815)</f>
        <v>24.9815</v>
      </c>
    </row>
    <row r="195">
      <c r="P195" s="6">
        <f>IFERROR(__xludf.DUMMYFUNCTION("""COMPUTED_VALUE"""),29.4005)</f>
        <v>29.4005</v>
      </c>
    </row>
    <row r="196">
      <c r="P196" s="6">
        <f>IFERROR(__xludf.DUMMYFUNCTION("""COMPUTED_VALUE"""),30.5079)</f>
        <v>30.5079</v>
      </c>
    </row>
    <row r="197">
      <c r="P197" s="6">
        <f>IFERROR(__xludf.DUMMYFUNCTION("""COMPUTED_VALUE"""),58.864)</f>
        <v>58.864</v>
      </c>
    </row>
    <row r="198">
      <c r="P198" s="6">
        <f>IFERROR(__xludf.DUMMYFUNCTION("""COMPUTED_VALUE"""),47.2109)</f>
        <v>47.2109</v>
      </c>
    </row>
    <row r="199">
      <c r="P199" s="6">
        <f>IFERROR(__xludf.DUMMYFUNCTION("""COMPUTED_VALUE"""),22.8132)</f>
        <v>22.8132</v>
      </c>
    </row>
    <row r="200">
      <c r="P200" s="6">
        <f>IFERROR(__xludf.DUMMYFUNCTION("""COMPUTED_VALUE"""),26.3433)</f>
        <v>26.3433</v>
      </c>
    </row>
    <row r="201">
      <c r="P201" s="6">
        <f>IFERROR(__xludf.DUMMYFUNCTION("""COMPUTED_VALUE"""),33.974)</f>
        <v>33.974</v>
      </c>
    </row>
    <row r="202">
      <c r="P202" s="6">
        <f>IFERROR(__xludf.DUMMYFUNCTION("""COMPUTED_VALUE"""),24.229)</f>
        <v>24.229</v>
      </c>
    </row>
    <row r="203">
      <c r="P203" s="6">
        <f>IFERROR(__xludf.DUMMYFUNCTION("""COMPUTED_VALUE"""),20.4369)</f>
        <v>20.4369</v>
      </c>
    </row>
    <row r="204">
      <c r="P204" s="6">
        <f>IFERROR(__xludf.DUMMYFUNCTION("""COMPUTED_VALUE"""),29.3498)</f>
        <v>29.3498</v>
      </c>
    </row>
    <row r="205">
      <c r="P205" s="6">
        <f>IFERROR(__xludf.DUMMYFUNCTION("""COMPUTED_VALUE"""),20.8746)</f>
        <v>20.8746</v>
      </c>
    </row>
    <row r="206">
      <c r="P206" s="6">
        <f>IFERROR(__xludf.DUMMYFUNCTION("""COMPUTED_VALUE"""),17.5836)</f>
        <v>17.5836</v>
      </c>
    </row>
    <row r="207">
      <c r="P207" s="6">
        <f>IFERROR(__xludf.DUMMYFUNCTION("""COMPUTED_VALUE"""),15.6547)</f>
        <v>15.6547</v>
      </c>
    </row>
    <row r="208">
      <c r="P208" s="6">
        <f>IFERROR(__xludf.DUMMYFUNCTION("""COMPUTED_VALUE"""),10.0487)</f>
        <v>10.0487</v>
      </c>
    </row>
    <row r="209">
      <c r="P209" s="6">
        <f>IFERROR(__xludf.DUMMYFUNCTION("""COMPUTED_VALUE"""),7.8459)</f>
        <v>7.8459</v>
      </c>
    </row>
    <row r="210">
      <c r="P210" s="6">
        <f>IFERROR(__xludf.DUMMYFUNCTION("""COMPUTED_VALUE"""),7.1587)</f>
        <v>7.1587</v>
      </c>
    </row>
    <row r="211">
      <c r="P211" s="6">
        <f>IFERROR(__xludf.DUMMYFUNCTION("""COMPUTED_VALUE"""),7.1843)</f>
        <v>7.1843</v>
      </c>
    </row>
    <row r="212">
      <c r="P212" s="6">
        <f>IFERROR(__xludf.DUMMYFUNCTION("""COMPUTED_VALUE"""),9.7514)</f>
        <v>9.7514</v>
      </c>
    </row>
    <row r="213">
      <c r="P213" s="6">
        <f>IFERROR(__xludf.DUMMYFUNCTION("""COMPUTED_VALUE"""),15.9193)</f>
        <v>15.9193</v>
      </c>
    </row>
    <row r="214">
      <c r="P214" s="6">
        <f>IFERROR(__xludf.DUMMYFUNCTION("""COMPUTED_VALUE"""),12.7654)</f>
        <v>12.7654</v>
      </c>
    </row>
    <row r="215">
      <c r="P215" s="6">
        <f>IFERROR(__xludf.DUMMYFUNCTION("""COMPUTED_VALUE"""),9.8321)</f>
        <v>9.8321</v>
      </c>
    </row>
    <row r="216">
      <c r="P216" s="6">
        <f>IFERROR(__xludf.DUMMYFUNCTION("""COMPUTED_VALUE"""),12.1676)</f>
        <v>12.1676</v>
      </c>
    </row>
    <row r="217">
      <c r="P217" s="6">
        <f>IFERROR(__xludf.DUMMYFUNCTION("""COMPUTED_VALUE"""),8.6732)</f>
        <v>8.6732</v>
      </c>
    </row>
    <row r="218">
      <c r="P218" s="6">
        <f>IFERROR(__xludf.DUMMYFUNCTION("""COMPUTED_VALUE"""),17.4026)</f>
        <v>17.4026</v>
      </c>
    </row>
    <row r="219">
      <c r="P219" s="6">
        <f>IFERROR(__xludf.DUMMYFUNCTION("""COMPUTED_VALUE"""),15.9591)</f>
        <v>15.9591</v>
      </c>
    </row>
    <row r="220">
      <c r="P220" s="6">
        <f>IFERROR(__xludf.DUMMYFUNCTION("""COMPUTED_VALUE"""),10.2127)</f>
        <v>10.2127</v>
      </c>
    </row>
    <row r="221">
      <c r="P221" s="6">
        <f>IFERROR(__xludf.DUMMYFUNCTION("""COMPUTED_VALUE"""),8.9905)</f>
        <v>8.9905</v>
      </c>
    </row>
    <row r="222">
      <c r="P222" s="6">
        <f>IFERROR(__xludf.DUMMYFUNCTION("""COMPUTED_VALUE"""),9.372)</f>
        <v>9.372</v>
      </c>
    </row>
    <row r="223">
      <c r="P223" s="6">
        <f>IFERROR(__xludf.DUMMYFUNCTION("""COMPUTED_VALUE"""),7.5213)</f>
        <v>7.5213</v>
      </c>
    </row>
    <row r="224">
      <c r="P224" s="6">
        <f>IFERROR(__xludf.DUMMYFUNCTION("""COMPUTED_VALUE"""),10.3285)</f>
        <v>10.3285</v>
      </c>
    </row>
    <row r="225">
      <c r="P225" s="6">
        <f>IFERROR(__xludf.DUMMYFUNCTION("""COMPUTED_VALUE"""),12.3629)</f>
        <v>12.3629</v>
      </c>
    </row>
    <row r="226">
      <c r="P226" s="6">
        <f>IFERROR(__xludf.DUMMYFUNCTION("""COMPUTED_VALUE"""),13.8483)</f>
        <v>13.8483</v>
      </c>
    </row>
    <row r="227">
      <c r="P227" s="6">
        <f>IFERROR(__xludf.DUMMYFUNCTION("""COMPUTED_VALUE"""),12.2125)</f>
        <v>12.2125</v>
      </c>
    </row>
    <row r="228">
      <c r="P228" s="6">
        <f>IFERROR(__xludf.DUMMYFUNCTION("""COMPUTED_VALUE"""),15.0622)</f>
        <v>15.0622</v>
      </c>
    </row>
    <row r="229">
      <c r="P229" s="6">
        <f>IFERROR(__xludf.DUMMYFUNCTION("""COMPUTED_VALUE"""),11.0929)</f>
        <v>11.0929</v>
      </c>
    </row>
    <row r="230">
      <c r="P230" s="6">
        <f>IFERROR(__xludf.DUMMYFUNCTION("""COMPUTED_VALUE"""),24.7717)</f>
        <v>24.7717</v>
      </c>
    </row>
    <row r="231">
      <c r="P231" s="6">
        <f>IFERROR(__xludf.DUMMYFUNCTION("""COMPUTED_VALUE"""),28.9291)</f>
        <v>28.9291</v>
      </c>
    </row>
    <row r="232">
      <c r="P232" s="6">
        <f>IFERROR(__xludf.DUMMYFUNCTION("""COMPUTED_VALUE"""),23.6439)</f>
        <v>23.6439</v>
      </c>
    </row>
    <row r="233">
      <c r="P233" s="6">
        <f>IFERROR(__xludf.DUMMYFUNCTION("""COMPUTED_VALUE"""),28.6299)</f>
        <v>28.6299</v>
      </c>
    </row>
    <row r="234">
      <c r="P234" s="6">
        <f>IFERROR(__xludf.DUMMYFUNCTION("""COMPUTED_VALUE"""),26.2302)</f>
        <v>26.2302</v>
      </c>
    </row>
    <row r="235">
      <c r="P235" s="6">
        <f>IFERROR(__xludf.DUMMYFUNCTION("""COMPUTED_VALUE"""),17.6383)</f>
        <v>17.6383</v>
      </c>
    </row>
    <row r="236">
      <c r="P236" s="6">
        <f>IFERROR(__xludf.DUMMYFUNCTION("""COMPUTED_VALUE"""),20.3988)</f>
        <v>20.3988</v>
      </c>
    </row>
    <row r="237">
      <c r="P237" s="6">
        <f>IFERROR(__xludf.DUMMYFUNCTION("""COMPUTED_VALUE"""),14.4864)</f>
        <v>14.4864</v>
      </c>
    </row>
    <row r="238">
      <c r="P238" s="6">
        <f>IFERROR(__xludf.DUMMYFUNCTION("""COMPUTED_VALUE"""),13.0188)</f>
        <v>13.0188</v>
      </c>
    </row>
    <row r="239">
      <c r="P239" s="6">
        <f>IFERROR(__xludf.DUMMYFUNCTION("""COMPUTED_VALUE"""),10.3521)</f>
        <v>10.3521</v>
      </c>
    </row>
    <row r="240">
      <c r="P240" s="6">
        <f>IFERROR(__xludf.DUMMYFUNCTION("""COMPUTED_VALUE"""),10.2946)</f>
        <v>10.2946</v>
      </c>
    </row>
    <row r="241">
      <c r="P241" s="6">
        <f>IFERROR(__xludf.DUMMYFUNCTION("""COMPUTED_VALUE"""),12.1424)</f>
        <v>12.1424</v>
      </c>
    </row>
    <row r="242">
      <c r="P242" s="6">
        <f>IFERROR(__xludf.DUMMYFUNCTION("""COMPUTED_VALUE"""),8.8781)</f>
        <v>8.8781</v>
      </c>
    </row>
    <row r="243">
      <c r="P243" s="6">
        <f>IFERROR(__xludf.DUMMYFUNCTION("""COMPUTED_VALUE"""),10.012)</f>
        <v>10.012</v>
      </c>
    </row>
    <row r="244">
      <c r="P244" s="6">
        <f>IFERROR(__xludf.DUMMYFUNCTION("""COMPUTED_VALUE"""),8.3994)</f>
        <v>8.3994</v>
      </c>
    </row>
    <row r="245">
      <c r="P245" s="6">
        <f>IFERROR(__xludf.DUMMYFUNCTION("""COMPUTED_VALUE"""),12.447)</f>
        <v>12.447</v>
      </c>
    </row>
    <row r="246">
      <c r="P246" s="6">
        <f>IFERROR(__xludf.DUMMYFUNCTION("""COMPUTED_VALUE"""),14.5102)</f>
        <v>14.5102</v>
      </c>
    </row>
    <row r="247">
      <c r="P247" s="6">
        <f>IFERROR(__xludf.DUMMYFUNCTION("""COMPUTED_VALUE"""),8.8916)</f>
        <v>8.8916</v>
      </c>
    </row>
    <row r="248">
      <c r="P248" s="6">
        <f>IFERROR(__xludf.DUMMYFUNCTION("""COMPUTED_VALUE"""),124.3411)</f>
        <v>124.3411</v>
      </c>
    </row>
    <row r="249">
      <c r="P249" s="6">
        <f>IFERROR(__xludf.DUMMYFUNCTION("""COMPUTED_VALUE"""),-46.8352)</f>
        <v>-46.8352</v>
      </c>
    </row>
    <row r="250">
      <c r="P250" s="6">
        <f>IFERROR(__xludf.DUMMYFUNCTION("""COMPUTED_VALUE"""),943.871)</f>
        <v>943.871</v>
      </c>
    </row>
    <row r="251">
      <c r="P251" s="6">
        <f>IFERROR(__xludf.DUMMYFUNCTION("""COMPUTED_VALUE"""),12.1818)</f>
        <v>12.1818</v>
      </c>
    </row>
    <row r="252">
      <c r="P252" s="6">
        <f>IFERROR(__xludf.DUMMYFUNCTION("""COMPUTED_VALUE"""),11.7311)</f>
        <v>11.7311</v>
      </c>
    </row>
    <row r="253">
      <c r="P253" s="6">
        <f>IFERROR(__xludf.DUMMYFUNCTION("""COMPUTED_VALUE"""),10.1043)</f>
        <v>10.1043</v>
      </c>
    </row>
    <row r="254">
      <c r="P254" s="6">
        <f>IFERROR(__xludf.DUMMYFUNCTION("""COMPUTED_VALUE"""),38.0581)</f>
        <v>38.0581</v>
      </c>
    </row>
    <row r="255">
      <c r="P255" s="6">
        <f>IFERROR(__xludf.DUMMYFUNCTION("""COMPUTED_VALUE"""),40.614)</f>
        <v>40.614</v>
      </c>
    </row>
    <row r="256">
      <c r="P256" s="6">
        <f>IFERROR(__xludf.DUMMYFUNCTION("""COMPUTED_VALUE"""),27.8499)</f>
        <v>27.8499</v>
      </c>
    </row>
    <row r="257">
      <c r="P257" s="6">
        <f>IFERROR(__xludf.DUMMYFUNCTION("""COMPUTED_VALUE"""),67.2647)</f>
        <v>67.2647</v>
      </c>
    </row>
    <row r="258">
      <c r="P258" s="6">
        <f>IFERROR(__xludf.DUMMYFUNCTION("""COMPUTED_VALUE"""),49.3884)</f>
        <v>49.3884</v>
      </c>
    </row>
    <row r="259">
      <c r="P259" s="6">
        <f>IFERROR(__xludf.DUMMYFUNCTION("""COMPUTED_VALUE"""),22.4331)</f>
        <v>22.4331</v>
      </c>
    </row>
    <row r="260">
      <c r="P260" s="6">
        <f>IFERROR(__xludf.DUMMYFUNCTION("""COMPUTED_VALUE"""),43.1757)</f>
        <v>43.1757</v>
      </c>
    </row>
    <row r="261">
      <c r="P261" s="6">
        <f>IFERROR(__xludf.DUMMYFUNCTION("""COMPUTED_VALUE"""),55.0444)</f>
        <v>55.0444</v>
      </c>
    </row>
    <row r="262">
      <c r="P262" s="6">
        <f>IFERROR(__xludf.DUMMYFUNCTION("""COMPUTED_VALUE"""),23.7138)</f>
        <v>23.7138</v>
      </c>
    </row>
    <row r="263">
      <c r="P263" s="6">
        <f>IFERROR(__xludf.DUMMYFUNCTION("""COMPUTED_VALUE"""),43.3571)</f>
        <v>43.3571</v>
      </c>
    </row>
    <row r="264">
      <c r="P264" s="6">
        <f>IFERROR(__xludf.DUMMYFUNCTION("""COMPUTED_VALUE"""),30.336)</f>
        <v>30.336</v>
      </c>
    </row>
    <row r="265">
      <c r="P265" s="6">
        <f>IFERROR(__xludf.DUMMYFUNCTION("""COMPUTED_VALUE"""),37.7204)</f>
        <v>37.7204</v>
      </c>
    </row>
    <row r="266">
      <c r="P266" s="6">
        <f>IFERROR(__xludf.DUMMYFUNCTION("""COMPUTED_VALUE"""),8.5539)</f>
        <v>8.5539</v>
      </c>
    </row>
    <row r="267">
      <c r="P267" s="6">
        <f>IFERROR(__xludf.DUMMYFUNCTION("""COMPUTED_VALUE"""),12.1171)</f>
        <v>12.1171</v>
      </c>
    </row>
    <row r="268">
      <c r="P268" s="6">
        <f>IFERROR(__xludf.DUMMYFUNCTION("""COMPUTED_VALUE"""),66.868)</f>
        <v>66.868</v>
      </c>
    </row>
    <row r="269">
      <c r="P269" s="6">
        <f>IFERROR(__xludf.DUMMYFUNCTION("""COMPUTED_VALUE"""),-14.508)</f>
        <v>-14.508</v>
      </c>
    </row>
    <row r="270">
      <c r="P270" s="6">
        <f>IFERROR(__xludf.DUMMYFUNCTION("""COMPUTED_VALUE"""),-8.1603)</f>
        <v>-8.1603</v>
      </c>
    </row>
    <row r="271">
      <c r="P271" s="6">
        <f>IFERROR(__xludf.DUMMYFUNCTION("""COMPUTED_VALUE"""),-2.037)</f>
        <v>-2.037</v>
      </c>
    </row>
    <row r="272">
      <c r="P272" s="6">
        <f>IFERROR(__xludf.DUMMYFUNCTION("""COMPUTED_VALUE"""),-2.0532)</f>
        <v>-2.0532</v>
      </c>
    </row>
    <row r="273">
      <c r="P273" s="6">
        <f>IFERROR(__xludf.DUMMYFUNCTION("""COMPUTED_VALUE"""),12.3753)</f>
        <v>12.3753</v>
      </c>
    </row>
    <row r="274">
      <c r="P274" s="6">
        <f>IFERROR(__xludf.DUMMYFUNCTION("""COMPUTED_VALUE"""),21.2375)</f>
        <v>21.2375</v>
      </c>
    </row>
    <row r="275">
      <c r="P275" s="6">
        <f>IFERROR(__xludf.DUMMYFUNCTION("""COMPUTED_VALUE"""),11.2788)</f>
        <v>11.2788</v>
      </c>
    </row>
    <row r="276">
      <c r="P276" s="6">
        <f>IFERROR(__xludf.DUMMYFUNCTION("""COMPUTED_VALUE"""),12.66)</f>
        <v>12.66</v>
      </c>
    </row>
    <row r="277">
      <c r="P277" s="6">
        <f>IFERROR(__xludf.DUMMYFUNCTION("""COMPUTED_VALUE"""),9.1554)</f>
        <v>9.1554</v>
      </c>
    </row>
    <row r="278">
      <c r="P278" s="6">
        <f>IFERROR(__xludf.DUMMYFUNCTION("""COMPUTED_VALUE"""),56.2956)</f>
        <v>56.2956</v>
      </c>
    </row>
    <row r="279">
      <c r="P279" s="6">
        <f>IFERROR(__xludf.DUMMYFUNCTION("""COMPUTED_VALUE"""),-43.0663)</f>
        <v>-43.0663</v>
      </c>
    </row>
    <row r="280">
      <c r="P280" s="6">
        <f>IFERROR(__xludf.DUMMYFUNCTION("""COMPUTED_VALUE"""),14.5746)</f>
        <v>14.5746</v>
      </c>
    </row>
    <row r="281">
      <c r="P281" s="6">
        <f>IFERROR(__xludf.DUMMYFUNCTION("""COMPUTED_VALUE"""),3.9328)</f>
        <v>3.9328</v>
      </c>
    </row>
    <row r="282">
      <c r="P282" s="6">
        <f>IFERROR(__xludf.DUMMYFUNCTION("""COMPUTED_VALUE"""),12.7305)</f>
        <v>12.7305</v>
      </c>
    </row>
    <row r="283">
      <c r="P283" s="6">
        <f>IFERROR(__xludf.DUMMYFUNCTION("""COMPUTED_VALUE"""),22.7445)</f>
        <v>22.7445</v>
      </c>
    </row>
    <row r="284">
      <c r="P284" s="6">
        <f>IFERROR(__xludf.DUMMYFUNCTION("""COMPUTED_VALUE"""),5.9356)</f>
        <v>5.9356</v>
      </c>
    </row>
    <row r="285">
      <c r="P285" s="6">
        <f>IFERROR(__xludf.DUMMYFUNCTION("""COMPUTED_VALUE"""),4.456)</f>
        <v>4.456</v>
      </c>
    </row>
    <row r="286">
      <c r="P286" s="6">
        <f>IFERROR(__xludf.DUMMYFUNCTION("""COMPUTED_VALUE"""),-11.2532)</f>
        <v>-11.2532</v>
      </c>
    </row>
    <row r="287">
      <c r="P287" s="6">
        <f>IFERROR(__xludf.DUMMYFUNCTION("""COMPUTED_VALUE"""),-46.1705)</f>
        <v>-46.1705</v>
      </c>
    </row>
    <row r="288">
      <c r="P288" s="6">
        <f>IFERROR(__xludf.DUMMYFUNCTION("""COMPUTED_VALUE"""),-7.5012)</f>
        <v>-7.5012</v>
      </c>
    </row>
    <row r="289">
      <c r="P289" s="6">
        <f>IFERROR(__xludf.DUMMYFUNCTION("""COMPUTED_VALUE"""),11.1921)</f>
        <v>11.1921</v>
      </c>
    </row>
    <row r="290">
      <c r="P290" s="6">
        <f>IFERROR(__xludf.DUMMYFUNCTION("""COMPUTED_VALUE"""),26.8608)</f>
        <v>26.8608</v>
      </c>
    </row>
    <row r="291">
      <c r="P291" s="6">
        <f>IFERROR(__xludf.DUMMYFUNCTION("""COMPUTED_VALUE"""),30.8512)</f>
        <v>30.8512</v>
      </c>
    </row>
    <row r="292">
      <c r="P292" s="6">
        <f>IFERROR(__xludf.DUMMYFUNCTION("""COMPUTED_VALUE"""),27.8305)</f>
        <v>27.8305</v>
      </c>
    </row>
    <row r="293">
      <c r="P293" s="6">
        <f>IFERROR(__xludf.DUMMYFUNCTION("""COMPUTED_VALUE"""),36.0818)</f>
        <v>36.0818</v>
      </c>
    </row>
    <row r="294">
      <c r="P294" s="6">
        <f>IFERROR(__xludf.DUMMYFUNCTION("""COMPUTED_VALUE"""),36.6463)</f>
        <v>36.6463</v>
      </c>
    </row>
    <row r="295">
      <c r="P295" s="6">
        <f>IFERROR(__xludf.DUMMYFUNCTION("""COMPUTED_VALUE"""),21.1515)</f>
        <v>21.1515</v>
      </c>
    </row>
    <row r="296">
      <c r="P296" s="6">
        <f>IFERROR(__xludf.DUMMYFUNCTION("""COMPUTED_VALUE"""),24.0867)</f>
        <v>24.0867</v>
      </c>
    </row>
    <row r="297">
      <c r="P297" s="6">
        <f>IFERROR(__xludf.DUMMYFUNCTION("""COMPUTED_VALUE"""),21.2333)</f>
        <v>21.2333</v>
      </c>
    </row>
    <row r="298">
      <c r="P298" s="6">
        <f>IFERROR(__xludf.DUMMYFUNCTION("""COMPUTED_VALUE"""),18.2228)</f>
        <v>18.2228</v>
      </c>
    </row>
    <row r="299">
      <c r="P299" s="6">
        <f>IFERROR(__xludf.DUMMYFUNCTION("""COMPUTED_VALUE"""),20.4258)</f>
        <v>20.4258</v>
      </c>
    </row>
    <row r="300">
      <c r="P300" s="6">
        <f>IFERROR(__xludf.DUMMYFUNCTION("""COMPUTED_VALUE"""),25.1312)</f>
        <v>25.1312</v>
      </c>
    </row>
    <row r="301">
      <c r="P301" s="6">
        <f>IFERROR(__xludf.DUMMYFUNCTION("""COMPUTED_VALUE"""),21.7902)</f>
        <v>21.7902</v>
      </c>
    </row>
    <row r="302">
      <c r="P302" s="6">
        <f>IFERROR(__xludf.DUMMYFUNCTION("""COMPUTED_VALUE"""),29.5417)</f>
        <v>29.5417</v>
      </c>
    </row>
    <row r="303">
      <c r="P303" s="6">
        <f>IFERROR(__xludf.DUMMYFUNCTION("""COMPUTED_VALUE"""),46.9017)</f>
        <v>46.9017</v>
      </c>
    </row>
    <row r="304">
      <c r="P304" s="6">
        <f>IFERROR(__xludf.DUMMYFUNCTION("""COMPUTED_VALUE"""),20.1214)</f>
        <v>20.1214</v>
      </c>
    </row>
    <row r="305">
      <c r="P305" s="6">
        <f>IFERROR(__xludf.DUMMYFUNCTION("""COMPUTED_VALUE"""),23.6781)</f>
        <v>23.6781</v>
      </c>
    </row>
    <row r="306">
      <c r="P306" s="6">
        <f>IFERROR(__xludf.DUMMYFUNCTION("""COMPUTED_VALUE"""),19.5744)</f>
        <v>19.5744</v>
      </c>
    </row>
    <row r="307">
      <c r="P307" s="6">
        <f>IFERROR(__xludf.DUMMYFUNCTION("""COMPUTED_VALUE"""),12.2257)</f>
        <v>12.2257</v>
      </c>
    </row>
    <row r="308">
      <c r="P308" s="6">
        <f>IFERROR(__xludf.DUMMYFUNCTION("""COMPUTED_VALUE"""),16.014)</f>
        <v>16.014</v>
      </c>
    </row>
    <row r="309">
      <c r="P309" s="6">
        <f>IFERROR(__xludf.DUMMYFUNCTION("""COMPUTED_VALUE"""),14.8373)</f>
        <v>14.8373</v>
      </c>
    </row>
    <row r="310">
      <c r="P310" s="6">
        <f>IFERROR(__xludf.DUMMYFUNCTION("""COMPUTED_VALUE"""),14.2999)</f>
        <v>14.2999</v>
      </c>
    </row>
    <row r="311">
      <c r="P311" s="6">
        <f>IFERROR(__xludf.DUMMYFUNCTION("""COMPUTED_VALUE"""),13.7772)</f>
        <v>13.7772</v>
      </c>
    </row>
    <row r="312">
      <c r="P312" s="6">
        <f>IFERROR(__xludf.DUMMYFUNCTION("""COMPUTED_VALUE"""),22.9224)</f>
        <v>22.9224</v>
      </c>
    </row>
    <row r="313">
      <c r="P313" s="6">
        <f>IFERROR(__xludf.DUMMYFUNCTION("""COMPUTED_VALUE"""),13.7777)</f>
        <v>13.7777</v>
      </c>
    </row>
    <row r="314">
      <c r="P314" s="6">
        <f>IFERROR(__xludf.DUMMYFUNCTION("""COMPUTED_VALUE"""),81.4407)</f>
        <v>81.4407</v>
      </c>
    </row>
    <row r="315">
      <c r="P315" s="6">
        <f>IFERROR(__xludf.DUMMYFUNCTION("""COMPUTED_VALUE"""),96.5673)</f>
        <v>96.5673</v>
      </c>
    </row>
    <row r="316">
      <c r="P316" s="6">
        <f>IFERROR(__xludf.DUMMYFUNCTION("""COMPUTED_VALUE"""),68.6998)</f>
        <v>68.6998</v>
      </c>
    </row>
    <row r="317">
      <c r="P317" s="6">
        <f>IFERROR(__xludf.DUMMYFUNCTION("""COMPUTED_VALUE"""),103.559)</f>
        <v>103.559</v>
      </c>
    </row>
    <row r="318">
      <c r="P318" s="6">
        <f>IFERROR(__xludf.DUMMYFUNCTION("""COMPUTED_VALUE"""),142.099)</f>
        <v>142.099</v>
      </c>
    </row>
    <row r="319">
      <c r="P319" s="6">
        <f>IFERROR(__xludf.DUMMYFUNCTION("""COMPUTED_VALUE"""),55.204)</f>
        <v>55.204</v>
      </c>
    </row>
    <row r="320">
      <c r="P320" s="6">
        <f>IFERROR(__xludf.DUMMYFUNCTION("""COMPUTED_VALUE"""),71.9027)</f>
        <v>71.9027</v>
      </c>
    </row>
    <row r="321">
      <c r="P321" s="6">
        <f>IFERROR(__xludf.DUMMYFUNCTION("""COMPUTED_VALUE"""),73.8196)</f>
        <v>73.8196</v>
      </c>
    </row>
    <row r="322">
      <c r="P322" s="6">
        <f>IFERROR(__xludf.DUMMYFUNCTION("""COMPUTED_VALUE"""),56.4627)</f>
        <v>56.4627</v>
      </c>
    </row>
    <row r="323">
      <c r="P323" s="6">
        <f>IFERROR(__xludf.DUMMYFUNCTION("""COMPUTED_VALUE"""),44.5789)</f>
        <v>44.5789</v>
      </c>
    </row>
    <row r="324">
      <c r="P324" s="6">
        <f>IFERROR(__xludf.DUMMYFUNCTION("""COMPUTED_VALUE"""),42.6551)</f>
        <v>42.6551</v>
      </c>
    </row>
    <row r="325">
      <c r="P325" s="6">
        <f>IFERROR(__xludf.DUMMYFUNCTION("""COMPUTED_VALUE"""),31.6969)</f>
        <v>31.6969</v>
      </c>
    </row>
    <row r="326">
      <c r="P326" s="6">
        <f>IFERROR(__xludf.DUMMYFUNCTION("""COMPUTED_VALUE"""),122.065)</f>
        <v>122.065</v>
      </c>
    </row>
    <row r="327">
      <c r="P327" s="6">
        <f>IFERROR(__xludf.DUMMYFUNCTION("""COMPUTED_VALUE"""),94.4154)</f>
        <v>94.4154</v>
      </c>
    </row>
    <row r="328">
      <c r="P328" s="6">
        <f>IFERROR(__xludf.DUMMYFUNCTION("""COMPUTED_VALUE"""),109.92)</f>
        <v>109.92</v>
      </c>
    </row>
    <row r="329">
      <c r="P329" s="6">
        <f>IFERROR(__xludf.DUMMYFUNCTION("""COMPUTED_VALUE"""),428.322)</f>
        <v>428.322</v>
      </c>
    </row>
    <row r="330">
      <c r="P330" s="6">
        <f>IFERROR(__xludf.DUMMYFUNCTION("""COMPUTED_VALUE"""),-182.847)</f>
        <v>-182.847</v>
      </c>
    </row>
    <row r="331">
      <c r="P331" s="6">
        <f>IFERROR(__xludf.DUMMYFUNCTION("""COMPUTED_VALUE"""),135.751)</f>
        <v>135.751</v>
      </c>
    </row>
    <row r="332">
      <c r="P332" s="6">
        <f>IFERROR(__xludf.DUMMYFUNCTION("""COMPUTED_VALUE"""),123.236)</f>
        <v>123.236</v>
      </c>
    </row>
    <row r="333">
      <c r="P333" s="6">
        <f>IFERROR(__xludf.DUMMYFUNCTION("""COMPUTED_VALUE"""),132.118)</f>
        <v>132.118</v>
      </c>
    </row>
    <row r="334">
      <c r="P334" s="6">
        <f>IFERROR(__xludf.DUMMYFUNCTION("""COMPUTED_VALUE"""),104.177)</f>
        <v>104.177</v>
      </c>
    </row>
    <row r="335">
      <c r="P335" s="6">
        <f>IFERROR(__xludf.DUMMYFUNCTION("""COMPUTED_VALUE"""),961.242)</f>
        <v>961.242</v>
      </c>
    </row>
    <row r="336">
      <c r="P336" s="6">
        <f>IFERROR(__xludf.DUMMYFUNCTION("""COMPUTED_VALUE"""),37.7274)</f>
        <v>37.7274</v>
      </c>
    </row>
    <row r="337">
      <c r="P337" s="6">
        <f>IFERROR(__xludf.DUMMYFUNCTION("""COMPUTED_VALUE"""),-183.566)</f>
        <v>-183.566</v>
      </c>
    </row>
    <row r="338">
      <c r="P338" s="6">
        <f>IFERROR(__xludf.DUMMYFUNCTION("""COMPUTED_VALUE"""),56.0375)</f>
        <v>56.0375</v>
      </c>
    </row>
    <row r="339">
      <c r="P339" s="6">
        <f>IFERROR(__xludf.DUMMYFUNCTION("""COMPUTED_VALUE"""),40.0948)</f>
        <v>40.0948</v>
      </c>
    </row>
    <row r="340">
      <c r="P340" s="6">
        <f>IFERROR(__xludf.DUMMYFUNCTION("""COMPUTED_VALUE"""),43.3867)</f>
        <v>43.3867</v>
      </c>
    </row>
    <row r="341">
      <c r="P341" s="6">
        <f>IFERROR(__xludf.DUMMYFUNCTION("""COMPUTED_VALUE"""),25.9274)</f>
        <v>25.9274</v>
      </c>
    </row>
    <row r="342">
      <c r="P342" s="6">
        <f>IFERROR(__xludf.DUMMYFUNCTION("""COMPUTED_VALUE"""),35.5718)</f>
        <v>35.5718</v>
      </c>
    </row>
    <row r="343">
      <c r="P343" s="6">
        <f>IFERROR(__xludf.DUMMYFUNCTION("""COMPUTED_VALUE"""),16.3079)</f>
        <v>16.3079</v>
      </c>
    </row>
    <row r="344">
      <c r="P344" s="6">
        <f>IFERROR(__xludf.DUMMYFUNCTION("""COMPUTED_VALUE"""),47.5964)</f>
        <v>47.5964</v>
      </c>
    </row>
    <row r="345">
      <c r="P345" s="6">
        <f>IFERROR(__xludf.DUMMYFUNCTION("""COMPUTED_VALUE"""),48.775)</f>
        <v>48.775</v>
      </c>
    </row>
    <row r="346">
      <c r="P346" s="6">
        <f>IFERROR(__xludf.DUMMYFUNCTION("""COMPUTED_VALUE"""),40.3351)</f>
        <v>40.3351</v>
      </c>
    </row>
    <row r="347">
      <c r="P347" s="6">
        <f>IFERROR(__xludf.DUMMYFUNCTION("""COMPUTED_VALUE"""),35.7364)</f>
        <v>35.7364</v>
      </c>
    </row>
    <row r="348">
      <c r="P348" s="6">
        <f>IFERROR(__xludf.DUMMYFUNCTION("""COMPUTED_VALUE"""),37.5915)</f>
        <v>37.5915</v>
      </c>
    </row>
    <row r="349">
      <c r="P349" s="6">
        <f>IFERROR(__xludf.DUMMYFUNCTION("""COMPUTED_VALUE"""),27.2082)</f>
        <v>27.2082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14</v>
      </c>
      <c r="B2" s="4">
        <f>(Sheet1!$B$35 - Sheet1!B2) / (Sheet1!$B$35 - Sheet1!$B$34)</f>
        <v>0.775988135</v>
      </c>
      <c r="C2" s="4">
        <f>(Sheet1!$B$35 - Sheet1!C2) / (Sheet1!$B$35 - Sheet1!$B$34)</f>
        <v>0.765474666</v>
      </c>
      <c r="D2" s="4">
        <f>(Sheet1!$B$35 - Sheet1!D2) / (Sheet1!$B$35 - Sheet1!$B$34)</f>
        <v>0.7737679954</v>
      </c>
      <c r="E2" s="4">
        <f>(Sheet1!$B$35 - Sheet1!E2) / (Sheet1!$B$35 - Sheet1!$B$34)</f>
        <v>0.7664320149</v>
      </c>
      <c r="F2" s="4">
        <f>(Sheet1!$B$35 - Sheet1!F2) / (Sheet1!$B$35 - Sheet1!$B$34)</f>
        <v>0.7713806195</v>
      </c>
      <c r="G2" s="4">
        <f>(Sheet1!$B$35 - Sheet1!G2) / (Sheet1!$B$35 - Sheet1!$B$34)</f>
        <v>0.7837004384</v>
      </c>
      <c r="H2" s="4">
        <f>(Sheet1!$B$35 - Sheet1!H2) / (Sheet1!$B$35 - Sheet1!$B$34)</f>
        <v>0.7788031129</v>
      </c>
      <c r="I2" s="4">
        <f>(Sheet1!$B$35 - Sheet1!I2) / (Sheet1!$B$35 - Sheet1!$B$34)</f>
        <v>0.7784925431</v>
      </c>
      <c r="J2" s="4">
        <f>(Sheet1!$B$35 - Sheet1!J2) / (Sheet1!$B$35 - Sheet1!$B$34)</f>
        <v>0.7801492736</v>
      </c>
      <c r="K2" s="4">
        <f>(Sheet1!$B$35 - Sheet1!K2) / (Sheet1!$B$35 - Sheet1!$B$34)</f>
        <v>0.7803832555</v>
      </c>
      <c r="L2" s="4">
        <f>(Sheet1!$B$35 - Sheet1!L2) / (Sheet1!$B$35 - Sheet1!$B$34)</f>
        <v>0.772237974</v>
      </c>
      <c r="M2" s="4">
        <f>(Sheet1!$B$35 - Sheet1!M2) / (Sheet1!$B$35 - Sheet1!$B$34)</f>
        <v>0.7766747795</v>
      </c>
      <c r="N2" s="4">
        <f>(Sheet1!$B$35 - Sheet1!N2) / (Sheet1!$B$35 - Sheet1!$B$34)</f>
        <v>0.7800847611</v>
      </c>
    </row>
    <row r="3">
      <c r="A3" s="1" t="s">
        <v>15</v>
      </c>
      <c r="B3" s="4">
        <f>(Sheet1!$B$35 - Sheet1!B3) / (Sheet1!$B$35 - Sheet1!$B$34)</f>
        <v>0.7661020086</v>
      </c>
      <c r="C3" s="4">
        <f>(Sheet1!$B$35 - Sheet1!C3) / (Sheet1!$B$35 - Sheet1!$B$34)</f>
        <v>0.7536947671</v>
      </c>
      <c r="D3" s="4">
        <f>(Sheet1!$B$35 - Sheet1!D3) / (Sheet1!$B$35 - Sheet1!$B$34)</f>
        <v>0.741697428</v>
      </c>
      <c r="E3" s="4">
        <f>(Sheet1!$B$35 - Sheet1!E3) / (Sheet1!$B$35 - Sheet1!$B$34)</f>
        <v>0.7143414006</v>
      </c>
      <c r="F3" s="4">
        <f>(Sheet1!$B$35 - Sheet1!F3) / (Sheet1!$B$35 - Sheet1!$B$34)</f>
        <v>0.7309238413</v>
      </c>
      <c r="G3" s="4">
        <f>(Sheet1!$B$35 - Sheet1!G3) / (Sheet1!$B$35 - Sheet1!$B$34)</f>
        <v>0.7461442412</v>
      </c>
      <c r="H3" s="4">
        <f>(Sheet1!$B$35 - Sheet1!H3) / (Sheet1!$B$35 - Sheet1!$B$34)</f>
        <v>0.7401372181</v>
      </c>
      <c r="I3" s="4">
        <f>(Sheet1!$B$35 - Sheet1!I3) / (Sheet1!$B$35 - Sheet1!$B$34)</f>
        <v>0.7514283108</v>
      </c>
      <c r="J3" s="4">
        <f>(Sheet1!$B$35 - Sheet1!J3) / (Sheet1!$B$35 - Sheet1!$B$34)</f>
        <v>0.7512105398</v>
      </c>
      <c r="K3" s="4">
        <f>(Sheet1!$B$35 - Sheet1!K3) / (Sheet1!$B$35 - Sheet1!$B$34)</f>
        <v>0.7555281626</v>
      </c>
      <c r="L3" s="4">
        <f>(Sheet1!$B$35 - Sheet1!L3) / (Sheet1!$B$35 - Sheet1!$B$34)</f>
        <v>0.7490228218</v>
      </c>
      <c r="M3" s="4">
        <f>(Sheet1!$B$35 - Sheet1!M3) / (Sheet1!$B$35 - Sheet1!$B$34)</f>
        <v>0.7594645827</v>
      </c>
      <c r="N3" s="4">
        <f>(Sheet1!$B$35 - Sheet1!N3) / (Sheet1!$B$35 - Sheet1!$B$34)</f>
        <v>0.7600265858</v>
      </c>
    </row>
    <row r="4">
      <c r="A4" s="1" t="s">
        <v>16</v>
      </c>
      <c r="B4" s="4">
        <f>(Sheet1!$B$35 - Sheet1!B4) / (Sheet1!$B$35 - Sheet1!$B$34)</f>
        <v>0.7849812595</v>
      </c>
      <c r="C4" s="4">
        <f>(Sheet1!$B$35 - Sheet1!C4) / (Sheet1!$B$35 - Sheet1!$B$34)</f>
        <v>0.7849007016</v>
      </c>
      <c r="D4" s="4">
        <f>(Sheet1!$B$35 - Sheet1!D4) / (Sheet1!$B$35 - Sheet1!$B$34)</f>
        <v>0.774856437</v>
      </c>
      <c r="E4" s="4">
        <f>(Sheet1!$B$35 - Sheet1!E4) / (Sheet1!$B$35 - Sheet1!$B$34)</f>
        <v>0.7813625221</v>
      </c>
      <c r="F4" s="4">
        <f>(Sheet1!$B$35 - Sheet1!F4) / (Sheet1!$B$35 - Sheet1!$B$34)</f>
        <v>0.7711788939</v>
      </c>
      <c r="G4" s="4">
        <f>(Sheet1!$B$35 - Sheet1!G4) / (Sheet1!$B$35 - Sheet1!$B$34)</f>
        <v>0.7490956051</v>
      </c>
      <c r="H4" s="4">
        <f>(Sheet1!$B$35 - Sheet1!H4) / (Sheet1!$B$35 - Sheet1!$B$34)</f>
        <v>0.7622939518</v>
      </c>
      <c r="I4" s="4">
        <f>(Sheet1!$B$35 - Sheet1!I4) / (Sheet1!$B$35 - Sheet1!$B$34)</f>
        <v>0.5685130556</v>
      </c>
      <c r="J4" s="4">
        <f>(Sheet1!$B$35 - Sheet1!J4) / (Sheet1!$B$35 - Sheet1!$B$34)</f>
        <v>0.7704847229</v>
      </c>
      <c r="K4" s="4">
        <f>(Sheet1!$B$35 - Sheet1!K4) / (Sheet1!$B$35 - Sheet1!$B$34)</f>
        <v>0.7845579583</v>
      </c>
      <c r="L4" s="4">
        <f>(Sheet1!$B$35 - Sheet1!L4) / (Sheet1!$B$35 - Sheet1!$B$34)</f>
        <v>0.7803409088</v>
      </c>
      <c r="M4" s="4">
        <f>(Sheet1!$B$35 - Sheet1!M4) / (Sheet1!$B$35 - Sheet1!$B$34)</f>
        <v>0.7860484451</v>
      </c>
      <c r="N4" s="4">
        <f>(Sheet1!$B$35 - Sheet1!N4) / (Sheet1!$B$35 - Sheet1!$B$34)</f>
        <v>0.7861289203</v>
      </c>
    </row>
    <row r="5">
      <c r="A5" s="1" t="s">
        <v>17</v>
      </c>
      <c r="B5" s="4">
        <f>(Sheet1!$B$35 - Sheet1!B5) / (Sheet1!$B$35 - Sheet1!$B$34)</f>
        <v>0.661909201</v>
      </c>
      <c r="C5" s="4">
        <f>(Sheet1!$B$35 - Sheet1!C5) / (Sheet1!$B$35 - Sheet1!$B$34)</f>
        <v>0.6780667689</v>
      </c>
      <c r="D5" s="4">
        <f>(Sheet1!$B$35 - Sheet1!D5) / (Sheet1!$B$35 - Sheet1!$B$34)</f>
        <v>0.6797813953</v>
      </c>
      <c r="E5" s="4">
        <f>(Sheet1!$B$35 - Sheet1!E5) / (Sheet1!$B$35 - Sheet1!$B$34)</f>
        <v>0.7740565647</v>
      </c>
      <c r="F5" s="4">
        <f>(Sheet1!$B$35 - Sheet1!F5) / (Sheet1!$B$35 - Sheet1!$B$34)</f>
        <v>0.779866742</v>
      </c>
      <c r="G5" s="4">
        <f>(Sheet1!$B$35 - Sheet1!G5) / (Sheet1!$B$35 - Sheet1!$B$34)</f>
        <v>0.7863693534</v>
      </c>
      <c r="H5" s="4">
        <f>(Sheet1!$B$35 - Sheet1!H5) / (Sheet1!$B$35 - Sheet1!$B$34)</f>
        <v>0.7826603812</v>
      </c>
      <c r="I5" s="4">
        <f>(Sheet1!$B$35 - Sheet1!I5) / (Sheet1!$B$35 - Sheet1!$B$34)</f>
        <v>0.7862360276</v>
      </c>
      <c r="J5" s="4">
        <f>(Sheet1!$B$35 - Sheet1!J5) / (Sheet1!$B$35 - Sheet1!$B$34)</f>
        <v>0.7881934028</v>
      </c>
      <c r="K5" s="4">
        <f>(Sheet1!$B$35 - Sheet1!K5) / (Sheet1!$B$35 - Sheet1!$B$34)</f>
        <v>0.7460858491</v>
      </c>
      <c r="L5" s="4">
        <f>(Sheet1!$B$35 - Sheet1!L5) / (Sheet1!$B$35 - Sheet1!$B$34)</f>
        <v>0.7631256668</v>
      </c>
      <c r="M5" s="4">
        <f>(Sheet1!$B$35 - Sheet1!M5) / (Sheet1!$B$35 - Sheet1!$B$34)</f>
        <v>0.779764101</v>
      </c>
      <c r="N5" s="4">
        <f>(Sheet1!$B$35 - Sheet1!N5) / (Sheet1!$B$35 - Sheet1!$B$34)</f>
        <v>0.785757808</v>
      </c>
    </row>
    <row r="6">
      <c r="A6" s="1" t="s">
        <v>18</v>
      </c>
      <c r="B6" s="4">
        <f>(Sheet1!$B$35 - Sheet1!B6) / (Sheet1!$B$35 - Sheet1!$B$34)</f>
        <v>0.7888582124</v>
      </c>
      <c r="C6" s="4">
        <f>(Sheet1!$B$35 - Sheet1!C6) / (Sheet1!$B$35 - Sheet1!$B$34)</f>
        <v>0.7892884611</v>
      </c>
      <c r="D6" s="4">
        <f>(Sheet1!$B$35 - Sheet1!D6) / (Sheet1!$B$35 - Sheet1!$B$34)</f>
        <v>0.7895299694</v>
      </c>
      <c r="E6" s="4">
        <f>(Sheet1!$B$35 - Sheet1!E6) / (Sheet1!$B$35 - Sheet1!$B$34)</f>
        <v>0.6741119876</v>
      </c>
      <c r="F6" s="4">
        <f>(Sheet1!$B$35 - Sheet1!F6) / (Sheet1!$B$35 - Sheet1!$B$34)</f>
        <v>0.6863553012</v>
      </c>
      <c r="G6" s="4">
        <f>(Sheet1!$B$35 - Sheet1!G6) / (Sheet1!$B$35 - Sheet1!$B$34)</f>
        <v>0.7527401476</v>
      </c>
      <c r="H6" s="4">
        <f>(Sheet1!$B$35 - Sheet1!H6) / (Sheet1!$B$35 - Sheet1!$B$34)</f>
        <v>0.7110966702</v>
      </c>
      <c r="I6" s="4">
        <f>(Sheet1!$B$35 - Sheet1!I6) / (Sheet1!$B$35 - Sheet1!$B$34)</f>
        <v>0.7049326667</v>
      </c>
      <c r="J6" s="4">
        <f>(Sheet1!$B$35 - Sheet1!J6) / (Sheet1!$B$35 - Sheet1!$B$34)</f>
        <v>0.6956166489</v>
      </c>
      <c r="K6" s="4">
        <f>(Sheet1!$B$35 - Sheet1!K6) / (Sheet1!$B$35 - Sheet1!$B$34)</f>
        <v>0.7892119559</v>
      </c>
      <c r="L6" s="4">
        <f>(Sheet1!$B$35 - Sheet1!L6) / (Sheet1!$B$35 - Sheet1!$B$34)</f>
        <v>0.7886406895</v>
      </c>
      <c r="M6" s="4">
        <f>(Sheet1!$B$35 - Sheet1!M6) / (Sheet1!$B$35 - Sheet1!$B$34)</f>
        <v>0.7905132887</v>
      </c>
      <c r="N6" s="4">
        <f>(Sheet1!$B$35 - Sheet1!N6) / (Sheet1!$B$35 - Sheet1!$B$34)</f>
        <v>0.7903451427</v>
      </c>
    </row>
    <row r="7">
      <c r="A7" s="1" t="s">
        <v>19</v>
      </c>
      <c r="B7" s="4">
        <f>(Sheet1!$B$35 - Sheet1!B7) / (Sheet1!$B$35 - Sheet1!$B$34)</f>
        <v>0.7608077659</v>
      </c>
      <c r="C7" s="4">
        <f>(Sheet1!$B$35 - Sheet1!C7) / (Sheet1!$B$35 - Sheet1!$B$34)</f>
        <v>0.7644554513</v>
      </c>
      <c r="D7" s="4">
        <f>(Sheet1!$B$35 - Sheet1!D7) / (Sheet1!$B$35 - Sheet1!$B$34)</f>
        <v>0.775300498</v>
      </c>
      <c r="E7" s="4">
        <f>(Sheet1!$B$35 - Sheet1!E7) / (Sheet1!$B$35 - Sheet1!$B$34)</f>
        <v>0.7773225511</v>
      </c>
      <c r="F7" s="4">
        <f>(Sheet1!$B$35 - Sheet1!F7) / (Sheet1!$B$35 - Sheet1!$B$34)</f>
        <v>0.7830238843</v>
      </c>
      <c r="G7" s="4">
        <f>(Sheet1!$B$35 - Sheet1!G7) / (Sheet1!$B$35 - Sheet1!$B$34)</f>
        <v>0.7868170536</v>
      </c>
      <c r="H7" s="4">
        <f>(Sheet1!$B$35 - Sheet1!H7) / (Sheet1!$B$35 - Sheet1!$B$34)</f>
        <v>0.7850572685</v>
      </c>
      <c r="I7" s="4">
        <f>(Sheet1!$B$35 - Sheet1!I7) / (Sheet1!$B$35 - Sheet1!$B$34)</f>
        <v>0.7748749636</v>
      </c>
      <c r="J7" s="4">
        <f>(Sheet1!$B$35 - Sheet1!J7) / (Sheet1!$B$35 - Sheet1!$B$34)</f>
        <v>0.773257106</v>
      </c>
      <c r="K7" s="4">
        <f>(Sheet1!$B$35 - Sheet1!K7) / (Sheet1!$B$35 - Sheet1!$B$34)</f>
        <v>0.6139449052</v>
      </c>
      <c r="L7" s="4">
        <f>(Sheet1!$B$35 - Sheet1!L7) / (Sheet1!$B$35 - Sheet1!$B$34)</f>
        <v>0.7765276414</v>
      </c>
      <c r="M7" s="4">
        <f>(Sheet1!$B$35 - Sheet1!M7) / (Sheet1!$B$35 - Sheet1!$B$34)</f>
        <v>0.7870655094</v>
      </c>
      <c r="N7" s="4">
        <f>(Sheet1!$B$35 - Sheet1!N7) / (Sheet1!$B$35 - Sheet1!$B$34)</f>
        <v>0.7866790134</v>
      </c>
    </row>
    <row r="8">
      <c r="A8" s="1" t="s">
        <v>20</v>
      </c>
      <c r="B8" s="4">
        <f>(Sheet1!$B$35 - Sheet1!B8) / (Sheet1!$B$35 - Sheet1!$B$34)</f>
        <v>0.7703437052</v>
      </c>
      <c r="C8" s="4">
        <f>(Sheet1!$B$35 - Sheet1!C8) / (Sheet1!$B$35 - Sheet1!$B$34)</f>
        <v>0.7173704277</v>
      </c>
      <c r="D8" s="4">
        <f>(Sheet1!$B$35 - Sheet1!D8) / (Sheet1!$B$35 - Sheet1!$B$34)</f>
        <v>0.7531700654</v>
      </c>
      <c r="E8" s="4">
        <f>(Sheet1!$B$35 - Sheet1!E8) / (Sheet1!$B$35 - Sheet1!$B$34)</f>
        <v>0.7135697319</v>
      </c>
      <c r="F8" s="4">
        <f>(Sheet1!$B$35 - Sheet1!F8) / (Sheet1!$B$35 - Sheet1!$B$34)</f>
        <v>0.8105009966</v>
      </c>
      <c r="G8" s="4">
        <f>(Sheet1!$B$35 - Sheet1!G8) / (Sheet1!$B$35 - Sheet1!$B$34)</f>
        <v>0.8007740838</v>
      </c>
      <c r="H8" s="4">
        <f>(Sheet1!$B$35 - Sheet1!H8) / (Sheet1!$B$35 - Sheet1!$B$34)</f>
        <v>0.5082188505</v>
      </c>
      <c r="I8" s="4">
        <f>(Sheet1!$B$35 - Sheet1!I8) / (Sheet1!$B$35 - Sheet1!$B$34)</f>
        <v>0.6750550279</v>
      </c>
      <c r="J8" s="4">
        <f>(Sheet1!$B$35 - Sheet1!J8) / (Sheet1!$B$35 - Sheet1!$B$34)</f>
        <v>0.7645920854</v>
      </c>
      <c r="K8" s="4">
        <f>(Sheet1!$B$35 - Sheet1!K8) / (Sheet1!$B$35 - Sheet1!$B$34)</f>
        <v>0.7759461192</v>
      </c>
      <c r="L8" s="4">
        <f>(Sheet1!$B$35 - Sheet1!L8) / (Sheet1!$B$35 - Sheet1!$B$34)</f>
        <v>0.7668448121</v>
      </c>
      <c r="M8" s="4">
        <f>(Sheet1!$B$35 - Sheet1!M8) / (Sheet1!$B$35 - Sheet1!$B$34)</f>
        <v>0.7574549357</v>
      </c>
      <c r="N8" s="4">
        <f>(Sheet1!$B$35 - Sheet1!N8) / (Sheet1!$B$35 - Sheet1!$B$34)</f>
        <v>0.7548033895</v>
      </c>
    </row>
    <row r="9">
      <c r="A9" s="1" t="s">
        <v>21</v>
      </c>
      <c r="B9" s="4">
        <f>(Sheet1!$B$35 - Sheet1!B9) / (Sheet1!$B$35 - Sheet1!$B$34)</f>
        <v>0.7745183253</v>
      </c>
      <c r="C9" s="4">
        <f>(Sheet1!$B$35 - Sheet1!C9) / (Sheet1!$B$35 - Sheet1!$B$34)</f>
        <v>0.7730158458</v>
      </c>
      <c r="D9" s="4">
        <f>(Sheet1!$B$35 - Sheet1!D9) / (Sheet1!$B$35 - Sheet1!$B$34)</f>
        <v>0.7786483656</v>
      </c>
      <c r="E9" s="4">
        <f>(Sheet1!$B$35 - Sheet1!E9) / (Sheet1!$B$35 - Sheet1!$B$34)</f>
        <v>0.7756945204</v>
      </c>
      <c r="F9" s="4">
        <f>(Sheet1!$B$35 - Sheet1!F9) / (Sheet1!$B$35 - Sheet1!$B$34)</f>
        <v>0.7752220905</v>
      </c>
      <c r="G9" s="4">
        <f>(Sheet1!$B$35 - Sheet1!G9) / (Sheet1!$B$35 - Sheet1!$B$34)</f>
        <v>0.7861626653</v>
      </c>
      <c r="H9" s="4">
        <f>(Sheet1!$B$35 - Sheet1!H9) / (Sheet1!$B$35 - Sheet1!$B$34)</f>
        <v>0.7827974289</v>
      </c>
      <c r="I9" s="4">
        <f>(Sheet1!$B$35 - Sheet1!I9) / (Sheet1!$B$35 - Sheet1!$B$34)</f>
        <v>0.7821418</v>
      </c>
      <c r="J9" s="4">
        <f>(Sheet1!$B$35 - Sheet1!J9) / (Sheet1!$B$35 - Sheet1!$B$34)</f>
        <v>0.7830582909</v>
      </c>
      <c r="K9" s="4">
        <f>(Sheet1!$B$35 - Sheet1!K9) / (Sheet1!$B$35 - Sheet1!$B$34)</f>
        <v>0.7781040621</v>
      </c>
      <c r="L9" s="4">
        <f>(Sheet1!$B$35 - Sheet1!L9) / (Sheet1!$B$35 - Sheet1!$B$34)</f>
        <v>0.779472306</v>
      </c>
      <c r="M9" s="4">
        <f>(Sheet1!$B$35 - Sheet1!M9) / (Sheet1!$B$35 - Sheet1!$B$34)</f>
        <v>0.7826848628</v>
      </c>
      <c r="N9" s="4">
        <f>(Sheet1!$B$35 - Sheet1!N9) / (Sheet1!$B$35 - Sheet1!$B$34)</f>
        <v>0.7837061453</v>
      </c>
    </row>
    <row r="10">
      <c r="A10" s="1" t="s">
        <v>22</v>
      </c>
      <c r="B10" s="4">
        <f>(Sheet1!$B$35 - Sheet1!B10) / (Sheet1!$B$35 - Sheet1!$B$34)</f>
        <v>0.7778981184</v>
      </c>
      <c r="C10" s="4">
        <f>(Sheet1!$B$35 - Sheet1!C10) / (Sheet1!$B$35 - Sheet1!$B$34)</f>
        <v>0.781071885</v>
      </c>
      <c r="D10" s="4">
        <f>(Sheet1!$B$35 - Sheet1!D10) / (Sheet1!$B$35 - Sheet1!$B$34)</f>
        <v>0.7782272148</v>
      </c>
      <c r="E10" s="4">
        <f>(Sheet1!$B$35 - Sheet1!E10) / (Sheet1!$B$35 - Sheet1!$B$34)</f>
        <v>0.7768270456</v>
      </c>
      <c r="F10" s="4">
        <f>(Sheet1!$B$35 - Sheet1!F10) / (Sheet1!$B$35 - Sheet1!$B$34)</f>
        <v>0.7731945785</v>
      </c>
      <c r="G10" s="4">
        <f>(Sheet1!$B$35 - Sheet1!G10) / (Sheet1!$B$35 - Sheet1!$B$34)</f>
        <v>0.7801772291</v>
      </c>
      <c r="H10" s="4">
        <f>(Sheet1!$B$35 - Sheet1!H10) / (Sheet1!$B$35 - Sheet1!$B$34)</f>
        <v>0.7706668466</v>
      </c>
      <c r="I10" s="4">
        <f>(Sheet1!$B$35 - Sheet1!I10) / (Sheet1!$B$35 - Sheet1!$B$34)</f>
        <v>0.7719399759</v>
      </c>
      <c r="J10" s="4">
        <f>(Sheet1!$B$35 - Sheet1!J10) / (Sheet1!$B$35 - Sheet1!$B$34)</f>
        <v>0.7741649126</v>
      </c>
      <c r="K10" s="4">
        <f>(Sheet1!$B$35 - Sheet1!K10) / (Sheet1!$B$35 - Sheet1!$B$34)</f>
        <v>0.7768869264</v>
      </c>
      <c r="L10" s="4">
        <f>(Sheet1!$B$35 - Sheet1!L10) / (Sheet1!$B$35 - Sheet1!$B$34)</f>
        <v>0.7749564313</v>
      </c>
      <c r="M10" s="4">
        <f>(Sheet1!$B$35 - Sheet1!M10) / (Sheet1!$B$35 - Sheet1!$B$34)</f>
        <v>0.7775656309</v>
      </c>
      <c r="N10" s="4">
        <f>(Sheet1!$B$35 - Sheet1!N10) / (Sheet1!$B$35 - Sheet1!$B$34)</f>
        <v>0.7769091749</v>
      </c>
    </row>
    <row r="11">
      <c r="A11" s="1" t="s">
        <v>23</v>
      </c>
      <c r="B11" s="4">
        <f>(Sheet1!$B$35 - Sheet1!B11) / (Sheet1!$B$35 - Sheet1!$B$34)</f>
        <v>0.7537943479</v>
      </c>
      <c r="C11" s="4">
        <f>(Sheet1!$B$35 - Sheet1!C11) / (Sheet1!$B$35 - Sheet1!$B$34)</f>
        <v>0.7521366249</v>
      </c>
      <c r="D11" s="4">
        <f>(Sheet1!$B$35 - Sheet1!D11) / (Sheet1!$B$35 - Sheet1!$B$34)</f>
        <v>0.7458909056</v>
      </c>
      <c r="E11" s="4">
        <f>(Sheet1!$B$35 - Sheet1!E11) / (Sheet1!$B$35 - Sheet1!$B$34)</f>
        <v>0.7501854527</v>
      </c>
      <c r="F11" s="4">
        <f>(Sheet1!$B$35 - Sheet1!F11) / (Sheet1!$B$35 - Sheet1!$B$34)</f>
        <v>0.7359477105</v>
      </c>
      <c r="G11" s="4">
        <f>(Sheet1!$B$35 - Sheet1!G11) / (Sheet1!$B$35 - Sheet1!$B$34)</f>
        <v>0.7340467423</v>
      </c>
      <c r="H11" s="4">
        <f>(Sheet1!$B$35 - Sheet1!H11) / (Sheet1!$B$35 - Sheet1!$B$34)</f>
        <v>0.7445268798</v>
      </c>
      <c r="I11" s="4">
        <f>(Sheet1!$B$35 - Sheet1!I11) / (Sheet1!$B$35 - Sheet1!$B$34)</f>
        <v>0.7491616891</v>
      </c>
      <c r="J11" s="4">
        <f>(Sheet1!$B$35 - Sheet1!J11) / (Sheet1!$B$35 - Sheet1!$B$34)</f>
        <v>0.7586422965</v>
      </c>
      <c r="K11" s="4">
        <f>(Sheet1!$B$35 - Sheet1!K11) / (Sheet1!$B$35 - Sheet1!$B$34)</f>
        <v>0.7573753703</v>
      </c>
      <c r="L11" s="4">
        <f>(Sheet1!$B$35 - Sheet1!L11) / (Sheet1!$B$35 - Sheet1!$B$34)</f>
        <v>0.7592334129</v>
      </c>
      <c r="M11" s="4">
        <f>(Sheet1!$B$35 - Sheet1!M11) / (Sheet1!$B$35 - Sheet1!$B$34)</f>
        <v>0.7676550229</v>
      </c>
      <c r="N11" s="4">
        <f>(Sheet1!$B$35 - Sheet1!N11) / (Sheet1!$B$35 - Sheet1!$B$34)</f>
        <v>0.7732595873</v>
      </c>
    </row>
    <row r="12">
      <c r="A12" s="1" t="s">
        <v>24</v>
      </c>
      <c r="B12" s="4">
        <f>(Sheet1!$B$35 - Sheet1!B12) / (Sheet1!$B$35 - Sheet1!$B$34)</f>
        <v>0.7796254818</v>
      </c>
      <c r="C12" s="4">
        <f>(Sheet1!$B$35 - Sheet1!C12) / (Sheet1!$B$35 - Sheet1!$B$34)</f>
        <v>0.7806838176</v>
      </c>
      <c r="D12" s="4">
        <f>(Sheet1!$B$35 - Sheet1!D12) / (Sheet1!$B$35 - Sheet1!$B$34)</f>
        <v>0.7801783043</v>
      </c>
      <c r="E12" s="4">
        <f>(Sheet1!$B$35 - Sheet1!E12) / (Sheet1!$B$35 - Sheet1!$B$34)</f>
        <v>0.7783473073</v>
      </c>
      <c r="F12" s="4">
        <f>(Sheet1!$B$35 - Sheet1!F12) / (Sheet1!$B$35 - Sheet1!$B$34)</f>
        <v>0.7773916953</v>
      </c>
      <c r="G12" s="4">
        <f>(Sheet1!$B$35 - Sheet1!G12) / (Sheet1!$B$35 - Sheet1!$B$34)</f>
        <v>0.7769050395</v>
      </c>
      <c r="H12" s="4">
        <f>(Sheet1!$B$35 - Sheet1!H12) / (Sheet1!$B$35 - Sheet1!$B$34)</f>
        <v>0.7451206429</v>
      </c>
      <c r="I12" s="4">
        <f>(Sheet1!$B$35 - Sheet1!I12) / (Sheet1!$B$35 - Sheet1!$B$34)</f>
        <v>0.7758707719</v>
      </c>
      <c r="J12" s="4">
        <f>(Sheet1!$B$35 - Sheet1!J12) / (Sheet1!$B$35 - Sheet1!$B$34)</f>
        <v>0.7806221171</v>
      </c>
      <c r="K12" s="4">
        <f>(Sheet1!$B$35 - Sheet1!K12) / (Sheet1!$B$35 - Sheet1!$B$34)</f>
        <v>0.7838665167</v>
      </c>
      <c r="L12" s="4">
        <f>(Sheet1!$B$35 - Sheet1!L12) / (Sheet1!$B$35 - Sheet1!$B$34)</f>
        <v>0.7827088482</v>
      </c>
      <c r="M12" s="4">
        <f>(Sheet1!$B$35 - Sheet1!M12) / (Sheet1!$B$35 - Sheet1!$B$34)</f>
        <v>0.7842578098</v>
      </c>
      <c r="N12" s="4">
        <f>(Sheet1!$B$35 - Sheet1!N12) / (Sheet1!$B$35 - Sheet1!$B$34)</f>
        <v>0.7846467044</v>
      </c>
    </row>
    <row r="13">
      <c r="A13" s="1" t="s">
        <v>25</v>
      </c>
      <c r="B13" s="4">
        <f>(Sheet1!$B$35 - Sheet1!B13) / (Sheet1!$B$35 - Sheet1!$B$34)</f>
        <v>0.7748899338</v>
      </c>
      <c r="C13" s="4">
        <f>(Sheet1!$B$35 - Sheet1!C13) / (Sheet1!$B$35 - Sheet1!$B$34)</f>
        <v>0.7754715388</v>
      </c>
      <c r="D13" s="4">
        <f>(Sheet1!$B$35 - Sheet1!D13) / (Sheet1!$B$35 - Sheet1!$B$34)</f>
        <v>0.7752593092</v>
      </c>
      <c r="E13" s="4">
        <f>(Sheet1!$B$35 - Sheet1!E13) / (Sheet1!$B$35 - Sheet1!$B$34)</f>
        <v>0.7649926419</v>
      </c>
      <c r="F13" s="4">
        <f>(Sheet1!$B$35 - Sheet1!F13) / (Sheet1!$B$35 - Sheet1!$B$34)</f>
        <v>0.7702246879</v>
      </c>
      <c r="G13" s="4">
        <f>(Sheet1!$B$35 - Sheet1!G13) / (Sheet1!$B$35 - Sheet1!$B$34)</f>
        <v>0.781437704</v>
      </c>
      <c r="H13" s="4">
        <f>(Sheet1!$B$35 - Sheet1!H13) / (Sheet1!$B$35 - Sheet1!$B$34)</f>
        <v>0.7777036711</v>
      </c>
      <c r="I13" s="4">
        <f>(Sheet1!$B$35 - Sheet1!I13) / (Sheet1!$B$35 - Sheet1!$B$34)</f>
        <v>0.7818255233</v>
      </c>
      <c r="J13" s="4">
        <f>(Sheet1!$B$35 - Sheet1!J13) / (Sheet1!$B$35 - Sheet1!$B$34)</f>
        <v>0.7815831052</v>
      </c>
      <c r="K13" s="4">
        <f>(Sheet1!$B$35 - Sheet1!K13) / (Sheet1!$B$35 - Sheet1!$B$34)</f>
        <v>0.7779593226</v>
      </c>
      <c r="L13" s="4">
        <f>(Sheet1!$B$35 - Sheet1!L13) / (Sheet1!$B$35 - Sheet1!$B$34)</f>
        <v>0.7780928138</v>
      </c>
      <c r="M13" s="4">
        <f>(Sheet1!$B$35 - Sheet1!M13) / (Sheet1!$B$35 - Sheet1!$B$34)</f>
        <v>0.780485483</v>
      </c>
      <c r="N13" s="4">
        <f>(Sheet1!$B$35 - Sheet1!N13) / (Sheet1!$B$35 - Sheet1!$B$34)</f>
        <v>0.7805420555</v>
      </c>
    </row>
    <row r="14">
      <c r="A14" s="1" t="s">
        <v>26</v>
      </c>
      <c r="B14" s="4">
        <f>(Sheet1!$B$35 - Sheet1!B14) / (Sheet1!$B$35 - Sheet1!$B$34)</f>
        <v>0.7828307603</v>
      </c>
      <c r="C14" s="4">
        <f>(Sheet1!$B$35 - Sheet1!C14) / (Sheet1!$B$35 - Sheet1!$B$34)</f>
        <v>0.7734408839</v>
      </c>
      <c r="D14" s="4">
        <f>(Sheet1!$B$35 - Sheet1!D14) / (Sheet1!$B$35 - Sheet1!$B$34)</f>
        <v>0.7745662134</v>
      </c>
      <c r="E14" s="4">
        <f>(Sheet1!$B$35 - Sheet1!E14) / (Sheet1!$B$35 - Sheet1!$B$34)</f>
        <v>0.7782581477</v>
      </c>
      <c r="F14" s="4">
        <f>(Sheet1!$B$35 - Sheet1!F14) / (Sheet1!$B$35 - Sheet1!$B$34)</f>
        <v>0.7781376417</v>
      </c>
      <c r="G14" s="4">
        <f>(Sheet1!$B$35 - Sheet1!G14) / (Sheet1!$B$35 - Sheet1!$B$34)</f>
        <v>0.7836191361</v>
      </c>
      <c r="H14" s="4">
        <f>(Sheet1!$B$35 - Sheet1!H14) / (Sheet1!$B$35 - Sheet1!$B$34)</f>
        <v>0.7712023831</v>
      </c>
      <c r="I14" s="4">
        <f>(Sheet1!$B$35 - Sheet1!I14) / (Sheet1!$B$35 - Sheet1!$B$34)</f>
        <v>0.7721707322</v>
      </c>
      <c r="J14" s="4">
        <f>(Sheet1!$B$35 - Sheet1!J14) / (Sheet1!$B$35 - Sheet1!$B$34)</f>
        <v>0.7677383102</v>
      </c>
      <c r="K14" s="4">
        <f>(Sheet1!$B$35 - Sheet1!K14) / (Sheet1!$B$35 - Sheet1!$B$34)</f>
        <v>0.7600175706</v>
      </c>
      <c r="L14" s="4">
        <f>(Sheet1!$B$35 - Sheet1!L14) / (Sheet1!$B$35 - Sheet1!$B$34)</f>
        <v>0.772799729</v>
      </c>
      <c r="M14" s="4">
        <f>(Sheet1!$B$35 - Sheet1!M14) / (Sheet1!$B$35 - Sheet1!$B$34)</f>
        <v>0.7690094545</v>
      </c>
      <c r="N14" s="4">
        <f>(Sheet1!$B$35 - Sheet1!N14) / (Sheet1!$B$35 - Sheet1!$B$34)</f>
        <v>0.7686441318</v>
      </c>
    </row>
    <row r="15">
      <c r="A15" s="1" t="s">
        <v>27</v>
      </c>
      <c r="B15" s="4">
        <f>(Sheet1!$B$35 - Sheet1!B15) / (Sheet1!$B$35 - Sheet1!$B$34)</f>
        <v>0.7788905356</v>
      </c>
      <c r="C15" s="4">
        <f>(Sheet1!$B$35 - Sheet1!C15) / (Sheet1!$B$35 - Sheet1!$B$34)</f>
        <v>0.7788762271</v>
      </c>
      <c r="D15" s="4">
        <f>(Sheet1!$B$35 - Sheet1!D15) / (Sheet1!$B$35 - Sheet1!$B$34)</f>
        <v>0.7759002988</v>
      </c>
      <c r="E15" s="4">
        <f>(Sheet1!$B$35 - Sheet1!E15) / (Sheet1!$B$35 - Sheet1!$B$34)</f>
        <v>0.7711416751</v>
      </c>
      <c r="F15" s="4">
        <f>(Sheet1!$B$35 - Sheet1!F15) / (Sheet1!$B$35 - Sheet1!$B$34)</f>
        <v>0.7663173811</v>
      </c>
      <c r="G15" s="4">
        <f>(Sheet1!$B$35 - Sheet1!G15) / (Sheet1!$B$35 - Sheet1!$B$34)</f>
        <v>0.7710568991</v>
      </c>
      <c r="H15" s="4">
        <f>(Sheet1!$B$35 - Sheet1!H15) / (Sheet1!$B$35 - Sheet1!$B$34)</f>
        <v>0.7657848222</v>
      </c>
      <c r="I15" s="4">
        <f>(Sheet1!$B$35 - Sheet1!I15) / (Sheet1!$B$35 - Sheet1!$B$34)</f>
        <v>0.768504851</v>
      </c>
      <c r="J15" s="4">
        <f>(Sheet1!$B$35 - Sheet1!J15) / (Sheet1!$B$35 - Sheet1!$B$34)</f>
        <v>0.768203131</v>
      </c>
      <c r="K15" s="4">
        <f>(Sheet1!$B$35 - Sheet1!K15) / (Sheet1!$B$35 - Sheet1!$B$34)</f>
        <v>0.7652416766</v>
      </c>
      <c r="L15" s="4">
        <f>(Sheet1!$B$35 - Sheet1!L15) / (Sheet1!$B$35 - Sheet1!$B$34)</f>
        <v>0.7675244265</v>
      </c>
      <c r="M15" s="4">
        <f>(Sheet1!$B$35 - Sheet1!M15) / (Sheet1!$B$35 - Sheet1!$B$34)</f>
        <v>0.7750374028</v>
      </c>
      <c r="N15" s="4">
        <f>(Sheet1!$B$35 - Sheet1!N15) / (Sheet1!$B$35 - Sheet1!$B$34)</f>
        <v>0.7767268031</v>
      </c>
    </row>
    <row r="16">
      <c r="A16" s="1" t="s">
        <v>28</v>
      </c>
      <c r="B16" s="4">
        <f>(Sheet1!$B$35 - Sheet1!B16) / (Sheet1!$B$35 - Sheet1!$B$34)</f>
        <v>0.7686249435</v>
      </c>
      <c r="C16" s="4">
        <f>(Sheet1!$B$35 - Sheet1!C16) / (Sheet1!$B$35 - Sheet1!$B$34)</f>
        <v>0.7618056419</v>
      </c>
      <c r="D16" s="4">
        <f>(Sheet1!$B$35 - Sheet1!D16) / (Sheet1!$B$35 - Sheet1!$B$34)</f>
        <v>0.7709978454</v>
      </c>
      <c r="E16" s="4">
        <f>(Sheet1!$B$35 - Sheet1!E16) / (Sheet1!$B$35 - Sheet1!$B$34)</f>
        <v>0.771338521</v>
      </c>
      <c r="F16" s="4">
        <f>(Sheet1!$B$35 - Sheet1!F16) / (Sheet1!$B$35 - Sheet1!$B$34)</f>
        <v>0.7808061432</v>
      </c>
      <c r="G16" s="4">
        <f>(Sheet1!$B$35 - Sheet1!G16) / (Sheet1!$B$35 - Sheet1!$B$34)</f>
        <v>0.7852192114</v>
      </c>
      <c r="H16" s="4">
        <f>(Sheet1!$B$35 - Sheet1!H16) / (Sheet1!$B$35 - Sheet1!$B$34)</f>
        <v>0.7770028835</v>
      </c>
      <c r="I16" s="4">
        <f>(Sheet1!$B$35 - Sheet1!I16) / (Sheet1!$B$35 - Sheet1!$B$34)</f>
        <v>0.7744066691</v>
      </c>
      <c r="J16" s="4">
        <f>(Sheet1!$B$35 - Sheet1!J16) / (Sheet1!$B$35 - Sheet1!$B$34)</f>
        <v>0.7648233379</v>
      </c>
      <c r="K16" s="4">
        <f>(Sheet1!$B$35 - Sheet1!K16) / (Sheet1!$B$35 - Sheet1!$B$34)</f>
        <v>0.7729098138</v>
      </c>
      <c r="L16" s="4">
        <f>(Sheet1!$B$35 - Sheet1!L16) / (Sheet1!$B$35 - Sheet1!$B$34)</f>
        <v>0.7673288213</v>
      </c>
      <c r="M16" s="4">
        <f>(Sheet1!$B$35 - Sheet1!M16) / (Sheet1!$B$35 - Sheet1!$B$34)</f>
        <v>0.7751557584</v>
      </c>
      <c r="N16" s="4">
        <f>(Sheet1!$B$35 - Sheet1!N16) / (Sheet1!$B$35 - Sheet1!$B$34)</f>
        <v>0.7817132881</v>
      </c>
    </row>
    <row r="17">
      <c r="A17" s="1" t="s">
        <v>29</v>
      </c>
      <c r="B17" s="4">
        <f>(Sheet1!$B$35 - Sheet1!B17) / (Sheet1!$B$35 - Sheet1!$B$34)</f>
        <v>0.7760012856</v>
      </c>
      <c r="C17" s="4">
        <f>(Sheet1!$B$35 - Sheet1!C17) / (Sheet1!$B$35 - Sheet1!$B$34)</f>
        <v>0.7793151602</v>
      </c>
      <c r="D17" s="4">
        <f>(Sheet1!$B$35 - Sheet1!D17) / (Sheet1!$B$35 - Sheet1!$B$34)</f>
        <v>0.7846579527</v>
      </c>
      <c r="E17" s="4">
        <f>(Sheet1!$B$35 - Sheet1!E17) / (Sheet1!$B$35 - Sheet1!$B$34)</f>
        <v>0.7837693344</v>
      </c>
      <c r="F17" s="4">
        <f>(Sheet1!$B$35 - Sheet1!F17) / (Sheet1!$B$35 - Sheet1!$B$34)</f>
        <v>0.7547569074</v>
      </c>
      <c r="G17" s="4">
        <f>(Sheet1!$B$35 - Sheet1!G17) / (Sheet1!$B$35 - Sheet1!$B$34)</f>
        <v>1</v>
      </c>
      <c r="H17" s="4">
        <f>(Sheet1!$B$35 - Sheet1!H17) / (Sheet1!$B$35 - Sheet1!$B$34)</f>
        <v>0.7836668588</v>
      </c>
      <c r="I17" s="4">
        <f>(Sheet1!$B$35 - Sheet1!I17) / (Sheet1!$B$35 - Sheet1!$B$34)</f>
        <v>0.7861802822</v>
      </c>
      <c r="J17" s="4">
        <f>(Sheet1!$B$35 - Sheet1!J17) / (Sheet1!$B$35 - Sheet1!$B$34)</f>
        <v>0.7639219826</v>
      </c>
      <c r="K17" s="4">
        <f>(Sheet1!$B$35 - Sheet1!K17) / (Sheet1!$B$35 - Sheet1!$B$34)</f>
        <v>0.7774037707</v>
      </c>
      <c r="L17" s="4">
        <f>(Sheet1!$B$35 - Sheet1!L17) / (Sheet1!$B$35 - Sheet1!$B$34)</f>
        <v>0.7765431079</v>
      </c>
      <c r="M17" s="4">
        <f>(Sheet1!$B$35 - Sheet1!M17) / (Sheet1!$B$35 - Sheet1!$B$34)</f>
        <v>0.7847681202</v>
      </c>
      <c r="N17" s="4">
        <f>(Sheet1!$B$35 - Sheet1!N17) / (Sheet1!$B$35 - Sheet1!$B$34)</f>
        <v>0.7847805264</v>
      </c>
    </row>
    <row r="18">
      <c r="A18" s="1" t="s">
        <v>30</v>
      </c>
      <c r="B18" s="4">
        <f>(Sheet1!$B$35 - Sheet1!B18) / (Sheet1!$B$35 - Sheet1!$B$34)</f>
        <v>0.7743653976</v>
      </c>
      <c r="C18" s="4">
        <f>(Sheet1!$B$35 - Sheet1!C18) / (Sheet1!$B$35 - Sheet1!$B$34)</f>
        <v>0.7707105166</v>
      </c>
      <c r="D18" s="4">
        <f>(Sheet1!$B$35 - Sheet1!D18) / (Sheet1!$B$35 - Sheet1!$B$34)</f>
        <v>0.7697946046</v>
      </c>
      <c r="E18" s="4">
        <f>(Sheet1!$B$35 - Sheet1!E18) / (Sheet1!$B$35 - Sheet1!$B$34)</f>
        <v>0.7463417487</v>
      </c>
      <c r="F18" s="4">
        <f>(Sheet1!$B$35 - Sheet1!F18) / (Sheet1!$B$35 - Sheet1!$B$34)</f>
        <v>0.7559798327</v>
      </c>
      <c r="G18" s="4">
        <f>(Sheet1!$B$35 - Sheet1!G18) / (Sheet1!$B$35 - Sheet1!$B$34)</f>
        <v>0.7761587623</v>
      </c>
      <c r="H18" s="4">
        <f>(Sheet1!$B$35 - Sheet1!H18) / (Sheet1!$B$35 - Sheet1!$B$34)</f>
        <v>0.7732390756</v>
      </c>
      <c r="I18" s="4">
        <f>(Sheet1!$B$35 - Sheet1!I18) / (Sheet1!$B$35 - Sheet1!$B$34)</f>
        <v>0.7669278513</v>
      </c>
      <c r="J18" s="4">
        <f>(Sheet1!$B$35 - Sheet1!J18) / (Sheet1!$B$35 - Sheet1!$B$34)</f>
        <v>0.7749877778</v>
      </c>
      <c r="K18" s="4">
        <f>(Sheet1!$B$35 - Sheet1!K18) / (Sheet1!$B$35 - Sheet1!$B$34)</f>
        <v>0.7781241603</v>
      </c>
      <c r="L18" s="4">
        <f>(Sheet1!$B$35 - Sheet1!L18) / (Sheet1!$B$35 - Sheet1!$B$34)</f>
        <v>0.7707524498</v>
      </c>
      <c r="M18" s="4">
        <f>(Sheet1!$B$35 - Sheet1!M18) / (Sheet1!$B$35 - Sheet1!$B$34)</f>
        <v>0.7777621459</v>
      </c>
      <c r="N18" s="4">
        <f>(Sheet1!$B$35 - Sheet1!N18) / (Sheet1!$B$35 - Sheet1!$B$34)</f>
        <v>0.7820786108</v>
      </c>
    </row>
    <row r="19">
      <c r="A19" s="1" t="s">
        <v>31</v>
      </c>
      <c r="B19" s="4">
        <f>(Sheet1!$B$35 - Sheet1!B19) / (Sheet1!$B$35 - Sheet1!$B$34)</f>
        <v>0.780484077</v>
      </c>
      <c r="C19" s="4">
        <f>(Sheet1!$B$35 - Sheet1!C19) / (Sheet1!$B$35 - Sheet1!$B$34)</f>
        <v>0.7820794379</v>
      </c>
      <c r="D19" s="4">
        <f>(Sheet1!$B$35 - Sheet1!D19) / (Sheet1!$B$35 - Sheet1!$B$34)</f>
        <v>0.7867160667</v>
      </c>
      <c r="E19" s="4">
        <f>(Sheet1!$B$35 - Sheet1!E19) / (Sheet1!$B$35 - Sheet1!$B$34)</f>
        <v>0.7885379657</v>
      </c>
      <c r="F19" s="4">
        <f>(Sheet1!$B$35 - Sheet1!F19) / (Sheet1!$B$35 - Sheet1!$B$34)</f>
        <v>0.7891063374</v>
      </c>
      <c r="G19" s="4">
        <f>(Sheet1!$B$35 - Sheet1!G19) / (Sheet1!$B$35 - Sheet1!$B$34)</f>
        <v>0.789085164</v>
      </c>
      <c r="H19" s="4">
        <f>(Sheet1!$B$35 - Sheet1!H19) / (Sheet1!$B$35 - Sheet1!$B$34)</f>
        <v>0.7869619586</v>
      </c>
      <c r="I19" s="4">
        <f>(Sheet1!$B$35 - Sheet1!I19) / (Sheet1!$B$35 - Sheet1!$B$34)</f>
        <v>0.7818605916</v>
      </c>
      <c r="J19" s="4">
        <f>(Sheet1!$B$35 - Sheet1!J19) / (Sheet1!$B$35 - Sheet1!$B$34)</f>
        <v>0.7844691296</v>
      </c>
      <c r="K19" s="4">
        <f>(Sheet1!$B$35 - Sheet1!K19) / (Sheet1!$B$35 - Sheet1!$B$34)</f>
        <v>0.7868952129</v>
      </c>
      <c r="L19" s="4">
        <f>(Sheet1!$B$35 - Sheet1!L19) / (Sheet1!$B$35 - Sheet1!$B$34)</f>
        <v>0.78496356</v>
      </c>
      <c r="M19" s="4">
        <f>(Sheet1!$B$35 - Sheet1!M19) / (Sheet1!$B$35 - Sheet1!$B$34)</f>
        <v>0.7878537197</v>
      </c>
      <c r="N19" s="4">
        <f>(Sheet1!$B$35 - Sheet1!N19) / (Sheet1!$B$35 - Sheet1!$B$34)</f>
        <v>0.7873358829</v>
      </c>
    </row>
    <row r="20">
      <c r="A20" s="1" t="s">
        <v>32</v>
      </c>
      <c r="B20" s="4">
        <f>(Sheet1!$B$35 - Sheet1!B20) / (Sheet1!$B$35 - Sheet1!$B$34)</f>
        <v>0.780633779</v>
      </c>
      <c r="C20" s="4">
        <f>(Sheet1!$B$35 - Sheet1!C20) / (Sheet1!$B$35 - Sheet1!$B$34)</f>
        <v>0.7818276737</v>
      </c>
      <c r="D20" s="4">
        <f>(Sheet1!$B$35 - Sheet1!D20) / (Sheet1!$B$35 - Sheet1!$B$34)</f>
        <v>0.786580425</v>
      </c>
      <c r="E20" s="4">
        <f>(Sheet1!$B$35 - Sheet1!E20) / (Sheet1!$B$35 - Sheet1!$B$34)</f>
        <v>0.7875912862</v>
      </c>
      <c r="F20" s="4">
        <f>(Sheet1!$B$35 - Sheet1!F20) / (Sheet1!$B$35 - Sheet1!$B$34)</f>
        <v>0.7872757539</v>
      </c>
      <c r="G20" s="4">
        <f>(Sheet1!$B$35 - Sheet1!G20) / (Sheet1!$B$35 - Sheet1!$B$34)</f>
        <v>0.788806437</v>
      </c>
      <c r="H20" s="4">
        <f>(Sheet1!$B$35 - Sheet1!H20) / (Sheet1!$B$35 - Sheet1!$B$34)</f>
        <v>0.7864846488</v>
      </c>
      <c r="I20" s="4">
        <f>(Sheet1!$B$35 - Sheet1!I20) / (Sheet1!$B$35 - Sheet1!$B$34)</f>
        <v>0.7848020306</v>
      </c>
      <c r="J20" s="4">
        <f>(Sheet1!$B$35 - Sheet1!J20) / (Sheet1!$B$35 - Sheet1!$B$34)</f>
        <v>0.7835734811</v>
      </c>
      <c r="K20" s="4">
        <f>(Sheet1!$B$35 - Sheet1!K20) / (Sheet1!$B$35 - Sheet1!$B$34)</f>
        <v>0.7849264239</v>
      </c>
      <c r="L20" s="4">
        <f>(Sheet1!$B$35 - Sheet1!L20) / (Sheet1!$B$35 - Sheet1!$B$34)</f>
        <v>0.7825694847</v>
      </c>
      <c r="M20" s="4">
        <f>(Sheet1!$B$35 - Sheet1!M20) / (Sheet1!$B$35 - Sheet1!$B$34)</f>
        <v>0.7858524263</v>
      </c>
      <c r="N20" s="4">
        <f>(Sheet1!$B$35 - Sheet1!N20) / (Sheet1!$B$35 - Sheet1!$B$34)</f>
        <v>0.7856248957</v>
      </c>
    </row>
    <row r="21">
      <c r="A21" s="1" t="s">
        <v>33</v>
      </c>
      <c r="B21" s="4">
        <f>(Sheet1!$B$35 - Sheet1!B21) / (Sheet1!$B$35 - Sheet1!$B$34)</f>
        <v>0.7745389197</v>
      </c>
      <c r="C21" s="4">
        <f>(Sheet1!$B$35 - Sheet1!C21) / (Sheet1!$B$35 - Sheet1!$B$34)</f>
        <v>0.7711004037</v>
      </c>
      <c r="D21" s="4">
        <f>(Sheet1!$B$35 - Sheet1!D21) / (Sheet1!$B$35 - Sheet1!$B$34)</f>
        <v>0.7754717042</v>
      </c>
      <c r="E21" s="4">
        <f>(Sheet1!$B$35 - Sheet1!E21) / (Sheet1!$B$35 - Sheet1!$B$34)</f>
        <v>0.771347867</v>
      </c>
      <c r="F21" s="4">
        <f>(Sheet1!$B$35 - Sheet1!F21) / (Sheet1!$B$35 - Sheet1!$B$34)</f>
        <v>0.7733326187</v>
      </c>
      <c r="G21" s="4">
        <f>(Sheet1!$B$35 - Sheet1!G21) / (Sheet1!$B$35 - Sheet1!$B$34)</f>
        <v>0.7804388355</v>
      </c>
      <c r="H21" s="4">
        <f>(Sheet1!$B$35 - Sheet1!H21) / (Sheet1!$B$35 - Sheet1!$B$34)</f>
        <v>0.7781556721</v>
      </c>
      <c r="I21" s="4">
        <f>(Sheet1!$B$35 - Sheet1!I21) / (Sheet1!$B$35 - Sheet1!$B$34)</f>
        <v>0.7830457193</v>
      </c>
      <c r="J21" s="4">
        <f>(Sheet1!$B$35 - Sheet1!J21) / (Sheet1!$B$35 - Sheet1!$B$34)</f>
        <v>0.7842595467</v>
      </c>
      <c r="K21" s="4">
        <f>(Sheet1!$B$35 - Sheet1!K21) / (Sheet1!$B$35 - Sheet1!$B$34)</f>
        <v>0.7864651296</v>
      </c>
      <c r="L21" s="4">
        <f>(Sheet1!$B$35 - Sheet1!L21) / (Sheet1!$B$35 - Sheet1!$B$34)</f>
        <v>0.7865126869</v>
      </c>
      <c r="M21" s="4">
        <f>(Sheet1!$B$35 - Sheet1!M21) / (Sheet1!$B$35 - Sheet1!$B$34)</f>
        <v>0.7849844025</v>
      </c>
      <c r="N21" s="4">
        <f>(Sheet1!$B$35 - Sheet1!N21) / (Sheet1!$B$35 - Sheet1!$B$34)</f>
        <v>0.785969624</v>
      </c>
    </row>
    <row r="22">
      <c r="A22" s="1" t="s">
        <v>34</v>
      </c>
      <c r="B22" s="4">
        <f>(Sheet1!$B$35 - Sheet1!B22) / (Sheet1!$B$35 - Sheet1!$B$34)</f>
        <v>0.7876842504</v>
      </c>
      <c r="C22" s="4">
        <f>(Sheet1!$B$35 - Sheet1!C22) / (Sheet1!$B$35 - Sheet1!$B$34)</f>
        <v>0.7867464207</v>
      </c>
      <c r="D22" s="4">
        <f>(Sheet1!$B$35 - Sheet1!D22) / (Sheet1!$B$35 - Sheet1!$B$34)</f>
        <v>0.7880801751</v>
      </c>
      <c r="E22" s="4">
        <f>(Sheet1!$B$35 - Sheet1!E22) / (Sheet1!$B$35 - Sheet1!$B$34)</f>
        <v>0.7847324729</v>
      </c>
      <c r="F22" s="4">
        <f>(Sheet1!$B$35 - Sheet1!F22) / (Sheet1!$B$35 - Sheet1!$B$34)</f>
        <v>0.7830260347</v>
      </c>
      <c r="G22" s="4">
        <f>(Sheet1!$B$35 - Sheet1!G22) / (Sheet1!$B$35 - Sheet1!$B$34)</f>
        <v>0.7876730848</v>
      </c>
      <c r="H22" s="4">
        <f>(Sheet1!$B$35 - Sheet1!H22) / (Sheet1!$B$35 - Sheet1!$B$34)</f>
        <v>0.6921867346</v>
      </c>
      <c r="I22" s="4">
        <f>(Sheet1!$B$35 - Sheet1!I22) / (Sheet1!$B$35 - Sheet1!$B$34)</f>
        <v>0.8337637888</v>
      </c>
      <c r="J22" s="4">
        <f>(Sheet1!$B$35 - Sheet1!J22) / (Sheet1!$B$35 - Sheet1!$B$34)</f>
        <v>0.01436726351</v>
      </c>
      <c r="K22" s="4">
        <f>(Sheet1!$B$35 - Sheet1!K22) / (Sheet1!$B$35 - Sheet1!$B$34)</f>
        <v>0.7849518154</v>
      </c>
      <c r="L22" s="4">
        <f>(Sheet1!$B$35 - Sheet1!L22) / (Sheet1!$B$35 - Sheet1!$B$34)</f>
        <v>0.7853245818</v>
      </c>
      <c r="M22" s="4">
        <f>(Sheet1!$B$35 - Sheet1!M22) / (Sheet1!$B$35 - Sheet1!$B$34)</f>
        <v>0.7866700809</v>
      </c>
      <c r="N22" s="4">
        <f>(Sheet1!$B$35 - Sheet1!N22) / (Sheet1!$B$35 - Sheet1!$B$34)</f>
        <v>0.7942519532</v>
      </c>
    </row>
    <row r="23">
      <c r="A23" s="1" t="s">
        <v>35</v>
      </c>
      <c r="B23" s="4">
        <f>(Sheet1!$B$35 - Sheet1!B23) / (Sheet1!$B$35 - Sheet1!$B$34)</f>
        <v>0.7635499605</v>
      </c>
      <c r="C23" s="4">
        <f>(Sheet1!$B$35 - Sheet1!C23) / (Sheet1!$B$35 - Sheet1!$B$34)</f>
        <v>0.7614360184</v>
      </c>
      <c r="D23" s="4">
        <f>(Sheet1!$B$35 - Sheet1!D23) / (Sheet1!$B$35 - Sheet1!$B$34)</f>
        <v>0.771992992</v>
      </c>
      <c r="E23" s="4">
        <f>(Sheet1!$B$35 - Sheet1!E23) / (Sheet1!$B$35 - Sheet1!$B$34)</f>
        <v>0.7393936702</v>
      </c>
      <c r="F23" s="4">
        <f>(Sheet1!$B$35 - Sheet1!F23) / (Sheet1!$B$35 - Sheet1!$B$34)</f>
        <v>0.7541788589</v>
      </c>
      <c r="G23" s="4">
        <f>(Sheet1!$B$35 - Sheet1!G23) / (Sheet1!$B$35 - Sheet1!$B$34)</f>
        <v>0.7764731366</v>
      </c>
      <c r="H23" s="4">
        <f>(Sheet1!$B$35 - Sheet1!H23) / (Sheet1!$B$35 - Sheet1!$B$34)</f>
        <v>0.7593172792</v>
      </c>
      <c r="I23" s="4">
        <f>(Sheet1!$B$35 - Sheet1!I23) / (Sheet1!$B$35 - Sheet1!$B$34)</f>
        <v>0.7495008759</v>
      </c>
      <c r="J23" s="4">
        <f>(Sheet1!$B$35 - Sheet1!J23) / (Sheet1!$B$35 - Sheet1!$B$34)</f>
        <v>0.7754138911</v>
      </c>
      <c r="K23" s="4">
        <f>(Sheet1!$B$35 - Sheet1!K23) / (Sheet1!$B$35 - Sheet1!$B$34)</f>
        <v>0.7591672462</v>
      </c>
      <c r="L23" s="4">
        <f>(Sheet1!$B$35 - Sheet1!L23) / (Sheet1!$B$35 - Sheet1!$B$34)</f>
        <v>0.7699367802</v>
      </c>
      <c r="M23" s="4">
        <f>(Sheet1!$B$35 - Sheet1!M23) / (Sheet1!$B$35 - Sheet1!$B$34)</f>
        <v>0.7638292665</v>
      </c>
      <c r="N23" s="4">
        <f>(Sheet1!$B$35 - Sheet1!N23) / (Sheet1!$B$35 - Sheet1!$B$34)</f>
        <v>0.7715256899</v>
      </c>
    </row>
    <row r="24">
      <c r="A24" s="1" t="s">
        <v>36</v>
      </c>
      <c r="B24" s="4">
        <f>(Sheet1!$B$35 - Sheet1!B24) / (Sheet1!$B$35 - Sheet1!$B$34)</f>
        <v>0.7879523908</v>
      </c>
      <c r="C24" s="4">
        <f>(Sheet1!$B$35 - Sheet1!C24) / (Sheet1!$B$35 - Sheet1!$B$34)</f>
        <v>0.7850053277</v>
      </c>
      <c r="D24" s="4">
        <f>(Sheet1!$B$35 - Sheet1!D24) / (Sheet1!$B$35 - Sheet1!$B$34)</f>
        <v>0.7397217741</v>
      </c>
      <c r="E24" s="4">
        <f>(Sheet1!$B$35 - Sheet1!E24) / (Sheet1!$B$35 - Sheet1!$B$34)</f>
        <v>0.8070265025</v>
      </c>
      <c r="F24" s="4">
        <f>(Sheet1!$B$35 - Sheet1!F24) / (Sheet1!$B$35 - Sheet1!$B$34)</f>
        <v>0.801776426</v>
      </c>
      <c r="G24" s="4">
        <f>(Sheet1!$B$35 - Sheet1!G24) / (Sheet1!$B$35 - Sheet1!$B$34)</f>
        <v>0.796711947</v>
      </c>
      <c r="H24" s="4">
        <f>(Sheet1!$B$35 - Sheet1!H24) / (Sheet1!$B$35 - Sheet1!$B$34)</f>
        <v>0.7967253457</v>
      </c>
      <c r="I24" s="4">
        <f>(Sheet1!$B$35 - Sheet1!I24) / (Sheet1!$B$35 - Sheet1!$B$34)</f>
        <v>0.7847917748</v>
      </c>
      <c r="J24" s="4">
        <f>(Sheet1!$B$35 - Sheet1!J24) / (Sheet1!$B$35 - Sheet1!$B$34)</f>
        <v>0.7774619974</v>
      </c>
      <c r="K24" s="4">
        <f>(Sheet1!$B$35 - Sheet1!K24) / (Sheet1!$B$35 - Sheet1!$B$34)</f>
        <v>0.7856986716</v>
      </c>
      <c r="L24" s="4">
        <f>(Sheet1!$B$35 - Sheet1!L24) / (Sheet1!$B$35 - Sheet1!$B$34)</f>
        <v>0.7845563041</v>
      </c>
      <c r="M24" s="4">
        <f>(Sheet1!$B$35 - Sheet1!M24) / (Sheet1!$B$35 - Sheet1!$B$34)</f>
        <v>0.7874549002</v>
      </c>
      <c r="N24" s="4">
        <f>(Sheet1!$B$35 - Sheet1!N24) / (Sheet1!$B$35 - Sheet1!$B$34)</f>
        <v>0.7878468549</v>
      </c>
    </row>
    <row r="25">
      <c r="A25" s="1" t="s">
        <v>37</v>
      </c>
      <c r="B25" s="4">
        <f>(Sheet1!$B$35 - Sheet1!B25) / (Sheet1!$B$35 - Sheet1!$B$34)</f>
        <v>0.7484660293</v>
      </c>
      <c r="C25" s="4">
        <f>(Sheet1!$B$35 - Sheet1!C25) / (Sheet1!$B$35 - Sheet1!$B$34)</f>
        <v>0.8306465947</v>
      </c>
      <c r="D25" s="4">
        <f>(Sheet1!$B$35 - Sheet1!D25) / (Sheet1!$B$35 - Sheet1!$B$34)</f>
        <v>0.7829727705</v>
      </c>
      <c r="E25" s="4">
        <f>(Sheet1!$B$35 - Sheet1!E25) / (Sheet1!$B$35 - Sheet1!$B$34)</f>
        <v>0.7917744253</v>
      </c>
      <c r="F25" s="4">
        <f>(Sheet1!$B$35 - Sheet1!F25) / (Sheet1!$B$35 - Sheet1!$B$34)</f>
        <v>0.7844979948</v>
      </c>
      <c r="G25" s="4">
        <f>(Sheet1!$B$35 - Sheet1!G25) / (Sheet1!$B$35 - Sheet1!$B$34)</f>
        <v>0.7762155829</v>
      </c>
      <c r="H25" s="4">
        <f>(Sheet1!$B$35 - Sheet1!H25) / (Sheet1!$B$35 - Sheet1!$B$34)</f>
        <v>0.7901179429</v>
      </c>
      <c r="I25" s="4">
        <f>(Sheet1!$B$35 - Sheet1!I25) / (Sheet1!$B$35 - Sheet1!$B$34)</f>
        <v>0.7913416953</v>
      </c>
      <c r="J25" s="4">
        <f>(Sheet1!$B$35 - Sheet1!J25) / (Sheet1!$B$35 - Sheet1!$B$34)</f>
        <v>0.8043345118</v>
      </c>
      <c r="K25" s="4">
        <f>(Sheet1!$B$35 - Sheet1!K25) / (Sheet1!$B$35 - Sheet1!$B$34)</f>
        <v>0.8332140266</v>
      </c>
      <c r="L25" s="4">
        <f>(Sheet1!$B$35 - Sheet1!L25) / (Sheet1!$B$35 - Sheet1!$B$34)</f>
        <v>0.8012312954</v>
      </c>
      <c r="M25" s="4">
        <f>(Sheet1!$B$35 - Sheet1!M25) / (Sheet1!$B$35 - Sheet1!$B$34)</f>
        <v>0.7857703797</v>
      </c>
      <c r="N25" s="4">
        <f>(Sheet1!$B$35 - Sheet1!N25) / (Sheet1!$B$35 - Sheet1!$B$34)</f>
        <v>0.7984924092</v>
      </c>
    </row>
    <row r="26">
      <c r="A26" s="1" t="s">
        <v>38</v>
      </c>
      <c r="B26" s="4">
        <f>(Sheet1!$B$35 - Sheet1!B26) / (Sheet1!$B$35 - Sheet1!$B$34)</f>
        <v>0.77281106</v>
      </c>
      <c r="C26" s="4">
        <f>(Sheet1!$B$35 - Sheet1!C26) / (Sheet1!$B$35 - Sheet1!$B$34)</f>
        <v>0.7695106669</v>
      </c>
      <c r="D26" s="4">
        <f>(Sheet1!$B$35 - Sheet1!D26) / (Sheet1!$B$35 - Sheet1!$B$34)</f>
        <v>0.7720090374</v>
      </c>
      <c r="E26" s="4">
        <f>(Sheet1!$B$35 - Sheet1!E26) / (Sheet1!$B$35 - Sheet1!$B$34)</f>
        <v>0.7651845252</v>
      </c>
      <c r="F26" s="4">
        <f>(Sheet1!$B$35 - Sheet1!F26) / (Sheet1!$B$35 - Sheet1!$B$34)</f>
        <v>0.7647176367</v>
      </c>
      <c r="G26" s="4">
        <f>(Sheet1!$B$35 - Sheet1!G26) / (Sheet1!$B$35 - Sheet1!$B$34)</f>
        <v>0.7775331265</v>
      </c>
      <c r="H26" s="4">
        <f>(Sheet1!$B$35 - Sheet1!H26) / (Sheet1!$B$35 - Sheet1!$B$34)</f>
        <v>0.7751054717</v>
      </c>
      <c r="I26" s="4">
        <f>(Sheet1!$B$35 - Sheet1!I26) / (Sheet1!$B$35 - Sheet1!$B$34)</f>
        <v>0.7774654711</v>
      </c>
      <c r="J26" s="4">
        <f>(Sheet1!$B$35 - Sheet1!J26) / (Sheet1!$B$35 - Sheet1!$B$34)</f>
        <v>0.7799554053</v>
      </c>
      <c r="K26" s="4">
        <f>(Sheet1!$B$35 - Sheet1!K26) / (Sheet1!$B$35 - Sheet1!$B$34)</f>
        <v>0.7781333409</v>
      </c>
      <c r="L26" s="4">
        <f>(Sheet1!$B$35 - Sheet1!L26) / (Sheet1!$B$35 - Sheet1!$B$34)</f>
        <v>0.7742415832</v>
      </c>
      <c r="M26" s="4">
        <f>(Sheet1!$B$35 - Sheet1!M26) / (Sheet1!$B$35 - Sheet1!$B$34)</f>
        <v>0.7770048685</v>
      </c>
      <c r="N26" s="4">
        <f>(Sheet1!$B$35 - Sheet1!N26) / (Sheet1!$B$35 - Sheet1!$B$34)</f>
        <v>0.7767146449</v>
      </c>
    </row>
    <row r="27">
      <c r="A27" s="1" t="s">
        <v>39</v>
      </c>
      <c r="B27" s="4">
        <f>(Sheet1!$B$35 - Sheet1!B27) / (Sheet1!$B$35 - Sheet1!$B$34)</f>
        <v>0.7705937325</v>
      </c>
      <c r="C27" s="4">
        <f>(Sheet1!$B$35 - Sheet1!C27) / (Sheet1!$B$35 - Sheet1!$B$34)</f>
        <v>0.7562355669</v>
      </c>
      <c r="D27" s="4">
        <f>(Sheet1!$B$35 - Sheet1!D27) / (Sheet1!$B$35 - Sheet1!$B$34)</f>
        <v>0.778385105</v>
      </c>
      <c r="E27" s="4">
        <f>(Sheet1!$B$35 - Sheet1!E27) / (Sheet1!$B$35 - Sheet1!$B$34)</f>
        <v>0.775443418</v>
      </c>
      <c r="F27" s="4">
        <f>(Sheet1!$B$35 - Sheet1!F27) / (Sheet1!$B$35 - Sheet1!$B$34)</f>
        <v>0.7788375196</v>
      </c>
      <c r="G27" s="4">
        <f>(Sheet1!$B$35 - Sheet1!G27) / (Sheet1!$B$35 - Sheet1!$B$34)</f>
        <v>0.7849155064</v>
      </c>
      <c r="H27" s="4">
        <f>(Sheet1!$B$35 - Sheet1!H27) / (Sheet1!$B$35 - Sheet1!$B$34)</f>
        <v>0.7817822669</v>
      </c>
      <c r="I27" s="4">
        <f>(Sheet1!$B$35 - Sheet1!I27) / (Sheet1!$B$35 - Sheet1!$B$34)</f>
        <v>0.7827554957</v>
      </c>
      <c r="J27" s="4">
        <f>(Sheet1!$B$35 - Sheet1!J27) / (Sheet1!$B$35 - Sheet1!$B$34)</f>
        <v>0.7831999703</v>
      </c>
      <c r="K27" s="4">
        <f>(Sheet1!$B$35 - Sheet1!K27) / (Sheet1!$B$35 - Sheet1!$B$34)</f>
        <v>0.7836322867</v>
      </c>
      <c r="L27" s="4">
        <f>(Sheet1!$B$35 - Sheet1!L27) / (Sheet1!$B$35 - Sheet1!$B$34)</f>
        <v>0.7760684448</v>
      </c>
      <c r="M27" s="4">
        <f>(Sheet1!$B$35 - Sheet1!M27) / (Sheet1!$B$35 - Sheet1!$B$34)</f>
        <v>0.7836318732</v>
      </c>
      <c r="N27" s="4">
        <f>(Sheet1!$B$35 - Sheet1!N27) / (Sheet1!$B$35 - Sheet1!$B$34)</f>
        <v>0.7863409844</v>
      </c>
    </row>
    <row r="28">
      <c r="A28" s="1" t="s">
        <v>40</v>
      </c>
      <c r="B28" s="4">
        <f>(Sheet1!$B$35 - Sheet1!B28) / (Sheet1!$B$35 - Sheet1!$B$34)</f>
        <v>0.7276689378</v>
      </c>
      <c r="C28" s="4">
        <f>(Sheet1!$B$35 - Sheet1!C28) / (Sheet1!$B$35 - Sheet1!$B$34)</f>
        <v>0.7151579799</v>
      </c>
      <c r="D28" s="4">
        <f>(Sheet1!$B$35 - Sheet1!D28) / (Sheet1!$B$35 - Sheet1!$B$34)</f>
        <v>0.738206723</v>
      </c>
      <c r="E28" s="4">
        <f>(Sheet1!$B$35 - Sheet1!E28) / (Sheet1!$B$35 - Sheet1!$B$34)</f>
        <v>0.7093752618</v>
      </c>
      <c r="F28" s="4">
        <f>(Sheet1!$B$35 - Sheet1!F28) / (Sheet1!$B$35 - Sheet1!$B$34)</f>
        <v>0.6774994725</v>
      </c>
      <c r="G28" s="4">
        <f>(Sheet1!$B$35 - Sheet1!G28) / (Sheet1!$B$35 - Sheet1!$B$34)</f>
        <v>0.7493688734</v>
      </c>
      <c r="H28" s="4">
        <f>(Sheet1!$B$35 - Sheet1!H28) / (Sheet1!$B$35 - Sheet1!$B$34)</f>
        <v>0.735557658</v>
      </c>
      <c r="I28" s="4">
        <f>(Sheet1!$B$35 - Sheet1!I28) / (Sheet1!$B$35 - Sheet1!$B$34)</f>
        <v>0.7339722221</v>
      </c>
      <c r="J28" s="4">
        <f>(Sheet1!$B$35 - Sheet1!J28) / (Sheet1!$B$35 - Sheet1!$B$34)</f>
        <v>0.7483278237</v>
      </c>
      <c r="K28" s="4">
        <f>(Sheet1!$B$35 - Sheet1!K28) / (Sheet1!$B$35 - Sheet1!$B$34)</f>
        <v>0.7581567159</v>
      </c>
      <c r="L28" s="4">
        <f>(Sheet1!$B$35 - Sheet1!L28) / (Sheet1!$B$35 - Sheet1!$B$34)</f>
        <v>0.7597478587</v>
      </c>
      <c r="M28" s="4">
        <f>(Sheet1!$B$35 - Sheet1!M28) / (Sheet1!$B$35 - Sheet1!$B$34)</f>
        <v>0.7688112026</v>
      </c>
      <c r="N28" s="4">
        <f>(Sheet1!$B$35 - Sheet1!N28) / (Sheet1!$B$35 - Sheet1!$B$34)</f>
        <v>0.7690606509</v>
      </c>
    </row>
    <row r="29">
      <c r="A29" s="1" t="s">
        <v>41</v>
      </c>
      <c r="B29" s="4">
        <f>(Sheet1!$B$35 - Sheet1!B29) / (Sheet1!$B$35 - Sheet1!$B$34)</f>
        <v>0.6940692588</v>
      </c>
      <c r="C29" s="4">
        <f>(Sheet1!$B$35 - Sheet1!C29) / (Sheet1!$B$35 - Sheet1!$B$34)</f>
        <v>0.7169377804</v>
      </c>
      <c r="D29" s="4">
        <f>(Sheet1!$B$35 - Sheet1!D29) / (Sheet1!$B$35 - Sheet1!$B$34)</f>
        <v>0.7041141851</v>
      </c>
      <c r="E29" s="4">
        <f>(Sheet1!$B$35 - Sheet1!E29) / (Sheet1!$B$35 - Sheet1!$B$34)</f>
        <v>0.4407692172</v>
      </c>
      <c r="F29" s="4">
        <f>(Sheet1!$B$35 - Sheet1!F29) / (Sheet1!$B$35 - Sheet1!$B$34)</f>
        <v>0.9462568734</v>
      </c>
      <c r="G29" s="4">
        <f>(Sheet1!$B$35 - Sheet1!G29) / (Sheet1!$B$35 - Sheet1!$B$34)</f>
        <v>0.6827497971</v>
      </c>
      <c r="H29" s="4">
        <f>(Sheet1!$B$35 - Sheet1!H29) / (Sheet1!$B$35 - Sheet1!$B$34)</f>
        <v>0.6931007443</v>
      </c>
      <c r="I29" s="4">
        <f>(Sheet1!$B$35 - Sheet1!I29) / (Sheet1!$B$35 - Sheet1!$B$34)</f>
        <v>0.6857545907</v>
      </c>
      <c r="J29" s="4">
        <f>(Sheet1!$B$35 - Sheet1!J29) / (Sheet1!$B$35 - Sheet1!$B$34)</f>
        <v>0.7088641244</v>
      </c>
      <c r="K29" s="4">
        <f>(Sheet1!$B$35 - Sheet1!K29) / (Sheet1!$B$35 - Sheet1!$B$34)</f>
        <v>0</v>
      </c>
      <c r="L29" s="4">
        <f>(Sheet1!$B$35 - Sheet1!L29) / (Sheet1!$B$35 - Sheet1!$B$34)</f>
        <v>0.7638234769</v>
      </c>
      <c r="M29" s="4">
        <f>(Sheet1!$B$35 - Sheet1!M29) / (Sheet1!$B$35 - Sheet1!$B$34)</f>
        <v>0.9468515462</v>
      </c>
      <c r="N29" s="4">
        <f>(Sheet1!$B$35 - Sheet1!N29) / (Sheet1!$B$35 - Sheet1!$B$34)</f>
        <v>0.8889284235</v>
      </c>
    </row>
    <row r="30">
      <c r="A30" s="1" t="s">
        <v>42</v>
      </c>
      <c r="B30" s="4">
        <f>(Sheet1!$B$35 - Sheet1!B30) / (Sheet1!$B$35 - Sheet1!$B$34)</f>
        <v>0.7486794995</v>
      </c>
      <c r="C30" s="4">
        <f>(Sheet1!$B$35 - Sheet1!C30) / (Sheet1!$B$35 - Sheet1!$B$34)</f>
        <v>0.76186544</v>
      </c>
      <c r="D30" s="4">
        <f>(Sheet1!$B$35 - Sheet1!D30) / (Sheet1!$B$35 - Sheet1!$B$34)</f>
        <v>0.7591427646</v>
      </c>
      <c r="E30" s="4">
        <f>(Sheet1!$B$35 - Sheet1!E30) / (Sheet1!$B$35 - Sheet1!$B$34)</f>
        <v>0.7735830595</v>
      </c>
      <c r="F30" s="4">
        <f>(Sheet1!$B$35 - Sheet1!F30) / (Sheet1!$B$35 - Sheet1!$B$34)</f>
        <v>0.7656063376</v>
      </c>
      <c r="G30" s="4">
        <f>(Sheet1!$B$35 - Sheet1!G30) / (Sheet1!$B$35 - Sheet1!$B$34)</f>
        <v>0.7815391871</v>
      </c>
      <c r="H30" s="4">
        <f>(Sheet1!$B$35 - Sheet1!H30) / (Sheet1!$B$35 - Sheet1!$B$34)</f>
        <v>0.7556609921</v>
      </c>
      <c r="I30" s="4">
        <f>(Sheet1!$B$35 - Sheet1!I30) / (Sheet1!$B$35 - Sheet1!$B$34)</f>
        <v>0.7546861918</v>
      </c>
      <c r="J30" s="4">
        <f>(Sheet1!$B$35 - Sheet1!J30) / (Sheet1!$B$35 - Sheet1!$B$34)</f>
        <v>0.7616666919</v>
      </c>
      <c r="K30" s="4">
        <f>(Sheet1!$B$35 - Sheet1!K30) / (Sheet1!$B$35 - Sheet1!$B$34)</f>
        <v>0.7654701997</v>
      </c>
      <c r="L30" s="4">
        <f>(Sheet1!$B$35 - Sheet1!L30) / (Sheet1!$B$35 - Sheet1!$B$34)</f>
        <v>0.7639358776</v>
      </c>
      <c r="M30" s="4">
        <f>(Sheet1!$B$35 - Sheet1!M30) / (Sheet1!$B$35 - Sheet1!$B$34)</f>
        <v>0.7725237313</v>
      </c>
      <c r="N30" s="4">
        <f>(Sheet1!$B$35 - Sheet1!N30) / (Sheet1!$B$35 - Sheet1!$B$34)</f>
        <v>0.7792119402</v>
      </c>
    </row>
    <row r="34">
      <c r="A34" s="7" t="s">
        <v>43</v>
      </c>
      <c r="B34" s="8">
        <f>MIN(B2:N30)</f>
        <v>0</v>
      </c>
    </row>
    <row r="35">
      <c r="A35" s="7" t="s">
        <v>44</v>
      </c>
      <c r="B35" s="8">
        <f>MAX(B2:N30)</f>
        <v>1</v>
      </c>
    </row>
  </sheetData>
  <drawing r:id="rId1"/>
</worksheet>
</file>